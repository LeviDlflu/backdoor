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ローカル作業_Wang\BackDoor\GitHub\backdoor\"/>
    </mc:Choice>
  </mc:AlternateContent>
  <xr:revisionPtr revIDLastSave="0" documentId="13_ncr:1_{981FC5CE-3C73-414A-B2C9-27348F6D1626}" xr6:coauthVersionLast="45" xr6:coauthVersionMax="45" xr10:uidLastSave="{00000000-0000-0000-0000-000000000000}"/>
  <bookViews>
    <workbookView xWindow="-28920" yWindow="-120" windowWidth="29040" windowHeight="15840" tabRatio="856" xr2:uid="{00000000-000D-0000-FFFF-FFFF00000000}"/>
  </bookViews>
  <sheets>
    <sheet name="単体プロセス管理票（ＵＴ）v.2.2記入例" sheetId="18" r:id="rId1"/>
    <sheet name="審査・承認" sheetId="16" r:id="rId2"/>
    <sheet name="変更履歴" sheetId="20" r:id="rId3"/>
    <sheet name="V2.1改訂説明" sheetId="23" r:id="rId4"/>
  </sheets>
  <externalReferences>
    <externalReference r:id="rId5"/>
  </externalReferences>
  <definedNames>
    <definedName name="_xlnm._FilterDatabase" hidden="1">[1]品質チェックシート!#REF!</definedName>
  </definedNames>
  <calcPr calcId="191029" concurrentManualCount="2"/>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5" i="18" l="1"/>
  <c r="K4" i="18"/>
  <c r="A37" i="18" l="1"/>
  <c r="A38" i="18"/>
  <c r="A39" i="18"/>
  <c r="A40" i="18"/>
  <c r="A41" i="18"/>
  <c r="A42" i="18"/>
  <c r="A43" i="18"/>
  <c r="AN13" i="18" l="1"/>
  <c r="K73" i="18" l="1"/>
  <c r="U13" i="18"/>
  <c r="A21" i="18" l="1"/>
  <c r="A22" i="18"/>
  <c r="A23" i="18"/>
  <c r="A24" i="18"/>
  <c r="A25" i="18"/>
  <c r="A26" i="18"/>
  <c r="A27" i="18"/>
  <c r="A28" i="18"/>
  <c r="A29" i="18"/>
  <c r="A30" i="18"/>
  <c r="A31" i="18"/>
  <c r="A32" i="18"/>
  <c r="A33" i="18"/>
  <c r="A34" i="18"/>
  <c r="A35" i="18"/>
  <c r="A36"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CE20" i="18" l="1"/>
  <c r="CF20" i="18" s="1"/>
  <c r="CG20" i="18" s="1"/>
  <c r="CE21" i="18"/>
  <c r="CF21" i="18" s="1"/>
  <c r="CG21" i="18" s="1"/>
  <c r="CE22" i="18"/>
  <c r="CF22" i="18" s="1"/>
  <c r="CG22" i="18" s="1"/>
  <c r="CE23" i="18"/>
  <c r="CE24" i="18"/>
  <c r="CE25" i="18"/>
  <c r="CF25" i="18" s="1"/>
  <c r="CG25" i="18" s="1"/>
  <c r="CE26" i="18"/>
  <c r="CF26" i="18" s="1"/>
  <c r="CG26" i="18" s="1"/>
  <c r="CE27" i="18"/>
  <c r="CF27" i="18" s="1"/>
  <c r="CG27" i="18" s="1"/>
  <c r="CE28" i="18"/>
  <c r="CF28" i="18" s="1"/>
  <c r="CG28" i="18" s="1"/>
  <c r="CE29" i="18"/>
  <c r="CF29" i="18" s="1"/>
  <c r="CG29" i="18" s="1"/>
  <c r="CE30" i="18"/>
  <c r="CF30" i="18" s="1"/>
  <c r="CG30" i="18" s="1"/>
  <c r="CE31" i="18"/>
  <c r="CF31" i="18" s="1"/>
  <c r="CG31" i="18" s="1"/>
  <c r="CE32" i="18"/>
  <c r="CF32" i="18" s="1"/>
  <c r="CG32" i="18" s="1"/>
  <c r="CE33" i="18"/>
  <c r="CF33" i="18" s="1"/>
  <c r="CG33" i="18" s="1"/>
  <c r="CE34" i="18"/>
  <c r="CF34" i="18" s="1"/>
  <c r="CG34" i="18" s="1"/>
  <c r="CE35" i="18"/>
  <c r="CF35" i="18" s="1"/>
  <c r="CG35" i="18" s="1"/>
  <c r="CE36" i="18"/>
  <c r="CF36" i="18" s="1"/>
  <c r="CG36" i="18" s="1"/>
  <c r="CE37" i="18"/>
  <c r="CF37" i="18" s="1"/>
  <c r="CG37" i="18" s="1"/>
  <c r="CE38" i="18"/>
  <c r="CF38" i="18" s="1"/>
  <c r="CG38" i="18" s="1"/>
  <c r="CE39" i="18"/>
  <c r="CF39" i="18" s="1"/>
  <c r="CG39" i="18" s="1"/>
  <c r="CE40" i="18"/>
  <c r="CF40" i="18" s="1"/>
  <c r="CG40" i="18" s="1"/>
  <c r="CE41" i="18"/>
  <c r="CE42" i="18"/>
  <c r="CF42" i="18" s="1"/>
  <c r="CG42" i="18" s="1"/>
  <c r="CE43" i="18"/>
  <c r="CF43" i="18" s="1"/>
  <c r="CG43" i="18" s="1"/>
  <c r="CE44" i="18"/>
  <c r="CF44" i="18" s="1"/>
  <c r="CG44" i="18" s="1"/>
  <c r="CE45" i="18"/>
  <c r="CF45" i="18" s="1"/>
  <c r="CG45" i="18" s="1"/>
  <c r="CE46" i="18"/>
  <c r="CF46" i="18" s="1"/>
  <c r="CG46" i="18" s="1"/>
  <c r="CE47" i="18"/>
  <c r="CE48" i="18"/>
  <c r="CF48" i="18" s="1"/>
  <c r="CG48" i="18" s="1"/>
  <c r="CE49" i="18"/>
  <c r="CF49" i="18" s="1"/>
  <c r="CG49" i="18" s="1"/>
  <c r="CE50" i="18"/>
  <c r="CF50" i="18" s="1"/>
  <c r="CG50" i="18" s="1"/>
  <c r="CE51" i="18"/>
  <c r="CF51" i="18" s="1"/>
  <c r="CG51" i="18" s="1"/>
  <c r="CE52" i="18"/>
  <c r="CF52" i="18" s="1"/>
  <c r="CG52" i="18" s="1"/>
  <c r="CE53" i="18"/>
  <c r="CF53" i="18" s="1"/>
  <c r="CG53" i="18" s="1"/>
  <c r="CE54" i="18"/>
  <c r="CF54" i="18" s="1"/>
  <c r="CG54" i="18" s="1"/>
  <c r="CE55" i="18"/>
  <c r="CF55" i="18" s="1"/>
  <c r="CG55" i="18" s="1"/>
  <c r="CE56" i="18"/>
  <c r="CF56" i="18" s="1"/>
  <c r="CG56" i="18" s="1"/>
  <c r="CE57" i="18"/>
  <c r="CE58" i="18"/>
  <c r="CF58" i="18" s="1"/>
  <c r="CG58" i="18" s="1"/>
  <c r="CE59" i="18"/>
  <c r="CF59" i="18" s="1"/>
  <c r="CG59" i="18" s="1"/>
  <c r="CE60" i="18"/>
  <c r="CF60" i="18" s="1"/>
  <c r="CG60" i="18" s="1"/>
  <c r="CE61" i="18"/>
  <c r="CF61" i="18" s="1"/>
  <c r="CG61" i="18" s="1"/>
  <c r="CE62" i="18"/>
  <c r="CF62" i="18" s="1"/>
  <c r="CG62" i="18" s="1"/>
  <c r="CE63" i="18"/>
  <c r="CF63" i="18" s="1"/>
  <c r="CG63" i="18" s="1"/>
  <c r="CE64" i="18"/>
  <c r="CE65" i="18"/>
  <c r="CF65" i="18" s="1"/>
  <c r="CG65" i="18" s="1"/>
  <c r="CE66" i="18"/>
  <c r="CE67" i="18"/>
  <c r="CF67" i="18" s="1"/>
  <c r="CG67" i="18" s="1"/>
  <c r="CE68" i="18"/>
  <c r="CF68" i="18" s="1"/>
  <c r="CG68" i="18" s="1"/>
  <c r="CE69" i="18"/>
  <c r="CF69" i="18" s="1"/>
  <c r="CG69" i="18" s="1"/>
  <c r="CE70" i="18"/>
  <c r="CF70" i="18" s="1"/>
  <c r="CG70" i="18" s="1"/>
  <c r="CE71" i="18"/>
  <c r="CF71" i="18" s="1"/>
  <c r="CG71" i="18" s="1"/>
  <c r="CE72" i="18"/>
  <c r="CF72" i="18" s="1"/>
  <c r="CG72" i="18" s="1"/>
  <c r="BP20" i="18"/>
  <c r="BP21" i="18"/>
  <c r="BP22" i="18"/>
  <c r="BQ22" i="18" s="1"/>
  <c r="BR22" i="18" s="1"/>
  <c r="BP23" i="18"/>
  <c r="BQ23" i="18" s="1"/>
  <c r="BR23" i="18" s="1"/>
  <c r="BP26" i="18"/>
  <c r="BP27" i="18"/>
  <c r="BP28" i="18"/>
  <c r="BP29" i="18"/>
  <c r="BQ29" i="18" s="1"/>
  <c r="BR29" i="18" s="1"/>
  <c r="BP30" i="18"/>
  <c r="BQ30" i="18" s="1"/>
  <c r="BR30" i="18" s="1"/>
  <c r="BP31" i="18"/>
  <c r="BQ31" i="18" s="1"/>
  <c r="BR31" i="18" s="1"/>
  <c r="BP32" i="18"/>
  <c r="BQ32" i="18" s="1"/>
  <c r="BR32" i="18" s="1"/>
  <c r="BP33" i="18"/>
  <c r="BQ33" i="18" s="1"/>
  <c r="BR33" i="18" s="1"/>
  <c r="BP34" i="18"/>
  <c r="BQ34" i="18" s="1"/>
  <c r="BR34" i="18" s="1"/>
  <c r="BP35" i="18"/>
  <c r="BQ35" i="18" s="1"/>
  <c r="BR35" i="18" s="1"/>
  <c r="BP36" i="18"/>
  <c r="BQ36" i="18" s="1"/>
  <c r="BR36" i="18" s="1"/>
  <c r="BP37" i="18"/>
  <c r="BQ37" i="18" s="1"/>
  <c r="BR37" i="18" s="1"/>
  <c r="BP38" i="18"/>
  <c r="BQ38" i="18" s="1"/>
  <c r="BR38" i="18" s="1"/>
  <c r="BP39" i="18"/>
  <c r="BQ39" i="18" s="1"/>
  <c r="BR39" i="18" s="1"/>
  <c r="BP40" i="18"/>
  <c r="BQ40" i="18" s="1"/>
  <c r="BR40" i="18" s="1"/>
  <c r="BP41" i="18"/>
  <c r="BQ41" i="18" s="1"/>
  <c r="BR41" i="18" s="1"/>
  <c r="BP42" i="18"/>
  <c r="BQ42" i="18" s="1"/>
  <c r="BR42" i="18" s="1"/>
  <c r="BP43" i="18"/>
  <c r="BQ43" i="18" s="1"/>
  <c r="BR43" i="18" s="1"/>
  <c r="BP44" i="18"/>
  <c r="BQ44" i="18" s="1"/>
  <c r="BR44" i="18" s="1"/>
  <c r="BP45" i="18"/>
  <c r="BQ45" i="18" s="1"/>
  <c r="BR45" i="18" s="1"/>
  <c r="BP46" i="18"/>
  <c r="BQ46" i="18" s="1"/>
  <c r="BR46" i="18" s="1"/>
  <c r="BP47" i="18"/>
  <c r="BQ47" i="18" s="1"/>
  <c r="BR47" i="18" s="1"/>
  <c r="BP48" i="18"/>
  <c r="BQ48" i="18" s="1"/>
  <c r="BR48" i="18" s="1"/>
  <c r="BP49" i="18"/>
  <c r="BQ49" i="18" s="1"/>
  <c r="BR49" i="18" s="1"/>
  <c r="BP50" i="18"/>
  <c r="BP51" i="18"/>
  <c r="BQ51" i="18" s="1"/>
  <c r="BR51" i="18" s="1"/>
  <c r="BP52" i="18"/>
  <c r="BP53" i="18"/>
  <c r="BP54" i="18"/>
  <c r="BQ54" i="18" s="1"/>
  <c r="BR54" i="18" s="1"/>
  <c r="BP55" i="18"/>
  <c r="BQ55" i="18" s="1"/>
  <c r="BR55" i="18" s="1"/>
  <c r="BP56" i="18"/>
  <c r="BQ56" i="18" s="1"/>
  <c r="BR56" i="18" s="1"/>
  <c r="BP57" i="18"/>
  <c r="BQ57" i="18" s="1"/>
  <c r="BR57" i="18" s="1"/>
  <c r="BP58" i="18"/>
  <c r="BQ58" i="18" s="1"/>
  <c r="BR58" i="18" s="1"/>
  <c r="BP59" i="18"/>
  <c r="BQ59" i="18" s="1"/>
  <c r="BR59" i="18" s="1"/>
  <c r="BP60" i="18"/>
  <c r="BQ60" i="18" s="1"/>
  <c r="BR60" i="18" s="1"/>
  <c r="BP61" i="18"/>
  <c r="BP62" i="18"/>
  <c r="BQ62" i="18" s="1"/>
  <c r="BR62" i="18" s="1"/>
  <c r="BP63" i="18"/>
  <c r="BQ63" i="18" s="1"/>
  <c r="BR63" i="18" s="1"/>
  <c r="BP64" i="18"/>
  <c r="BQ64" i="18" s="1"/>
  <c r="BR64" i="18" s="1"/>
  <c r="BP65" i="18"/>
  <c r="BQ65" i="18" s="1"/>
  <c r="BR65" i="18" s="1"/>
  <c r="BP66" i="18"/>
  <c r="BP67" i="18"/>
  <c r="BQ67" i="18" s="1"/>
  <c r="BR67" i="18" s="1"/>
  <c r="BP68" i="18"/>
  <c r="BQ68" i="18" s="1"/>
  <c r="BR68" i="18" s="1"/>
  <c r="BP69" i="18"/>
  <c r="BQ69" i="18" s="1"/>
  <c r="BR69" i="18" s="1"/>
  <c r="BP70" i="18"/>
  <c r="BQ70" i="18" s="1"/>
  <c r="BR70" i="18" s="1"/>
  <c r="BP71" i="18"/>
  <c r="BQ71" i="18" s="1"/>
  <c r="BR71" i="18" s="1"/>
  <c r="BP72" i="18"/>
  <c r="BQ72" i="18" s="1"/>
  <c r="BR72" i="18" s="1"/>
  <c r="CM20" i="18"/>
  <c r="BX73" i="18"/>
  <c r="AD73" i="18"/>
  <c r="A14" i="18"/>
  <c r="A15" i="18"/>
  <c r="A16" i="18"/>
  <c r="A17" i="18"/>
  <c r="A18" i="18"/>
  <c r="A19" i="18"/>
  <c r="A20" i="18"/>
  <c r="A13" i="18"/>
  <c r="J22" i="23"/>
  <c r="I22" i="23"/>
  <c r="H19" i="23"/>
  <c r="H22" i="23" s="1"/>
  <c r="H18" i="23"/>
  <c r="H17" i="23"/>
  <c r="H34" i="23"/>
  <c r="H35" i="23"/>
  <c r="H33" i="23"/>
  <c r="H37" i="23"/>
  <c r="H36" i="23"/>
  <c r="I38" i="23"/>
  <c r="J38" i="23"/>
  <c r="CM35" i="18"/>
  <c r="CM36" i="18"/>
  <c r="CM37" i="18"/>
  <c r="CM38" i="18"/>
  <c r="CM39" i="18"/>
  <c r="CM40" i="18"/>
  <c r="CM41" i="18"/>
  <c r="CM42" i="18"/>
  <c r="CM43" i="18"/>
  <c r="CM44" i="18"/>
  <c r="CM45" i="18"/>
  <c r="CM46" i="18"/>
  <c r="CM47" i="18"/>
  <c r="CM48" i="18"/>
  <c r="CM49" i="18"/>
  <c r="CM50" i="18"/>
  <c r="CM51" i="18"/>
  <c r="CM52" i="18"/>
  <c r="CM53" i="18"/>
  <c r="CM54" i="18"/>
  <c r="CM55" i="18"/>
  <c r="CM56" i="18"/>
  <c r="CM57" i="18"/>
  <c r="CM58" i="18"/>
  <c r="CM59" i="18"/>
  <c r="CM60" i="18"/>
  <c r="CM61" i="18"/>
  <c r="CM62" i="18"/>
  <c r="CM63" i="18"/>
  <c r="CM64" i="18"/>
  <c r="CM65" i="18"/>
  <c r="CM66" i="18"/>
  <c r="CM67" i="18"/>
  <c r="CM68" i="18"/>
  <c r="CM69" i="18"/>
  <c r="CM70" i="18"/>
  <c r="CM71" i="18"/>
  <c r="CM72" i="18"/>
  <c r="CM21" i="18"/>
  <c r="CM22" i="18"/>
  <c r="CM23" i="18"/>
  <c r="CM24" i="18"/>
  <c r="CM25" i="18"/>
  <c r="CM26" i="18"/>
  <c r="CM27" i="18"/>
  <c r="CM28" i="18"/>
  <c r="CM29" i="18"/>
  <c r="CM30" i="18"/>
  <c r="CM31" i="18"/>
  <c r="CM32" i="18"/>
  <c r="CM33" i="18"/>
  <c r="CM34" i="18"/>
  <c r="BZ21" i="18"/>
  <c r="BZ22" i="18"/>
  <c r="BZ23" i="18"/>
  <c r="BZ24" i="18"/>
  <c r="BZ25" i="18"/>
  <c r="BZ26" i="18"/>
  <c r="BZ27" i="18"/>
  <c r="BZ28" i="18"/>
  <c r="BZ29" i="18"/>
  <c r="BZ30" i="18"/>
  <c r="BZ31" i="18"/>
  <c r="BZ32" i="18"/>
  <c r="BZ33" i="18"/>
  <c r="BZ34" i="18"/>
  <c r="BZ35" i="18"/>
  <c r="BZ36" i="18"/>
  <c r="BZ37" i="18"/>
  <c r="BZ38" i="18"/>
  <c r="BZ39" i="18"/>
  <c r="BZ40" i="18"/>
  <c r="BZ41" i="18"/>
  <c r="BZ42" i="18"/>
  <c r="BZ43" i="18"/>
  <c r="BZ44" i="18"/>
  <c r="BZ45" i="18"/>
  <c r="BZ46" i="18"/>
  <c r="BZ47" i="18"/>
  <c r="BZ48" i="18"/>
  <c r="BZ49" i="18"/>
  <c r="BZ50" i="18"/>
  <c r="BZ51" i="18"/>
  <c r="BZ52" i="18"/>
  <c r="BZ53" i="18"/>
  <c r="BZ54" i="18"/>
  <c r="BZ55" i="18"/>
  <c r="BZ56" i="18"/>
  <c r="BZ57" i="18"/>
  <c r="BZ58" i="18"/>
  <c r="BZ59" i="18"/>
  <c r="BZ60" i="18"/>
  <c r="BZ61" i="18"/>
  <c r="BZ62" i="18"/>
  <c r="BZ63" i="18"/>
  <c r="BZ64" i="18"/>
  <c r="BZ65" i="18"/>
  <c r="BZ66" i="18"/>
  <c r="BZ67" i="18"/>
  <c r="BZ68" i="18"/>
  <c r="BZ69" i="18"/>
  <c r="BZ70" i="18"/>
  <c r="BZ71" i="18"/>
  <c r="BZ72" i="18"/>
  <c r="BZ20" i="18"/>
  <c r="CJ73" i="18"/>
  <c r="CI73" i="18"/>
  <c r="AY20" i="18"/>
  <c r="CB73" i="18"/>
  <c r="CA73" i="18"/>
  <c r="BY73" i="18"/>
  <c r="BN73" i="18"/>
  <c r="BL73" i="18"/>
  <c r="BK73" i="18"/>
  <c r="BJ73" i="18"/>
  <c r="BI73" i="18"/>
  <c r="AX73" i="18"/>
  <c r="AW73" i="18"/>
  <c r="AV73" i="18"/>
  <c r="AU73" i="18"/>
  <c r="AR73" i="18"/>
  <c r="AQ73" i="18"/>
  <c r="AP73" i="18"/>
  <c r="AO73" i="18"/>
  <c r="AM73" i="18"/>
  <c r="AL73" i="18"/>
  <c r="AK73" i="18"/>
  <c r="AJ73" i="18"/>
  <c r="AA73" i="18"/>
  <c r="Y73" i="18"/>
  <c r="X73" i="18"/>
  <c r="T73" i="18"/>
  <c r="S73" i="18"/>
  <c r="R73" i="18"/>
  <c r="L73" i="18"/>
  <c r="L4" i="18" s="1"/>
  <c r="CD72" i="18"/>
  <c r="CC72" i="18"/>
  <c r="BM72" i="18"/>
  <c r="BO72" i="18" s="1"/>
  <c r="AY72" i="18"/>
  <c r="AS72" i="18"/>
  <c r="AN72" i="18"/>
  <c r="BH72" i="18" s="1"/>
  <c r="CL72" i="18" s="1"/>
  <c r="AB72" i="18"/>
  <c r="U72" i="18"/>
  <c r="CD71" i="18"/>
  <c r="CC71" i="18"/>
  <c r="BM71" i="18"/>
  <c r="BO71" i="18" s="1"/>
  <c r="AY71" i="18"/>
  <c r="AS71" i="18"/>
  <c r="AN71" i="18"/>
  <c r="AT71" i="18" s="1"/>
  <c r="AB71" i="18"/>
  <c r="U71" i="18"/>
  <c r="CD70" i="18"/>
  <c r="CC70" i="18"/>
  <c r="BM70" i="18"/>
  <c r="AY70" i="18"/>
  <c r="AS70" i="18"/>
  <c r="AN70" i="18"/>
  <c r="AB70" i="18"/>
  <c r="U70" i="18"/>
  <c r="CD69" i="18"/>
  <c r="CC69" i="18"/>
  <c r="BM69" i="18"/>
  <c r="BO69" i="18" s="1"/>
  <c r="AY69" i="18"/>
  <c r="AS69" i="18"/>
  <c r="AN69" i="18"/>
  <c r="BH69" i="18" s="1"/>
  <c r="CL69" i="18" s="1"/>
  <c r="AB69" i="18"/>
  <c r="U69" i="18"/>
  <c r="CD68" i="18"/>
  <c r="CC68" i="18"/>
  <c r="BM68" i="18"/>
  <c r="BO68" i="18" s="1"/>
  <c r="AY68" i="18"/>
  <c r="AS68" i="18"/>
  <c r="AN68" i="18"/>
  <c r="AB68" i="18"/>
  <c r="U68" i="18"/>
  <c r="CD67" i="18"/>
  <c r="CC67" i="18"/>
  <c r="BM67" i="18"/>
  <c r="AY67" i="18"/>
  <c r="AS67" i="18"/>
  <c r="AN67" i="18"/>
  <c r="BH67" i="18" s="1"/>
  <c r="BE67" i="18" s="1"/>
  <c r="AB67" i="18"/>
  <c r="U67" i="18"/>
  <c r="CD66" i="18"/>
  <c r="CC66" i="18"/>
  <c r="BM66" i="18"/>
  <c r="BO66" i="18" s="1"/>
  <c r="AY66" i="18"/>
  <c r="CF66" i="18"/>
  <c r="CG66" i="18" s="1"/>
  <c r="AS66" i="18"/>
  <c r="AN66" i="18"/>
  <c r="AB66" i="18"/>
  <c r="U66" i="18"/>
  <c r="CD65" i="18"/>
  <c r="CC65" i="18"/>
  <c r="BM65" i="18"/>
  <c r="AY65" i="18"/>
  <c r="AS65" i="18"/>
  <c r="AN65" i="18"/>
  <c r="AB65" i="18"/>
  <c r="U65" i="18"/>
  <c r="CD64" i="18"/>
  <c r="CC64" i="18"/>
  <c r="BM64" i="18"/>
  <c r="BO64" i="18" s="1"/>
  <c r="AY64" i="18"/>
  <c r="CF64" i="18"/>
  <c r="CG64" i="18" s="1"/>
  <c r="AS64" i="18"/>
  <c r="AN64" i="18"/>
  <c r="BH64" i="18" s="1"/>
  <c r="BD64" i="18" s="1"/>
  <c r="AB64" i="18"/>
  <c r="U64" i="18"/>
  <c r="CD63" i="18"/>
  <c r="CC63" i="18"/>
  <c r="BM63" i="18"/>
  <c r="BO63" i="18" s="1"/>
  <c r="AY63" i="18"/>
  <c r="AS63" i="18"/>
  <c r="AN63" i="18"/>
  <c r="BH63" i="18" s="1"/>
  <c r="BG63" i="18" s="1"/>
  <c r="AB63" i="18"/>
  <c r="U63" i="18"/>
  <c r="CD62" i="18"/>
  <c r="CC62" i="18"/>
  <c r="BM62" i="18"/>
  <c r="BO62" i="18" s="1"/>
  <c r="AY62" i="18"/>
  <c r="AS62" i="18"/>
  <c r="AN62" i="18"/>
  <c r="AB62" i="18"/>
  <c r="U62" i="18"/>
  <c r="CD61" i="18"/>
  <c r="CC61" i="18"/>
  <c r="BM61" i="18"/>
  <c r="BO61" i="18" s="1"/>
  <c r="AY61" i="18"/>
  <c r="AS61" i="18"/>
  <c r="AN61" i="18"/>
  <c r="BH61" i="18" s="1"/>
  <c r="CL61" i="18" s="1"/>
  <c r="AB61" i="18"/>
  <c r="U61" i="18"/>
  <c r="CD60" i="18"/>
  <c r="CC60" i="18"/>
  <c r="BM60" i="18"/>
  <c r="BO60" i="18" s="1"/>
  <c r="AY60" i="18"/>
  <c r="AS60" i="18"/>
  <c r="AN60" i="18"/>
  <c r="AB60" i="18"/>
  <c r="U60" i="18"/>
  <c r="CD59" i="18"/>
  <c r="CC59" i="18"/>
  <c r="BM59" i="18"/>
  <c r="AY59" i="18"/>
  <c r="AS59" i="18"/>
  <c r="AN59" i="18"/>
  <c r="AT59" i="18" s="1"/>
  <c r="AB59" i="18"/>
  <c r="U59" i="18"/>
  <c r="CD58" i="18"/>
  <c r="CC58" i="18"/>
  <c r="BM58" i="18"/>
  <c r="BO58" i="18" s="1"/>
  <c r="AY58" i="18"/>
  <c r="AS58" i="18"/>
  <c r="AN58" i="18"/>
  <c r="AT58" i="18" s="1"/>
  <c r="AB58" i="18"/>
  <c r="U58" i="18"/>
  <c r="CD57" i="18"/>
  <c r="CC57" i="18"/>
  <c r="BM57" i="18"/>
  <c r="AY57" i="18"/>
  <c r="CF57" i="18"/>
  <c r="CG57" i="18" s="1"/>
  <c r="AS57" i="18"/>
  <c r="AN57" i="18"/>
  <c r="AT57" i="18" s="1"/>
  <c r="AB57" i="18"/>
  <c r="U57" i="18"/>
  <c r="CD56" i="18"/>
  <c r="CC56" i="18"/>
  <c r="BM56" i="18"/>
  <c r="BO56" i="18" s="1"/>
  <c r="AY56" i="18"/>
  <c r="AS56" i="18"/>
  <c r="AN56" i="18"/>
  <c r="AT56" i="18" s="1"/>
  <c r="AB56" i="18"/>
  <c r="U56" i="18"/>
  <c r="CD55" i="18"/>
  <c r="CC55" i="18"/>
  <c r="BM55" i="18"/>
  <c r="BO55" i="18" s="1"/>
  <c r="AY55" i="18"/>
  <c r="AS55" i="18"/>
  <c r="AN55" i="18"/>
  <c r="AB55" i="18"/>
  <c r="U55" i="18"/>
  <c r="CD54" i="18"/>
  <c r="CC54" i="18"/>
  <c r="BM54" i="18"/>
  <c r="BO54" i="18" s="1"/>
  <c r="AY54" i="18"/>
  <c r="AS54" i="18"/>
  <c r="AN54" i="18"/>
  <c r="AB54" i="18"/>
  <c r="U54" i="18"/>
  <c r="CD53" i="18"/>
  <c r="CC53" i="18"/>
  <c r="BM53" i="18"/>
  <c r="BO53" i="18" s="1"/>
  <c r="AY53" i="18"/>
  <c r="AS53" i="18"/>
  <c r="AN53" i="18"/>
  <c r="AT53" i="18" s="1"/>
  <c r="AB53" i="18"/>
  <c r="U53" i="18"/>
  <c r="CD52" i="18"/>
  <c r="CC52" i="18"/>
  <c r="BM52" i="18"/>
  <c r="BO52" i="18" s="1"/>
  <c r="AY52" i="18"/>
  <c r="BQ52" i="18"/>
  <c r="BR52" i="18" s="1"/>
  <c r="AS52" i="18"/>
  <c r="AN52" i="18"/>
  <c r="AB52" i="18"/>
  <c r="U52" i="18"/>
  <c r="CD51" i="18"/>
  <c r="CC51" i="18"/>
  <c r="BM51" i="18"/>
  <c r="AY51" i="18"/>
  <c r="AS51" i="18"/>
  <c r="AN51" i="18"/>
  <c r="AT51" i="18" s="1"/>
  <c r="AB51" i="18"/>
  <c r="U51" i="18"/>
  <c r="CD50" i="18"/>
  <c r="CC50" i="18"/>
  <c r="BM50" i="18"/>
  <c r="BO50" i="18" s="1"/>
  <c r="AY50" i="18"/>
  <c r="AS50" i="18"/>
  <c r="AN50" i="18"/>
  <c r="AT50" i="18" s="1"/>
  <c r="AB50" i="18"/>
  <c r="U50" i="18"/>
  <c r="CD49" i="18"/>
  <c r="CC49" i="18"/>
  <c r="BM49" i="18"/>
  <c r="BO49" i="18" s="1"/>
  <c r="AY49" i="18"/>
  <c r="AS49" i="18"/>
  <c r="AN49" i="18"/>
  <c r="AT49" i="18" s="1"/>
  <c r="AB49" i="18"/>
  <c r="U49" i="18"/>
  <c r="CD48" i="18"/>
  <c r="CC48" i="18"/>
  <c r="BM48" i="18"/>
  <c r="BO48" i="18" s="1"/>
  <c r="AY48" i="18"/>
  <c r="AS48" i="18"/>
  <c r="AN48" i="18"/>
  <c r="AT48" i="18" s="1"/>
  <c r="AB48" i="18"/>
  <c r="U48" i="18"/>
  <c r="CD47" i="18"/>
  <c r="CC47" i="18"/>
  <c r="BM47" i="18"/>
  <c r="BO47" i="18" s="1"/>
  <c r="AY47" i="18"/>
  <c r="CF47" i="18"/>
  <c r="CG47" i="18" s="1"/>
  <c r="AS47" i="18"/>
  <c r="AN47" i="18"/>
  <c r="AB47" i="18"/>
  <c r="U47" i="18"/>
  <c r="CD46" i="18"/>
  <c r="CC46" i="18"/>
  <c r="BM46" i="18"/>
  <c r="BO46" i="18" s="1"/>
  <c r="AY46" i="18"/>
  <c r="AS46" i="18"/>
  <c r="AN46" i="18"/>
  <c r="AB46" i="18"/>
  <c r="U46" i="18"/>
  <c r="CD45" i="18"/>
  <c r="CC45" i="18"/>
  <c r="BM45" i="18"/>
  <c r="BO45" i="18" s="1"/>
  <c r="AY45" i="18"/>
  <c r="AS45" i="18"/>
  <c r="AN45" i="18"/>
  <c r="AT45" i="18" s="1"/>
  <c r="AB45" i="18"/>
  <c r="U45" i="18"/>
  <c r="CD44" i="18"/>
  <c r="CC44" i="18"/>
  <c r="BM44" i="18"/>
  <c r="BO44" i="18" s="1"/>
  <c r="AY44" i="18"/>
  <c r="AS44" i="18"/>
  <c r="AN44" i="18"/>
  <c r="AB44" i="18"/>
  <c r="U44" i="18"/>
  <c r="CD43" i="18"/>
  <c r="CC43" i="18"/>
  <c r="BM43" i="18"/>
  <c r="AY43" i="18"/>
  <c r="AS43" i="18"/>
  <c r="AN43" i="18"/>
  <c r="AT43" i="18" s="1"/>
  <c r="AB43" i="18"/>
  <c r="U43" i="18"/>
  <c r="CD42" i="18"/>
  <c r="CC42" i="18"/>
  <c r="BM42" i="18"/>
  <c r="BO42" i="18" s="1"/>
  <c r="AY42" i="18"/>
  <c r="AS42" i="18"/>
  <c r="AN42" i="18"/>
  <c r="AT42" i="18" s="1"/>
  <c r="AB42" i="18"/>
  <c r="U42" i="18"/>
  <c r="CD41" i="18"/>
  <c r="CC41" i="18"/>
  <c r="BM41" i="18"/>
  <c r="BO41" i="18" s="1"/>
  <c r="AY41" i="18"/>
  <c r="CF41" i="18"/>
  <c r="CG41" i="18" s="1"/>
  <c r="AS41" i="18"/>
  <c r="AN41" i="18"/>
  <c r="AT41" i="18" s="1"/>
  <c r="AB41" i="18"/>
  <c r="U41" i="18"/>
  <c r="CD40" i="18"/>
  <c r="CC40" i="18"/>
  <c r="BM40" i="18"/>
  <c r="BO40" i="18" s="1"/>
  <c r="AY40" i="18"/>
  <c r="AS40" i="18"/>
  <c r="AN40" i="18"/>
  <c r="AT40" i="18" s="1"/>
  <c r="AB40" i="18"/>
  <c r="U40" i="18"/>
  <c r="CD39" i="18"/>
  <c r="CC39" i="18"/>
  <c r="BM39" i="18"/>
  <c r="BO39" i="18" s="1"/>
  <c r="AY39" i="18"/>
  <c r="AS39" i="18"/>
  <c r="AN39" i="18"/>
  <c r="AB39" i="18"/>
  <c r="U39" i="18"/>
  <c r="CD38" i="18"/>
  <c r="CC38" i="18"/>
  <c r="BM38" i="18"/>
  <c r="BO38" i="18" s="1"/>
  <c r="AY38" i="18"/>
  <c r="AS38" i="18"/>
  <c r="AN38" i="18"/>
  <c r="AB38" i="18"/>
  <c r="U38" i="18"/>
  <c r="CD37" i="18"/>
  <c r="CC37" i="18"/>
  <c r="BM37" i="18"/>
  <c r="BO37" i="18" s="1"/>
  <c r="AY37" i="18"/>
  <c r="AS37" i="18"/>
  <c r="AN37" i="18"/>
  <c r="AT37" i="18" s="1"/>
  <c r="AB37" i="18"/>
  <c r="U37" i="18"/>
  <c r="CD36" i="18"/>
  <c r="CC36" i="18"/>
  <c r="BM36" i="18"/>
  <c r="BO36" i="18" s="1"/>
  <c r="AY36" i="18"/>
  <c r="AS36" i="18"/>
  <c r="AN36" i="18"/>
  <c r="AB36" i="18"/>
  <c r="U36" i="18"/>
  <c r="CD35" i="18"/>
  <c r="CC35" i="18"/>
  <c r="BM35" i="18"/>
  <c r="BO35" i="18" s="1"/>
  <c r="AY35" i="18"/>
  <c r="AS35" i="18"/>
  <c r="AN35" i="18"/>
  <c r="AT35" i="18" s="1"/>
  <c r="AB35" i="18"/>
  <c r="U35" i="18"/>
  <c r="CD34" i="18"/>
  <c r="CC34" i="18"/>
  <c r="BM34" i="18"/>
  <c r="BO34" i="18" s="1"/>
  <c r="AY34" i="18"/>
  <c r="AS34" i="18"/>
  <c r="AN34" i="18"/>
  <c r="AB34" i="18"/>
  <c r="U34" i="18"/>
  <c r="CD33" i="18"/>
  <c r="CC33" i="18"/>
  <c r="BM33" i="18"/>
  <c r="BO33" i="18" s="1"/>
  <c r="AY33" i="18"/>
  <c r="AS33" i="18"/>
  <c r="AN33" i="18"/>
  <c r="AT33" i="18" s="1"/>
  <c r="AB33" i="18"/>
  <c r="U33" i="18"/>
  <c r="CD32" i="18"/>
  <c r="CC32" i="18"/>
  <c r="BM32" i="18"/>
  <c r="BO32" i="18" s="1"/>
  <c r="AY32" i="18"/>
  <c r="AS32" i="18"/>
  <c r="AN32" i="18"/>
  <c r="AB32" i="18"/>
  <c r="U32" i="18"/>
  <c r="CD31" i="18"/>
  <c r="CC31" i="18"/>
  <c r="BM31" i="18"/>
  <c r="BO31" i="18" s="1"/>
  <c r="AY31" i="18"/>
  <c r="AS31" i="18"/>
  <c r="AN31" i="18"/>
  <c r="AB31" i="18"/>
  <c r="U31" i="18"/>
  <c r="CD30" i="18"/>
  <c r="CC30" i="18"/>
  <c r="BM30" i="18"/>
  <c r="AY30" i="18"/>
  <c r="AS30" i="18"/>
  <c r="AN30" i="18"/>
  <c r="AB30" i="18"/>
  <c r="U30" i="18"/>
  <c r="CD29" i="18"/>
  <c r="CC29" i="18"/>
  <c r="BM29" i="18"/>
  <c r="BO29" i="18" s="1"/>
  <c r="AY29" i="18"/>
  <c r="AS29" i="18"/>
  <c r="AN29" i="18"/>
  <c r="AB29" i="18"/>
  <c r="U29" i="18"/>
  <c r="CD28" i="18"/>
  <c r="CC28" i="18"/>
  <c r="BQ28" i="18"/>
  <c r="BR28" i="18" s="1"/>
  <c r="BM28" i="18"/>
  <c r="BO28" i="18" s="1"/>
  <c r="AY28" i="18"/>
  <c r="AS28" i="18"/>
  <c r="AN28" i="18"/>
  <c r="AB28" i="18"/>
  <c r="U28" i="18"/>
  <c r="CD27" i="18"/>
  <c r="CC27" i="18"/>
  <c r="BQ27" i="18"/>
  <c r="BR27" i="18" s="1"/>
  <c r="BM27" i="18"/>
  <c r="BO27" i="18" s="1"/>
  <c r="AY27" i="18"/>
  <c r="AS27" i="18"/>
  <c r="AN27" i="18"/>
  <c r="AB27" i="18"/>
  <c r="U27" i="18"/>
  <c r="CD26" i="18"/>
  <c r="CC26" i="18"/>
  <c r="BM26" i="18"/>
  <c r="BO26" i="18" s="1"/>
  <c r="AY26" i="18"/>
  <c r="AS26" i="18"/>
  <c r="AN26" i="18"/>
  <c r="AB26" i="18"/>
  <c r="U26" i="18"/>
  <c r="CD25" i="18"/>
  <c r="CC25" i="18"/>
  <c r="AY25" i="18"/>
  <c r="AS25" i="18"/>
  <c r="AN25" i="18"/>
  <c r="AB25" i="18"/>
  <c r="U25" i="18"/>
  <c r="CD24" i="18"/>
  <c r="CC24" i="18"/>
  <c r="AY24" i="18"/>
  <c r="CF24" i="18"/>
  <c r="CG24" i="18" s="1"/>
  <c r="AS24" i="18"/>
  <c r="AN24" i="18"/>
  <c r="AB24" i="18"/>
  <c r="U24" i="18"/>
  <c r="CD23" i="18"/>
  <c r="CC23" i="18"/>
  <c r="BM23" i="18"/>
  <c r="BO23" i="18" s="1"/>
  <c r="AY23" i="18"/>
  <c r="CF23" i="18"/>
  <c r="CG23" i="18" s="1"/>
  <c r="AS23" i="18"/>
  <c r="AN23" i="18"/>
  <c r="AB23" i="18"/>
  <c r="U23" i="18"/>
  <c r="CD22" i="18"/>
  <c r="CC22" i="18"/>
  <c r="BM22" i="18"/>
  <c r="BO22" i="18" s="1"/>
  <c r="AY22" i="18"/>
  <c r="AS22" i="18"/>
  <c r="AN22" i="18"/>
  <c r="AB22" i="18"/>
  <c r="U22" i="18"/>
  <c r="CD21" i="18"/>
  <c r="CC21" i="18"/>
  <c r="BM21" i="18"/>
  <c r="BO21" i="18" s="1"/>
  <c r="AY21" i="18"/>
  <c r="AS21" i="18"/>
  <c r="AN21" i="18"/>
  <c r="AB21" i="18"/>
  <c r="U21" i="18"/>
  <c r="CD20" i="18"/>
  <c r="CC20" i="18"/>
  <c r="BM20" i="18"/>
  <c r="BO20" i="18" s="1"/>
  <c r="AS20" i="18"/>
  <c r="AN20" i="18"/>
  <c r="AB20" i="18"/>
  <c r="U20" i="18"/>
  <c r="CC19" i="18"/>
  <c r="BM19" i="18"/>
  <c r="AY19" i="18"/>
  <c r="AS19" i="18"/>
  <c r="AN19" i="18"/>
  <c r="AB19" i="18"/>
  <c r="U19" i="18"/>
  <c r="CC18" i="18"/>
  <c r="BM18" i="18"/>
  <c r="AY18" i="18"/>
  <c r="CM18" i="18" s="1"/>
  <c r="AS18" i="18"/>
  <c r="AN18" i="18"/>
  <c r="AT18" i="18" s="1"/>
  <c r="AB18" i="18"/>
  <c r="U18" i="18"/>
  <c r="CC17" i="18"/>
  <c r="BM17" i="18"/>
  <c r="AY17" i="18"/>
  <c r="CM17" i="18" s="1"/>
  <c r="AS17" i="18"/>
  <c r="AN17" i="18"/>
  <c r="AB17" i="18"/>
  <c r="U17" i="18"/>
  <c r="CC16" i="18"/>
  <c r="BM16" i="18"/>
  <c r="AY16" i="18"/>
  <c r="CM16" i="18" s="1"/>
  <c r="AS16" i="18"/>
  <c r="AN16" i="18"/>
  <c r="AB16" i="18"/>
  <c r="U16" i="18"/>
  <c r="CC15" i="18"/>
  <c r="BM15" i="18"/>
  <c r="AY15" i="18"/>
  <c r="CM15" i="18" s="1"/>
  <c r="AS15" i="18"/>
  <c r="AN15" i="18"/>
  <c r="AB15" i="18"/>
  <c r="U15" i="18"/>
  <c r="CC14" i="18"/>
  <c r="BM14" i="18"/>
  <c r="AY14" i="18"/>
  <c r="CM14" i="18" s="1"/>
  <c r="AS14" i="18"/>
  <c r="AN14" i="18"/>
  <c r="AB14" i="18"/>
  <c r="U14" i="18"/>
  <c r="CC13" i="18"/>
  <c r="BM13" i="18"/>
  <c r="AY13" i="18"/>
  <c r="CM13" i="18" s="1"/>
  <c r="AS13" i="18"/>
  <c r="AT13" i="18" s="1"/>
  <c r="AB13" i="18"/>
  <c r="BO43" i="18"/>
  <c r="BO51" i="18"/>
  <c r="BO59" i="18"/>
  <c r="BO67" i="18"/>
  <c r="BO70" i="18"/>
  <c r="BQ50" i="18"/>
  <c r="BR50" i="18" s="1"/>
  <c r="BQ66" i="18"/>
  <c r="BR66" i="18" s="1"/>
  <c r="BO30" i="18"/>
  <c r="BQ26" i="18"/>
  <c r="BR26" i="18" s="1"/>
  <c r="BO57" i="18"/>
  <c r="BO65" i="18"/>
  <c r="BQ21" i="18"/>
  <c r="BR21" i="18" s="1"/>
  <c r="BQ53" i="18"/>
  <c r="BR53" i="18" s="1"/>
  <c r="BQ61" i="18"/>
  <c r="BR61" i="18" s="1"/>
  <c r="AT20" i="18"/>
  <c r="BQ20" i="18"/>
  <c r="BR20" i="18" s="1"/>
  <c r="U73" i="18"/>
  <c r="E4" i="18" s="1"/>
  <c r="BZ15" i="18"/>
  <c r="BZ16" i="18"/>
  <c r="AT64" i="18"/>
  <c r="BZ19" i="18"/>
  <c r="AT65" i="18"/>
  <c r="AT66" i="18"/>
  <c r="CL67" i="18"/>
  <c r="BG67" i="18"/>
  <c r="BD67" i="18"/>
  <c r="BE72" i="18"/>
  <c r="BF69" i="18"/>
  <c r="CL64" i="18"/>
  <c r="BF64" i="18"/>
  <c r="BG64" i="18"/>
  <c r="BF67" i="18"/>
  <c r="AT32" i="18" l="1"/>
  <c r="H38" i="23"/>
  <c r="K38" i="23" s="1"/>
  <c r="AT21" i="18"/>
  <c r="AT23" i="18"/>
  <c r="AT25" i="18"/>
  <c r="AT27" i="18"/>
  <c r="AT29" i="18"/>
  <c r="AT31" i="18"/>
  <c r="AT61" i="18"/>
  <c r="AN73" i="18"/>
  <c r="BE69" i="18"/>
  <c r="BE64" i="18"/>
  <c r="BE63" i="18"/>
  <c r="BF72" i="18"/>
  <c r="AT63" i="18"/>
  <c r="BZ18" i="18"/>
  <c r="BZ14" i="18"/>
  <c r="AB73" i="18"/>
  <c r="BE61" i="18"/>
  <c r="BM73" i="18"/>
  <c r="CL63" i="18"/>
  <c r="BG61" i="18"/>
  <c r="BZ17" i="18"/>
  <c r="AS73" i="18"/>
  <c r="M4" i="18" s="1"/>
  <c r="M5" i="18" s="1"/>
  <c r="AY73" i="18"/>
  <c r="N4" i="18" s="1"/>
  <c r="K22" i="23"/>
  <c r="CC73" i="18"/>
  <c r="AT16" i="18"/>
  <c r="AT17" i="18"/>
  <c r="BD61" i="18"/>
  <c r="BD69" i="18"/>
  <c r="BD63" i="18"/>
  <c r="BF63" i="18"/>
  <c r="BG69" i="18"/>
  <c r="BG72" i="18"/>
  <c r="BD72" i="18"/>
  <c r="BF61" i="18"/>
  <c r="AT69" i="18"/>
  <c r="AT15" i="18"/>
  <c r="AT19" i="18"/>
  <c r="AT14" i="18"/>
  <c r="AT67" i="18"/>
  <c r="AT72" i="18"/>
  <c r="BP14" i="18"/>
  <c r="BQ14" i="18" s="1"/>
  <c r="BR14" i="18" s="1"/>
  <c r="BP15" i="18"/>
  <c r="BQ15" i="18" s="1"/>
  <c r="BR15" i="18" s="1"/>
  <c r="BP17" i="18"/>
  <c r="BQ17" i="18" s="1"/>
  <c r="BR17" i="18" s="1"/>
  <c r="BH13" i="18"/>
  <c r="BT13" i="18"/>
  <c r="CL13" i="18"/>
  <c r="BP13" i="18"/>
  <c r="BQ13" i="18" s="1"/>
  <c r="BR13" i="18" s="1"/>
  <c r="BZ13" i="18"/>
  <c r="BH14" i="18"/>
  <c r="CL14" i="18" s="1"/>
  <c r="BT14" i="18"/>
  <c r="CD14" i="18" s="1"/>
  <c r="BH15" i="18"/>
  <c r="BD15" i="18" s="1"/>
  <c r="BT15" i="18"/>
  <c r="CD15" i="18" s="1"/>
  <c r="CE16" i="18"/>
  <c r="CF16" i="18" s="1"/>
  <c r="CG16" i="18" s="1"/>
  <c r="BH17" i="18"/>
  <c r="CL17" i="18" s="1"/>
  <c r="BT17" i="18"/>
  <c r="CD17" i="18" s="1"/>
  <c r="CE18" i="18"/>
  <c r="CF18" i="18" s="1"/>
  <c r="CG18" i="18" s="1"/>
  <c r="BH22" i="18"/>
  <c r="BT22" i="18"/>
  <c r="BH26" i="18"/>
  <c r="BT26" i="18"/>
  <c r="BH28" i="18"/>
  <c r="BT28" i="18"/>
  <c r="BT30" i="18"/>
  <c r="BH30" i="18"/>
  <c r="BH32" i="18"/>
  <c r="BT32" i="18"/>
  <c r="BH34" i="18"/>
  <c r="BT34" i="18"/>
  <c r="BT36" i="18"/>
  <c r="BH36" i="18"/>
  <c r="BH38" i="18"/>
  <c r="BT38" i="18"/>
  <c r="BH39" i="18"/>
  <c r="BT39" i="18"/>
  <c r="BH41" i="18"/>
  <c r="BT41" i="18"/>
  <c r="BH44" i="18"/>
  <c r="BT44" i="18"/>
  <c r="BH46" i="18"/>
  <c r="BT46" i="18"/>
  <c r="BH47" i="18"/>
  <c r="BT47" i="18"/>
  <c r="BH49" i="18"/>
  <c r="BT49" i="18"/>
  <c r="BH52" i="18"/>
  <c r="BT52" i="18"/>
  <c r="BT54" i="18"/>
  <c r="BH54" i="18"/>
  <c r="BH55" i="18"/>
  <c r="BT55" i="18"/>
  <c r="BH57" i="18"/>
  <c r="BT57" i="18"/>
  <c r="BH60" i="18"/>
  <c r="BT60" i="18"/>
  <c r="BH65" i="18"/>
  <c r="BT65" i="18"/>
  <c r="BH66" i="18"/>
  <c r="BT66" i="18"/>
  <c r="BT70" i="18"/>
  <c r="BH70" i="18"/>
  <c r="AT70" i="18"/>
  <c r="BH71" i="18"/>
  <c r="BT71" i="18"/>
  <c r="CE13" i="18"/>
  <c r="CF13" i="18" s="1"/>
  <c r="CG13" i="18" s="1"/>
  <c r="CE14" i="18"/>
  <c r="CF14" i="18" s="1"/>
  <c r="CG14" i="18" s="1"/>
  <c r="CE15" i="18"/>
  <c r="CF15" i="18" s="1"/>
  <c r="CG15" i="18" s="1"/>
  <c r="BH16" i="18"/>
  <c r="CL16" i="18" s="1"/>
  <c r="BT16" i="18"/>
  <c r="CD16" i="18" s="1"/>
  <c r="BP16" i="18"/>
  <c r="BQ16" i="18" s="1"/>
  <c r="BR16" i="18" s="1"/>
  <c r="CE17" i="18"/>
  <c r="CF17" i="18" s="1"/>
  <c r="CG17" i="18" s="1"/>
  <c r="BH18" i="18"/>
  <c r="CL18" i="18" s="1"/>
  <c r="BT18" i="18"/>
  <c r="CD18" i="18" s="1"/>
  <c r="BP18" i="18"/>
  <c r="BQ18" i="18" s="1"/>
  <c r="BR18" i="18" s="1"/>
  <c r="BH19" i="18"/>
  <c r="CL19" i="18" s="1"/>
  <c r="CM19" i="18"/>
  <c r="CM73" i="18" s="1"/>
  <c r="BT19" i="18"/>
  <c r="CD19" i="18" s="1"/>
  <c r="BH20" i="18"/>
  <c r="BT20" i="18"/>
  <c r="BH21" i="18"/>
  <c r="BT21" i="18"/>
  <c r="AT22" i="18"/>
  <c r="BT23" i="18"/>
  <c r="BH23" i="18"/>
  <c r="AT24" i="18"/>
  <c r="AT26" i="18"/>
  <c r="BH27" i="18"/>
  <c r="BT27" i="18"/>
  <c r="AT28" i="18"/>
  <c r="BT29" i="18"/>
  <c r="BH29" i="18"/>
  <c r="AT30" i="18"/>
  <c r="BH31" i="18"/>
  <c r="BT31" i="18"/>
  <c r="BH33" i="18"/>
  <c r="BT33" i="18"/>
  <c r="AT34" i="18"/>
  <c r="BH35" i="18"/>
  <c r="BT35" i="18"/>
  <c r="AT36" i="18"/>
  <c r="BH37" i="18"/>
  <c r="BT37" i="18"/>
  <c r="AT38" i="18"/>
  <c r="AT39" i="18"/>
  <c r="BH40" i="18"/>
  <c r="BT40" i="18"/>
  <c r="BT42" i="18"/>
  <c r="BH42" i="18"/>
  <c r="BH43" i="18"/>
  <c r="BT43" i="18"/>
  <c r="AT44" i="18"/>
  <c r="BH45" i="18"/>
  <c r="BT45" i="18"/>
  <c r="AT46" i="18"/>
  <c r="AT47" i="18"/>
  <c r="BT48" i="18"/>
  <c r="BH48" i="18"/>
  <c r="BH50" i="18"/>
  <c r="BT50" i="18"/>
  <c r="BH51" i="18"/>
  <c r="BT51" i="18"/>
  <c r="AT52" i="18"/>
  <c r="BH53" i="18"/>
  <c r="BT53" i="18"/>
  <c r="AT54" i="18"/>
  <c r="AT55" i="18"/>
  <c r="BH56" i="18"/>
  <c r="BT56" i="18"/>
  <c r="BH58" i="18"/>
  <c r="BT58" i="18"/>
  <c r="BH59" i="18"/>
  <c r="BT59" i="18"/>
  <c r="AT60" i="18"/>
  <c r="BH62" i="18"/>
  <c r="BT62" i="18"/>
  <c r="AT62" i="18"/>
  <c r="BH68" i="18"/>
  <c r="BT68" i="18"/>
  <c r="AT68" i="18"/>
  <c r="BT69" i="18"/>
  <c r="BT67" i="18"/>
  <c r="BT63" i="18"/>
  <c r="BT61" i="18"/>
  <c r="BT72" i="18"/>
  <c r="BT64" i="18"/>
  <c r="CL15" i="18" l="1"/>
  <c r="AT73" i="18"/>
  <c r="N5" i="18"/>
  <c r="BP19" i="18"/>
  <c r="BQ19" i="18" s="1"/>
  <c r="BR19" i="18" s="1"/>
  <c r="BG51" i="18"/>
  <c r="CL51" i="18"/>
  <c r="BE51" i="18"/>
  <c r="BF51" i="18"/>
  <c r="BD51" i="18"/>
  <c r="CL42" i="18"/>
  <c r="BD42" i="18"/>
  <c r="BG42" i="18"/>
  <c r="BF42" i="18"/>
  <c r="BE42" i="18"/>
  <c r="CL35" i="18"/>
  <c r="BF35" i="18"/>
  <c r="BE35" i="18"/>
  <c r="BG35" i="18"/>
  <c r="BD35" i="18"/>
  <c r="BF31" i="18"/>
  <c r="CL31" i="18"/>
  <c r="BG31" i="18"/>
  <c r="BD31" i="18"/>
  <c r="BE31" i="18"/>
  <c r="CL29" i="18"/>
  <c r="BE29" i="18"/>
  <c r="BG29" i="18"/>
  <c r="BD29" i="18"/>
  <c r="BF29" i="18"/>
  <c r="CL27" i="18"/>
  <c r="BF27" i="18"/>
  <c r="BE27" i="18"/>
  <c r="BG27" i="18"/>
  <c r="BD27" i="18"/>
  <c r="BF65" i="18"/>
  <c r="CL65" i="18"/>
  <c r="BE65" i="18"/>
  <c r="BD65" i="18"/>
  <c r="BG65" i="18"/>
  <c r="CL60" i="18"/>
  <c r="BE60" i="18"/>
  <c r="BD60" i="18"/>
  <c r="BG60" i="18"/>
  <c r="BF60" i="18"/>
  <c r="CL57" i="18"/>
  <c r="BF57" i="18"/>
  <c r="BE57" i="18"/>
  <c r="BD57" i="18"/>
  <c r="BG57" i="18"/>
  <c r="CL52" i="18"/>
  <c r="BE52" i="18"/>
  <c r="BD52" i="18"/>
  <c r="BG52" i="18"/>
  <c r="BF52" i="18"/>
  <c r="CL47" i="18"/>
  <c r="BD47" i="18"/>
  <c r="BE47" i="18"/>
  <c r="BF47" i="18"/>
  <c r="BG47" i="18"/>
  <c r="CL46" i="18"/>
  <c r="BD46" i="18"/>
  <c r="BG46" i="18"/>
  <c r="BF46" i="18"/>
  <c r="BE46" i="18"/>
  <c r="BG44" i="18"/>
  <c r="BD44" i="18"/>
  <c r="CL44" i="18"/>
  <c r="BF44" i="18"/>
  <c r="BE44" i="18"/>
  <c r="BF39" i="18"/>
  <c r="BG39" i="18"/>
  <c r="CL39" i="18"/>
  <c r="BD39" i="18"/>
  <c r="BE39" i="18"/>
  <c r="CL68" i="18"/>
  <c r="BE68" i="18"/>
  <c r="BD68" i="18"/>
  <c r="BG68" i="18"/>
  <c r="BF68" i="18"/>
  <c r="CL59" i="18"/>
  <c r="BF59" i="18"/>
  <c r="BE59" i="18"/>
  <c r="BD59" i="18"/>
  <c r="BG59" i="18"/>
  <c r="BF58" i="18"/>
  <c r="BG58" i="18"/>
  <c r="CL58" i="18"/>
  <c r="BD58" i="18"/>
  <c r="BE58" i="18"/>
  <c r="CL56" i="18"/>
  <c r="BD56" i="18"/>
  <c r="BG56" i="18"/>
  <c r="BF56" i="18"/>
  <c r="BE56" i="18"/>
  <c r="CL53" i="18"/>
  <c r="BD53" i="18"/>
  <c r="BG53" i="18"/>
  <c r="BF53" i="18"/>
  <c r="BE53" i="18"/>
  <c r="BG48" i="18"/>
  <c r="BE48" i="18"/>
  <c r="CL48" i="18"/>
  <c r="BD48" i="18"/>
  <c r="BF48" i="18"/>
  <c r="CL43" i="18"/>
  <c r="BG43" i="18"/>
  <c r="BF43" i="18"/>
  <c r="BE43" i="18"/>
  <c r="BD43" i="18"/>
  <c r="BG40" i="18"/>
  <c r="BE40" i="18"/>
  <c r="CL40" i="18"/>
  <c r="BD40" i="18"/>
  <c r="BF40" i="18"/>
  <c r="CL37" i="18"/>
  <c r="BE37" i="18"/>
  <c r="BF37" i="18"/>
  <c r="BG37" i="18"/>
  <c r="BD37" i="18"/>
  <c r="BG33" i="18"/>
  <c r="BF33" i="18"/>
  <c r="CL33" i="18"/>
  <c r="BE33" i="18"/>
  <c r="BD33" i="18"/>
  <c r="CL25" i="18"/>
  <c r="BG23" i="18"/>
  <c r="BE23" i="18"/>
  <c r="CL23" i="18"/>
  <c r="BD23" i="18"/>
  <c r="BF23" i="18"/>
  <c r="CL21" i="18"/>
  <c r="BG21" i="18"/>
  <c r="BE21" i="18"/>
  <c r="BF21" i="18"/>
  <c r="BD21" i="18"/>
  <c r="BF20" i="18"/>
  <c r="BE20" i="18"/>
  <c r="CL20" i="18"/>
  <c r="BD20" i="18"/>
  <c r="BG20" i="18"/>
  <c r="BE19" i="18"/>
  <c r="BD19" i="18"/>
  <c r="BG19" i="18"/>
  <c r="BF19" i="18"/>
  <c r="BO19" i="18"/>
  <c r="CL71" i="18"/>
  <c r="BF71" i="18"/>
  <c r="BG71" i="18"/>
  <c r="BE71" i="18"/>
  <c r="BD71" i="18"/>
  <c r="BF70" i="18"/>
  <c r="BE70" i="18"/>
  <c r="CL70" i="18"/>
  <c r="BD70" i="18"/>
  <c r="BG70" i="18"/>
  <c r="BF54" i="18"/>
  <c r="BG54" i="18"/>
  <c r="CL54" i="18"/>
  <c r="BD54" i="18"/>
  <c r="BE54" i="18"/>
  <c r="BG36" i="18"/>
  <c r="BD36" i="18"/>
  <c r="CL36" i="18"/>
  <c r="BF36" i="18"/>
  <c r="BE36" i="18"/>
  <c r="CL30" i="18"/>
  <c r="BE30" i="18"/>
  <c r="BD30" i="18"/>
  <c r="BG30" i="18"/>
  <c r="BF30" i="18"/>
  <c r="CL24" i="18"/>
  <c r="CE19" i="18"/>
  <c r="CF19" i="18" s="1"/>
  <c r="CG19" i="18" s="1"/>
  <c r="BF15" i="18"/>
  <c r="BE15" i="18"/>
  <c r="BG15" i="18"/>
  <c r="BO15" i="18"/>
  <c r="BD14" i="18"/>
  <c r="BO14" i="18"/>
  <c r="BF14" i="18"/>
  <c r="BE14" i="18"/>
  <c r="BG14" i="18"/>
  <c r="BT73" i="18"/>
  <c r="CD73" i="18" s="1"/>
  <c r="CD13" i="18"/>
  <c r="CL62" i="18"/>
  <c r="BD62" i="18"/>
  <c r="BE62" i="18"/>
  <c r="BF62" i="18"/>
  <c r="BG62" i="18"/>
  <c r="BF50" i="18"/>
  <c r="BG50" i="18"/>
  <c r="CL50" i="18"/>
  <c r="BD50" i="18"/>
  <c r="BE50" i="18"/>
  <c r="CL45" i="18"/>
  <c r="BG45" i="18"/>
  <c r="BD45" i="18"/>
  <c r="BE45" i="18"/>
  <c r="BF45" i="18"/>
  <c r="BP73" i="18"/>
  <c r="BQ73" i="18" s="1"/>
  <c r="BR73" i="18" s="1"/>
  <c r="CE73" i="18"/>
  <c r="CF73" i="18" s="1"/>
  <c r="CG73" i="18" s="1"/>
  <c r="BG18" i="18"/>
  <c r="BF18" i="18"/>
  <c r="BO18" i="18"/>
  <c r="BE18" i="18"/>
  <c r="BD18" i="18"/>
  <c r="BF16" i="18"/>
  <c r="BD16" i="18"/>
  <c r="BG16" i="18"/>
  <c r="BO16" i="18"/>
  <c r="BE16" i="18"/>
  <c r="BF66" i="18"/>
  <c r="BE66" i="18"/>
  <c r="CL66" i="18"/>
  <c r="BD66" i="18"/>
  <c r="BG66" i="18"/>
  <c r="BG55" i="18"/>
  <c r="BF55" i="18"/>
  <c r="CL55" i="18"/>
  <c r="BD55" i="18"/>
  <c r="BE55" i="18"/>
  <c r="BG49" i="18"/>
  <c r="BE49" i="18"/>
  <c r="CL49" i="18"/>
  <c r="BD49" i="18"/>
  <c r="BF49" i="18"/>
  <c r="BG41" i="18"/>
  <c r="CL41" i="18"/>
  <c r="BD41" i="18"/>
  <c r="BF41" i="18"/>
  <c r="BE41" i="18"/>
  <c r="CL38" i="18"/>
  <c r="BD38" i="18"/>
  <c r="BE38" i="18"/>
  <c r="BF38" i="18"/>
  <c r="BG38" i="18"/>
  <c r="BG34" i="18"/>
  <c r="BF34" i="18"/>
  <c r="CL34" i="18"/>
  <c r="BE34" i="18"/>
  <c r="BD34" i="18"/>
  <c r="CL32" i="18"/>
  <c r="BD32" i="18"/>
  <c r="BF32" i="18"/>
  <c r="BG32" i="18"/>
  <c r="BE32" i="18"/>
  <c r="BG28" i="18"/>
  <c r="BD28" i="18"/>
  <c r="CL28" i="18"/>
  <c r="BF28" i="18"/>
  <c r="BE28" i="18"/>
  <c r="BG26" i="18"/>
  <c r="BF26" i="18"/>
  <c r="CL26" i="18"/>
  <c r="BE26" i="18"/>
  <c r="BD26" i="18"/>
  <c r="CL22" i="18"/>
  <c r="BE22" i="18"/>
  <c r="BD22" i="18"/>
  <c r="BG22" i="18"/>
  <c r="BF22" i="18"/>
  <c r="BG17" i="18"/>
  <c r="BF17" i="18"/>
  <c r="BD17" i="18"/>
  <c r="BE17" i="18"/>
  <c r="BO17" i="18"/>
  <c r="BD13" i="18"/>
  <c r="BH73" i="18"/>
  <c r="BE13" i="18"/>
  <c r="BO13" i="18"/>
  <c r="BG13" i="18"/>
  <c r="BF13" i="18"/>
  <c r="CL73" i="18" l="1"/>
  <c r="BZ73" i="18" s="1"/>
  <c r="E5" i="18" s="1"/>
  <c r="BD73" i="18"/>
  <c r="BG73" i="18"/>
  <c r="BO73" i="18"/>
  <c r="BF73" i="18"/>
  <c r="BE7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情報システム事業部</author>
    <author>本間 正義</author>
  </authors>
  <commentList>
    <comment ref="BE2" authorId="0" shapeId="0" xr:uid="{00000000-0006-0000-0200-000001000000}">
      <text>
        <r>
          <rPr>
            <b/>
            <sz val="9"/>
            <color indexed="81"/>
            <rFont val="ＭＳ Ｐゴシック"/>
            <family val="3"/>
            <charset val="128"/>
          </rPr>
          <t>作業対象ｽﾃｯﾌﾟ当りのPCL基準値</t>
        </r>
      </text>
    </comment>
    <comment ref="BE3" authorId="0" shapeId="0" xr:uid="{00000000-0006-0000-0200-000002000000}">
      <text>
        <r>
          <rPr>
            <b/>
            <sz val="9"/>
            <color indexed="81"/>
            <rFont val="ＭＳ Ｐゴシック"/>
            <family val="3"/>
            <charset val="128"/>
          </rPr>
          <t>作業対象ステップ当りの
UTバグ件数基準値</t>
        </r>
      </text>
    </comment>
    <comment ref="BR10" authorId="0" shapeId="0" xr:uid="{00000000-0006-0000-0200-000003000000}">
      <text>
        <r>
          <rPr>
            <sz val="9"/>
            <color indexed="81"/>
            <rFont val="ＭＳ Ｐゴシック"/>
            <family val="3"/>
            <charset val="128"/>
          </rPr>
          <t>[対密度]の％が
・超過：チェック項目判定基準の上限(G)より大きい
・良好：チェック項目判定基準の範囲内
・過少：チェック項目判定基準の下限(H)より小さい</t>
        </r>
      </text>
    </comment>
    <comment ref="CG11" authorId="0" shapeId="0" xr:uid="{00000000-0006-0000-0200-000004000000}">
      <text>
        <r>
          <rPr>
            <sz val="9"/>
            <color indexed="81"/>
            <rFont val="ＭＳ Ｐゴシック"/>
            <family val="3"/>
            <charset val="128"/>
          </rPr>
          <t>[対密度]の％が
・超過：バグ判定基準の上限（I)より大きい
・良好：バグ判定基準の範囲内
・不足：バグ判定基準の下限(J)より小さい</t>
        </r>
      </text>
    </comment>
    <comment ref="CI11" authorId="1" shapeId="0" xr:uid="{00000000-0006-0000-0200-000005000000}">
      <text>
        <r>
          <rPr>
            <sz val="9"/>
            <color indexed="81"/>
            <rFont val="ＭＳ Ｐゴシック"/>
            <family val="3"/>
            <charset val="128"/>
          </rPr>
          <t>Ｃ0：命令網羅性
（全ステートメント実行率）</t>
        </r>
      </text>
    </comment>
    <comment ref="CJ11" authorId="1" shapeId="0" xr:uid="{00000000-0006-0000-0200-000006000000}">
      <text>
        <r>
          <rPr>
            <sz val="9"/>
            <color indexed="81"/>
            <rFont val="ＭＳ Ｐゴシック"/>
            <family val="3"/>
            <charset val="128"/>
          </rPr>
          <t>Ｃ１：分岐網羅率
(全分岐経路実行率）</t>
        </r>
      </text>
    </comment>
    <comment ref="H12" authorId="2" shapeId="0" xr:uid="{00000000-0006-0000-0200-000007000000}">
      <text>
        <r>
          <rPr>
            <sz val="9"/>
            <color indexed="81"/>
            <rFont val="ＭＳ Ｐゴシック"/>
            <family val="3"/>
            <charset val="128"/>
          </rPr>
          <t>直接入力も可
[選択肢]
新規
改造</t>
        </r>
      </text>
    </comment>
    <comment ref="I12" authorId="2" shapeId="0" xr:uid="{00000000-0006-0000-0200-000008000000}">
      <text>
        <r>
          <rPr>
            <sz val="9"/>
            <color indexed="81"/>
            <rFont val="ＭＳ Ｐゴシック"/>
            <family val="3"/>
            <charset val="128"/>
          </rPr>
          <t>直接入力も可。
[選択肢]
・画面
・帳票
・バッチ
・その他</t>
        </r>
      </text>
    </comment>
  </commentList>
</comments>
</file>

<file path=xl/sharedStrings.xml><?xml version="1.0" encoding="utf-8"?>
<sst xmlns="http://schemas.openxmlformats.org/spreadsheetml/2006/main" count="664" uniqueCount="344">
  <si>
    <t>担当</t>
  </si>
  <si>
    <t>備考</t>
  </si>
  <si>
    <t>正常</t>
  </si>
  <si>
    <t>項番</t>
    <rPh sb="0" eb="1">
      <t>コウ</t>
    </rPh>
    <rPh sb="1" eb="2">
      <t>バン</t>
    </rPh>
    <phoneticPr fontId="20"/>
  </si>
  <si>
    <t>実績</t>
    <rPh sb="0" eb="2">
      <t>ジッセキ</t>
    </rPh>
    <phoneticPr fontId="20"/>
  </si>
  <si>
    <t>カバレージ</t>
    <phoneticPr fontId="2"/>
  </si>
  <si>
    <t>予定日</t>
    <rPh sb="0" eb="2">
      <t>ヨテイ</t>
    </rPh>
    <rPh sb="2" eb="3">
      <t>ビ</t>
    </rPh>
    <phoneticPr fontId="2"/>
  </si>
  <si>
    <t>実績日</t>
    <rPh sb="0" eb="2">
      <t>ジッセキ</t>
    </rPh>
    <rPh sb="2" eb="3">
      <t>ビ</t>
    </rPh>
    <phoneticPr fontId="2"/>
  </si>
  <si>
    <t>予定日</t>
    <rPh sb="0" eb="3">
      <t>ヨテイビ</t>
    </rPh>
    <phoneticPr fontId="2"/>
  </si>
  <si>
    <t>開始</t>
    <rPh sb="0" eb="2">
      <t>カイシ</t>
    </rPh>
    <phoneticPr fontId="2"/>
  </si>
  <si>
    <t>終了</t>
    <rPh sb="0" eb="2">
      <t>シュウリョウ</t>
    </rPh>
    <phoneticPr fontId="2"/>
  </si>
  <si>
    <t>社内レビュー</t>
    <rPh sb="0" eb="2">
      <t>シャナイ</t>
    </rPh>
    <phoneticPr fontId="2"/>
  </si>
  <si>
    <t>AD（アプリケーション詳細設計）</t>
    <rPh sb="11" eb="13">
      <t>ショウサイ</t>
    </rPh>
    <rPh sb="13" eb="15">
      <t>セッケイ</t>
    </rPh>
    <phoneticPr fontId="2"/>
  </si>
  <si>
    <t>進捗率</t>
    <rPh sb="0" eb="2">
      <t>シンチョク</t>
    </rPh>
    <rPh sb="2" eb="3">
      <t>リツ</t>
    </rPh>
    <phoneticPr fontId="2"/>
  </si>
  <si>
    <t>チェック項目密度(件/ks）</t>
    <rPh sb="4" eb="6">
      <t>コウモク</t>
    </rPh>
    <rPh sb="6" eb="8">
      <t>ミツド</t>
    </rPh>
    <rPh sb="9" eb="10">
      <t>ケン</t>
    </rPh>
    <phoneticPr fontId="2"/>
  </si>
  <si>
    <t>UT工程_予定密度　※</t>
    <rPh sb="2" eb="4">
      <t>コウテイ</t>
    </rPh>
    <rPh sb="5" eb="7">
      <t>ヨテイ</t>
    </rPh>
    <rPh sb="7" eb="9">
      <t>ミツド</t>
    </rPh>
    <phoneticPr fontId="2"/>
  </si>
  <si>
    <t>バグ密度　　(件/ks）</t>
    <phoneticPr fontId="2"/>
  </si>
  <si>
    <t>UT工程_目標・乖離の判定基準　※</t>
    <rPh sb="2" eb="4">
      <t>コウテイ</t>
    </rPh>
    <rPh sb="5" eb="7">
      <t>モクヒョウ</t>
    </rPh>
    <rPh sb="8" eb="10">
      <t>カイリ</t>
    </rPh>
    <rPh sb="11" eb="13">
      <t>ハンテイ</t>
    </rPh>
    <rPh sb="13" eb="15">
      <t>キジュン</t>
    </rPh>
    <phoneticPr fontId="2"/>
  </si>
  <si>
    <t>※　プロジェクト計画書またはテスト計画書にて定めた評価基準を記載する</t>
    <rPh sb="8" eb="11">
      <t>ケイカクショ</t>
    </rPh>
    <rPh sb="17" eb="20">
      <t>ケイカクショ</t>
    </rPh>
    <rPh sb="22" eb="23">
      <t>サダ</t>
    </rPh>
    <rPh sb="25" eb="27">
      <t>ヒョウカ</t>
    </rPh>
    <rPh sb="27" eb="29">
      <t>キジュン</t>
    </rPh>
    <rPh sb="30" eb="32">
      <t>キサイ</t>
    </rPh>
    <phoneticPr fontId="2"/>
  </si>
  <si>
    <t>-</t>
    <phoneticPr fontId="2"/>
  </si>
  <si>
    <t>評価</t>
    <rPh sb="0" eb="2">
      <t>ヒョウカ</t>
    </rPh>
    <phoneticPr fontId="2"/>
  </si>
  <si>
    <t>評価コメント</t>
    <rPh sb="0" eb="2">
      <t>ヒョウカ</t>
    </rPh>
    <phoneticPr fontId="2"/>
  </si>
  <si>
    <t>成果物量（ページ数）</t>
    <rPh sb="0" eb="2">
      <t>セイカ</t>
    </rPh>
    <rPh sb="2" eb="3">
      <t>ブツ</t>
    </rPh>
    <rPh sb="3" eb="4">
      <t>リョウ</t>
    </rPh>
    <rPh sb="8" eb="9">
      <t>スウ</t>
    </rPh>
    <phoneticPr fontId="2"/>
  </si>
  <si>
    <t>母体</t>
    <phoneticPr fontId="2"/>
  </si>
  <si>
    <t>PCL作成</t>
    <rPh sb="3" eb="5">
      <t>サクセイ</t>
    </rPh>
    <phoneticPr fontId="2"/>
  </si>
  <si>
    <t>PCL消化</t>
    <rPh sb="3" eb="5">
      <t>ショウカ</t>
    </rPh>
    <phoneticPr fontId="20"/>
  </si>
  <si>
    <t>工程</t>
    <rPh sb="0" eb="2">
      <t>コウテイ</t>
    </rPh>
    <phoneticPr fontId="2"/>
  </si>
  <si>
    <t>ＡＤ</t>
    <phoneticPr fontId="2"/>
  </si>
  <si>
    <t>工程別　進捗率一覧</t>
    <rPh sb="0" eb="2">
      <t>コウテイ</t>
    </rPh>
    <rPh sb="2" eb="3">
      <t>ベツ</t>
    </rPh>
    <rPh sb="4" eb="6">
      <t>シンチョク</t>
    </rPh>
    <rPh sb="6" eb="7">
      <t>リツ</t>
    </rPh>
    <rPh sb="7" eb="9">
      <t>イチラン</t>
    </rPh>
    <phoneticPr fontId="2"/>
  </si>
  <si>
    <t>チェック項目判定基準　上限(＋n%）</t>
    <rPh sb="4" eb="6">
      <t>コウモク</t>
    </rPh>
    <rPh sb="6" eb="8">
      <t>ハンテイ</t>
    </rPh>
    <rPh sb="8" eb="10">
      <t>キジュン</t>
    </rPh>
    <rPh sb="11" eb="13">
      <t>ジョウゲン</t>
    </rPh>
    <phoneticPr fontId="2"/>
  </si>
  <si>
    <t>バグ件数判定基準　上限(＋n%）</t>
    <rPh sb="2" eb="4">
      <t>ケンスウ</t>
    </rPh>
    <rPh sb="4" eb="6">
      <t>ハンテイ</t>
    </rPh>
    <rPh sb="6" eb="8">
      <t>キジュン</t>
    </rPh>
    <rPh sb="9" eb="11">
      <t>ジョウゲン</t>
    </rPh>
    <phoneticPr fontId="2"/>
  </si>
  <si>
    <t>チェック項目判定基準　下限(－n%）</t>
    <rPh sb="4" eb="6">
      <t>コウモク</t>
    </rPh>
    <rPh sb="6" eb="8">
      <t>ハンテイ</t>
    </rPh>
    <rPh sb="8" eb="10">
      <t>キジュン</t>
    </rPh>
    <rPh sb="11" eb="13">
      <t>カゲン</t>
    </rPh>
    <phoneticPr fontId="2"/>
  </si>
  <si>
    <t>正常</t>
    <rPh sb="0" eb="2">
      <t>セイジョウ</t>
    </rPh>
    <phoneticPr fontId="2"/>
  </si>
  <si>
    <t>異常例外</t>
    <rPh sb="0" eb="2">
      <t>イジョウ</t>
    </rPh>
    <rPh sb="2" eb="4">
      <t>レイガイ</t>
    </rPh>
    <phoneticPr fontId="2"/>
  </si>
  <si>
    <t>限界境界</t>
    <rPh sb="0" eb="2">
      <t>ゲンカイ</t>
    </rPh>
    <rPh sb="2" eb="4">
      <t>キョウカイ</t>
    </rPh>
    <phoneticPr fontId="2"/>
  </si>
  <si>
    <t>総計</t>
    <rPh sb="0" eb="2">
      <t>ソウケイ</t>
    </rPh>
    <phoneticPr fontId="2"/>
  </si>
  <si>
    <t>言語</t>
  </si>
  <si>
    <t>C0</t>
    <phoneticPr fontId="2"/>
  </si>
  <si>
    <t>C1</t>
    <phoneticPr fontId="2"/>
  </si>
  <si>
    <t>成果物作成</t>
    <rPh sb="0" eb="3">
      <t>セイカブツ</t>
    </rPh>
    <rPh sb="3" eb="5">
      <t>サクセイ</t>
    </rPh>
    <phoneticPr fontId="2"/>
  </si>
  <si>
    <t>机上</t>
    <rPh sb="0" eb="2">
      <t>キジョウ</t>
    </rPh>
    <phoneticPr fontId="2"/>
  </si>
  <si>
    <t>実機</t>
    <rPh sb="0" eb="2">
      <t>ジッキ</t>
    </rPh>
    <phoneticPr fontId="2"/>
  </si>
  <si>
    <t>進捗確認日</t>
    <rPh sb="0" eb="2">
      <t>シンチョク</t>
    </rPh>
    <rPh sb="2" eb="4">
      <t>カクニン</t>
    </rPh>
    <rPh sb="4" eb="5">
      <t>ビ</t>
    </rPh>
    <phoneticPr fontId="2"/>
  </si>
  <si>
    <r>
      <t>予定(</t>
    </r>
    <r>
      <rPr>
        <sz val="11"/>
        <rFont val="ＭＳ Ｐゴシック"/>
        <family val="3"/>
        <charset val="128"/>
      </rPr>
      <t>Step数)</t>
    </r>
    <rPh sb="0" eb="2">
      <t>ヨテイ</t>
    </rPh>
    <rPh sb="7" eb="8">
      <t>スウ</t>
    </rPh>
    <phoneticPr fontId="2"/>
  </si>
  <si>
    <t>バグ件数</t>
    <rPh sb="2" eb="4">
      <t>ケンスウ</t>
    </rPh>
    <phoneticPr fontId="2"/>
  </si>
  <si>
    <t>承認</t>
    <rPh sb="0" eb="2">
      <t>ショウニン</t>
    </rPh>
    <phoneticPr fontId="2"/>
  </si>
  <si>
    <t>審査</t>
    <rPh sb="0" eb="2">
      <t>シンサ</t>
    </rPh>
    <phoneticPr fontId="2"/>
  </si>
  <si>
    <t>作成</t>
    <rPh sb="0" eb="2">
      <t>サクセイ</t>
    </rPh>
    <phoneticPr fontId="2"/>
  </si>
  <si>
    <t>計画時</t>
    <rPh sb="0" eb="2">
      <t>ケイカク</t>
    </rPh>
    <rPh sb="2" eb="3">
      <t>ジ</t>
    </rPh>
    <phoneticPr fontId="2"/>
  </si>
  <si>
    <t>完了時</t>
    <rPh sb="0" eb="2">
      <t>カンリョウ</t>
    </rPh>
    <rPh sb="2" eb="3">
      <t>ジ</t>
    </rPh>
    <phoneticPr fontId="2"/>
  </si>
  <si>
    <t>単体プロセス管理票（ＵＴ）</t>
    <rPh sb="0" eb="2">
      <t>タンタイ</t>
    </rPh>
    <rPh sb="6" eb="8">
      <t>カンリ</t>
    </rPh>
    <rPh sb="8" eb="9">
      <t>ヒョウ</t>
    </rPh>
    <phoneticPr fontId="2"/>
  </si>
  <si>
    <t>単体プロセス管理票（ＣＴ）</t>
    <rPh sb="0" eb="2">
      <t>タンタイ</t>
    </rPh>
    <rPh sb="6" eb="8">
      <t>カンリ</t>
    </rPh>
    <rPh sb="8" eb="9">
      <t>ヒョウ</t>
    </rPh>
    <phoneticPr fontId="2"/>
  </si>
  <si>
    <t>ｲﾝﾀｰﾌｪｰｽ</t>
    <phoneticPr fontId="2"/>
  </si>
  <si>
    <t>記入例</t>
    <rPh sb="0" eb="2">
      <t>キニュウ</t>
    </rPh>
    <rPh sb="2" eb="3">
      <t>レイ</t>
    </rPh>
    <phoneticPr fontId="2"/>
  </si>
  <si>
    <t>大分類</t>
    <rPh sb="0" eb="3">
      <t>ダイブンルイ</t>
    </rPh>
    <phoneticPr fontId="2"/>
  </si>
  <si>
    <t>中分類</t>
    <rPh sb="0" eb="3">
      <t>チュウブンルイ</t>
    </rPh>
    <phoneticPr fontId="2"/>
  </si>
  <si>
    <t>小分類</t>
    <rPh sb="0" eb="3">
      <t>ショウブンルイ</t>
    </rPh>
    <phoneticPr fontId="2"/>
  </si>
  <si>
    <t>ﾌﾟﾛｸﾞﾗﾑ名</t>
    <rPh sb="7" eb="8">
      <t>メイ</t>
    </rPh>
    <phoneticPr fontId="2"/>
  </si>
  <si>
    <t>ﾓｼﾞｭｰﾙＩＤ</t>
    <phoneticPr fontId="2"/>
  </si>
  <si>
    <t>異常
例外</t>
    <phoneticPr fontId="2"/>
  </si>
  <si>
    <t>限界
境界</t>
    <phoneticPr fontId="2"/>
  </si>
  <si>
    <t>デグレ
(内数)</t>
    <phoneticPr fontId="2"/>
  </si>
  <si>
    <t>自動
生成</t>
    <rPh sb="0" eb="2">
      <t>ジドウ</t>
    </rPh>
    <rPh sb="3" eb="5">
      <t>セイセイ</t>
    </rPh>
    <phoneticPr fontId="2"/>
  </si>
  <si>
    <t>実績(Step数)</t>
    <rPh sb="7" eb="8">
      <t>スウ</t>
    </rPh>
    <phoneticPr fontId="20"/>
  </si>
  <si>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</si>
  <si>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</si>
  <si>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</si>
  <si>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</si>
  <si>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</si>
  <si>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</si>
  <si>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</si>
  <si>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</si>
  <si>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</si>
  <si>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</si>
  <si>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(J)</t>
    <phoneticPr fontId="2"/>
  </si>
  <si>
    <t>ｲﾝﾀ
ﾌｪｰｽ</t>
    <phoneticPr fontId="2"/>
  </si>
  <si>
    <t>規模(Step数)</t>
    <rPh sb="0" eb="2">
      <t>キボ</t>
    </rPh>
    <rPh sb="7" eb="8">
      <t>スウ</t>
    </rPh>
    <phoneticPr fontId="2"/>
  </si>
  <si>
    <t>承認日</t>
    <rPh sb="0" eb="2">
      <t>ショウニン</t>
    </rPh>
    <rPh sb="2" eb="3">
      <t>ヒ</t>
    </rPh>
    <phoneticPr fontId="2"/>
  </si>
  <si>
    <t>実施日</t>
    <rPh sb="0" eb="2">
      <t>ジッシ</t>
    </rPh>
    <rPh sb="2" eb="3">
      <t>ヒ</t>
    </rPh>
    <phoneticPr fontId="2"/>
  </si>
  <si>
    <t>AD</t>
    <phoneticPr fontId="2"/>
  </si>
  <si>
    <t>社内レビュー_完了CHK</t>
    <rPh sb="0" eb="2">
      <t>シャナイ</t>
    </rPh>
    <rPh sb="7" eb="9">
      <t>カンリョウ</t>
    </rPh>
    <phoneticPr fontId="2"/>
  </si>
  <si>
    <t>バグ件数判定基準　下限(－n%）</t>
    <rPh sb="2" eb="4">
      <t>ケンスウ</t>
    </rPh>
    <rPh sb="4" eb="6">
      <t>ハンテイ</t>
    </rPh>
    <rPh sb="6" eb="8">
      <t>キジュン</t>
    </rPh>
    <rPh sb="9" eb="11">
      <t>カゲン</t>
    </rPh>
    <phoneticPr fontId="2"/>
  </si>
  <si>
    <t>変更
追加</t>
    <rPh sb="0" eb="2">
      <t>ヘンコウ</t>
    </rPh>
    <rPh sb="3" eb="5">
      <t>ツイカ</t>
    </rPh>
    <phoneticPr fontId="2"/>
  </si>
  <si>
    <t>画面/帳票 等</t>
    <rPh sb="0" eb="2">
      <t>ガメン</t>
    </rPh>
    <rPh sb="3" eb="5">
      <t>チョウヒョウ</t>
    </rPh>
    <rPh sb="6" eb="7">
      <t>トウ</t>
    </rPh>
    <phoneticPr fontId="2"/>
  </si>
  <si>
    <t>画面</t>
    <phoneticPr fontId="2"/>
  </si>
  <si>
    <t>新規/改造</t>
    <rPh sb="0" eb="2">
      <t>シンキ</t>
    </rPh>
    <rPh sb="3" eb="5">
      <t>カイゾウ</t>
    </rPh>
    <phoneticPr fontId="2"/>
  </si>
  <si>
    <t>レビュア</t>
    <phoneticPr fontId="2"/>
  </si>
  <si>
    <t>レビュー
合計時間
(H)</t>
    <rPh sb="5" eb="7">
      <t>ゴウケイ</t>
    </rPh>
    <rPh sb="7" eb="9">
      <t>ジカン</t>
    </rPh>
    <phoneticPr fontId="2"/>
  </si>
  <si>
    <t>レビュー
合計回数
(回)</t>
    <rPh sb="5" eb="7">
      <t>ゴウケイ</t>
    </rPh>
    <rPh sb="7" eb="9">
      <t>カイスウ</t>
    </rPh>
    <rPh sb="11" eb="12">
      <t>）</t>
    </rPh>
    <phoneticPr fontId="2"/>
  </si>
  <si>
    <t xml:space="preserve">予定
(当初)
</t>
    <rPh sb="0" eb="2">
      <t>ヨテイ</t>
    </rPh>
    <rPh sb="4" eb="6">
      <t>トウショ</t>
    </rPh>
    <phoneticPr fontId="2"/>
  </si>
  <si>
    <t>新規
自動
生成</t>
    <rPh sb="0" eb="2">
      <t>シンキ</t>
    </rPh>
    <rPh sb="3" eb="5">
      <t>ジドウ</t>
    </rPh>
    <rPh sb="6" eb="8">
      <t>セイセイ</t>
    </rPh>
    <phoneticPr fontId="2"/>
  </si>
  <si>
    <t>UOC</t>
    <phoneticPr fontId="2"/>
  </si>
  <si>
    <t>AD前</t>
    <rPh sb="2" eb="3">
      <t>マエ</t>
    </rPh>
    <phoneticPr fontId="2"/>
  </si>
  <si>
    <t>AD後</t>
    <rPh sb="2" eb="3">
      <t>ゴ</t>
    </rPh>
    <phoneticPr fontId="2"/>
  </si>
  <si>
    <r>
      <t>予定(</t>
    </r>
    <r>
      <rPr>
        <sz val="11"/>
        <rFont val="ＭＳ Ｐゴシック"/>
        <family val="3"/>
        <charset val="128"/>
      </rPr>
      <t>PCL</t>
    </r>
    <r>
      <rPr>
        <sz val="11"/>
        <rFont val="ＭＳ Ｐゴシック"/>
        <family val="3"/>
        <charset val="128"/>
      </rPr>
      <t>件数)</t>
    </r>
    <rPh sb="6" eb="8">
      <t>ケンスウ</t>
    </rPh>
    <phoneticPr fontId="2"/>
  </si>
  <si>
    <r>
      <t>実績(</t>
    </r>
    <r>
      <rPr>
        <sz val="11"/>
        <rFont val="ＭＳ Ｐゴシック"/>
        <family val="3"/>
        <charset val="128"/>
      </rPr>
      <t>PCL</t>
    </r>
    <r>
      <rPr>
        <sz val="11"/>
        <rFont val="ＭＳ Ｐゴシック"/>
        <family val="3"/>
        <charset val="128"/>
      </rPr>
      <t>件数)</t>
    </r>
    <rPh sb="6" eb="8">
      <t>ケンスウ</t>
    </rPh>
    <phoneticPr fontId="20"/>
  </si>
  <si>
    <t>新規</t>
    <phoneticPr fontId="2"/>
  </si>
  <si>
    <t>差異</t>
    <rPh sb="0" eb="2">
      <t>サイ</t>
    </rPh>
    <phoneticPr fontId="2"/>
  </si>
  <si>
    <t>AD：13/04/08(名前)
PC：13/05/20(名前)
UT：13/06/08(名前)</t>
    <rPh sb="12" eb="14">
      <t>ナマエ</t>
    </rPh>
    <rPh sb="28" eb="30">
      <t>ナマエ</t>
    </rPh>
    <rPh sb="44" eb="46">
      <t>ナマエ</t>
    </rPh>
    <phoneticPr fontId="2"/>
  </si>
  <si>
    <t>AD：13/04/10(名前)
PC：13/05/20(名前)
UT：13/06/13(名前)</t>
    <rPh sb="12" eb="14">
      <t>ナマエ</t>
    </rPh>
    <rPh sb="28" eb="30">
      <t>ナマエ</t>
    </rPh>
    <rPh sb="44" eb="46">
      <t>ナマエ</t>
    </rPh>
    <phoneticPr fontId="2"/>
  </si>
  <si>
    <t>(部署)
(名前)
13/6/19</t>
    <rPh sb="1" eb="3">
      <t>ブショ</t>
    </rPh>
    <rPh sb="6" eb="8">
      <t>ナマエ</t>
    </rPh>
    <phoneticPr fontId="2"/>
  </si>
  <si>
    <t>規模
(作業対象Step)</t>
    <rPh sb="0" eb="2">
      <t>キボ</t>
    </rPh>
    <phoneticPr fontId="2"/>
  </si>
  <si>
    <t>進捗率算出　割合表(％)</t>
    <rPh sb="0" eb="2">
      <t>シンチョク</t>
    </rPh>
    <rPh sb="2" eb="3">
      <t>リツ</t>
    </rPh>
    <rPh sb="3" eb="5">
      <t>サンシュツ</t>
    </rPh>
    <rPh sb="6" eb="8">
      <t>ワリアイ</t>
    </rPh>
    <rPh sb="8" eb="9">
      <t>ヒョウ</t>
    </rPh>
    <phoneticPr fontId="2"/>
  </si>
  <si>
    <t>単体プロセス管理票 変更履歴</t>
    <rPh sb="0" eb="2">
      <t>タンタイ</t>
    </rPh>
    <rPh sb="6" eb="8">
      <t>カンリ</t>
    </rPh>
    <rPh sb="8" eb="9">
      <t>ヒョウ</t>
    </rPh>
    <rPh sb="10" eb="12">
      <t>ヘンコウ</t>
    </rPh>
    <rPh sb="12" eb="14">
      <t>リレキ</t>
    </rPh>
    <phoneticPr fontId="2"/>
  </si>
  <si>
    <t>変更日</t>
    <rPh sb="0" eb="3">
      <t>ヘンコウビ</t>
    </rPh>
    <phoneticPr fontId="2"/>
  </si>
  <si>
    <t>バージョン</t>
    <phoneticPr fontId="2"/>
  </si>
  <si>
    <t>変更内容</t>
    <rPh sb="2" eb="4">
      <t>ナイヨウ</t>
    </rPh>
    <phoneticPr fontId="2"/>
  </si>
  <si>
    <t>VerNo</t>
    <phoneticPr fontId="2"/>
  </si>
  <si>
    <t>変更箇所</t>
    <rPh sb="2" eb="4">
      <t>カショ</t>
    </rPh>
    <phoneticPr fontId="2"/>
  </si>
  <si>
    <t>V1.0</t>
    <phoneticPr fontId="2"/>
  </si>
  <si>
    <t>－</t>
    <phoneticPr fontId="2"/>
  </si>
  <si>
    <t xml:space="preserve">(HISYS)標準版として新規制定。
</t>
    <rPh sb="7" eb="9">
      <t>ヒョウジュン</t>
    </rPh>
    <rPh sb="9" eb="10">
      <t>バン</t>
    </rPh>
    <rPh sb="13" eb="15">
      <t>シンキ</t>
    </rPh>
    <rPh sb="15" eb="17">
      <t>セイテイ</t>
    </rPh>
    <phoneticPr fontId="2"/>
  </si>
  <si>
    <t>項目名変更</t>
    <rPh sb="0" eb="2">
      <t>コウモク</t>
    </rPh>
    <rPh sb="2" eb="3">
      <t>メイ</t>
    </rPh>
    <rPh sb="3" eb="5">
      <t>ヘンコウ</t>
    </rPh>
    <phoneticPr fontId="2"/>
  </si>
  <si>
    <t>項目追加</t>
    <rPh sb="0" eb="2">
      <t>コウモク</t>
    </rPh>
    <rPh sb="2" eb="4">
      <t>ツイカ</t>
    </rPh>
    <phoneticPr fontId="2"/>
  </si>
  <si>
    <t>項目削除</t>
    <rPh sb="0" eb="2">
      <t>コウモク</t>
    </rPh>
    <rPh sb="2" eb="4">
      <t>サクジョ</t>
    </rPh>
    <phoneticPr fontId="2"/>
  </si>
  <si>
    <t>・区分1→新規/改造
　プルダウン＋直接入力できるよう変更。
・区分2→画面/帳票 等
　プルダウン＋直接入力できるよう変更。
・完了CHK→承認日に変更。
・UT後ステップ数→PC工程と同様に、母体、変更 追加、新規(自動生成)、新規(UOC)、作業対ｽﾃｯﾌﾟの列に変更。</t>
    <rPh sb="5" eb="7">
      <t>シンキ</t>
    </rPh>
    <rPh sb="8" eb="10">
      <t>カイゾウ</t>
    </rPh>
    <rPh sb="18" eb="20">
      <t>チョクセツ</t>
    </rPh>
    <rPh sb="20" eb="22">
      <t>ニュウリョク</t>
    </rPh>
    <rPh sb="27" eb="29">
      <t>ヘンコウ</t>
    </rPh>
    <rPh sb="51" eb="53">
      <t>チョクセツ</t>
    </rPh>
    <rPh sb="53" eb="55">
      <t>ニュウリョク</t>
    </rPh>
    <rPh sb="60" eb="62">
      <t>ヘンコウ</t>
    </rPh>
    <rPh sb="65" eb="67">
      <t>カンリョウ</t>
    </rPh>
    <rPh sb="71" eb="73">
      <t>ショウニン</t>
    </rPh>
    <rPh sb="73" eb="74">
      <t>ヒ</t>
    </rPh>
    <rPh sb="75" eb="77">
      <t>ヘンコウ</t>
    </rPh>
    <rPh sb="82" eb="83">
      <t>ゴ</t>
    </rPh>
    <rPh sb="87" eb="88">
      <t>スウ</t>
    </rPh>
    <rPh sb="91" eb="93">
      <t>コウテイ</t>
    </rPh>
    <rPh sb="94" eb="96">
      <t>ドウヨウ</t>
    </rPh>
    <rPh sb="116" eb="118">
      <t>シンキ</t>
    </rPh>
    <rPh sb="133" eb="134">
      <t>レツ</t>
    </rPh>
    <rPh sb="135" eb="137">
      <t>ヘンコウ</t>
    </rPh>
    <phoneticPr fontId="2"/>
  </si>
  <si>
    <t>計算式の変更</t>
    <rPh sb="0" eb="2">
      <t>ケイサン</t>
    </rPh>
    <rPh sb="2" eb="3">
      <t>シキ</t>
    </rPh>
    <rPh sb="4" eb="6">
      <t>ヘンコウ</t>
    </rPh>
    <phoneticPr fontId="2"/>
  </si>
  <si>
    <t>・大分類、中分類、小分類の列を追加。
・AD工程の規模の列を追加。
・チェック項目密度の予定密度との比率の列“対密度”を追加。
　&lt;理由&gt;チェック項目の予定密度に対して、どの程度の密度になったかを把握できるようにするため。
・バグ密度の予定密度との比率の列“対密度”を追加。
　&lt;理由&gt;バグの予定密度に対し、どの程度の密度になったかを把握できるようにするため。</t>
    <rPh sb="1" eb="4">
      <t>ダイブンルイ</t>
    </rPh>
    <rPh sb="5" eb="8">
      <t>チュウブンルイ</t>
    </rPh>
    <rPh sb="9" eb="12">
      <t>ショウブンルイ</t>
    </rPh>
    <rPh sb="13" eb="14">
      <t>レツ</t>
    </rPh>
    <rPh sb="15" eb="17">
      <t>ツイカ</t>
    </rPh>
    <rPh sb="22" eb="24">
      <t>コウテイ</t>
    </rPh>
    <rPh sb="25" eb="27">
      <t>キボ</t>
    </rPh>
    <rPh sb="28" eb="29">
      <t>レツ</t>
    </rPh>
    <rPh sb="30" eb="32">
      <t>ツイカ</t>
    </rPh>
    <rPh sb="39" eb="41">
      <t>コウモク</t>
    </rPh>
    <rPh sb="41" eb="43">
      <t>ミツド</t>
    </rPh>
    <rPh sb="44" eb="46">
      <t>ヨテイ</t>
    </rPh>
    <rPh sb="46" eb="48">
      <t>ミツド</t>
    </rPh>
    <rPh sb="50" eb="52">
      <t>ヒリツ</t>
    </rPh>
    <rPh sb="53" eb="54">
      <t>レツ</t>
    </rPh>
    <rPh sb="55" eb="56">
      <t>タイ</t>
    </rPh>
    <rPh sb="56" eb="58">
      <t>ミツド</t>
    </rPh>
    <rPh sb="60" eb="62">
      <t>ツイカ</t>
    </rPh>
    <rPh sb="66" eb="68">
      <t>リユウ</t>
    </rPh>
    <rPh sb="73" eb="75">
      <t>コウモク</t>
    </rPh>
    <rPh sb="78" eb="80">
      <t>ミツド</t>
    </rPh>
    <rPh sb="81" eb="82">
      <t>タイ</t>
    </rPh>
    <rPh sb="87" eb="89">
      <t>テイド</t>
    </rPh>
    <rPh sb="90" eb="92">
      <t>ミツド</t>
    </rPh>
    <rPh sb="98" eb="100">
      <t>ハアク</t>
    </rPh>
    <rPh sb="115" eb="117">
      <t>ミツド</t>
    </rPh>
    <rPh sb="140" eb="142">
      <t>リユウ</t>
    </rPh>
    <rPh sb="146" eb="148">
      <t>ヨテイ</t>
    </rPh>
    <rPh sb="148" eb="150">
      <t>ミツド</t>
    </rPh>
    <rPh sb="151" eb="152">
      <t>タイ</t>
    </rPh>
    <rPh sb="156" eb="158">
      <t>テイド</t>
    </rPh>
    <rPh sb="159" eb="161">
      <t>ミツド</t>
    </rPh>
    <rPh sb="167" eb="169">
      <t>ハアク</t>
    </rPh>
    <phoneticPr fontId="2"/>
  </si>
  <si>
    <t>記入例の内容を充足。</t>
    <rPh sb="0" eb="2">
      <t>キニュウ</t>
    </rPh>
    <rPh sb="2" eb="3">
      <t>レイ</t>
    </rPh>
    <rPh sb="4" eb="6">
      <t>ナイヨウ</t>
    </rPh>
    <rPh sb="7" eb="9">
      <t>ジュウソク</t>
    </rPh>
    <phoneticPr fontId="2"/>
  </si>
  <si>
    <t>・チェック項目密度は、UT前はUT前の作業対象ステップ数で算出、UT後はUT後の作業対象ステップ数で算出するよう、計算式を変更。
・PCL作成の“評価”は、チェック項目密度の対密度の値で判定するよう計算式を変更。
・バグ密度は、UT前はUT前の作業対象ステップ数で算出、UT後はUT後の作業対象ステップ数で算出するよう、計算式を変更。
・PCL消化の“評価”は、バグ密度の対密度の値で判定するよう計算式を変更。
・チェック項目密度は、CT前はCT前の作業対象ステップ数で算出、CT後はCT後の作業対象ステップ数で算出するよう、計算式を変更。
・PCL作成の“評価”は、チェック項目密度の対密度の値で判定するよう計算式を変更。
・バグ密度は、CT前はCT前の作業対象ステップ数で算出、CT後はCT後の作業対象ステップ数で算出するよう、計算式を変更。
・PCL消化の“評価”は、バグ密度の対密度の値で判定するよう計算式を変更。</t>
    <rPh sb="5" eb="7">
      <t>コウモク</t>
    </rPh>
    <rPh sb="7" eb="9">
      <t>ミツド</t>
    </rPh>
    <rPh sb="13" eb="14">
      <t>マエ</t>
    </rPh>
    <rPh sb="17" eb="18">
      <t>マエ</t>
    </rPh>
    <rPh sb="19" eb="21">
      <t>サギョウ</t>
    </rPh>
    <rPh sb="21" eb="23">
      <t>タイショウ</t>
    </rPh>
    <rPh sb="27" eb="28">
      <t>スウ</t>
    </rPh>
    <rPh sb="29" eb="31">
      <t>サンシュツ</t>
    </rPh>
    <rPh sb="34" eb="35">
      <t>ゴ</t>
    </rPh>
    <rPh sb="38" eb="39">
      <t>ゴ</t>
    </rPh>
    <rPh sb="40" eb="42">
      <t>サギョウ</t>
    </rPh>
    <rPh sb="42" eb="44">
      <t>タイショウ</t>
    </rPh>
    <rPh sb="48" eb="49">
      <t>スウ</t>
    </rPh>
    <rPh sb="50" eb="52">
      <t>サンシュツ</t>
    </rPh>
    <rPh sb="57" eb="59">
      <t>ケイサン</t>
    </rPh>
    <rPh sb="59" eb="60">
      <t>シキ</t>
    </rPh>
    <rPh sb="61" eb="63">
      <t>ヘンコウ</t>
    </rPh>
    <rPh sb="69" eb="71">
      <t>サクセイ</t>
    </rPh>
    <rPh sb="73" eb="75">
      <t>ヒョウカ</t>
    </rPh>
    <rPh sb="82" eb="84">
      <t>コウモク</t>
    </rPh>
    <rPh sb="84" eb="86">
      <t>ミツド</t>
    </rPh>
    <rPh sb="87" eb="88">
      <t>タイ</t>
    </rPh>
    <rPh sb="88" eb="90">
      <t>ミツド</t>
    </rPh>
    <rPh sb="91" eb="92">
      <t>アタイ</t>
    </rPh>
    <rPh sb="93" eb="95">
      <t>ハンテイ</t>
    </rPh>
    <rPh sb="99" eb="101">
      <t>ケイサン</t>
    </rPh>
    <rPh sb="101" eb="102">
      <t>シキ</t>
    </rPh>
    <rPh sb="103" eb="105">
      <t>ヘンコウ</t>
    </rPh>
    <rPh sb="110" eb="112">
      <t>ミツド</t>
    </rPh>
    <rPh sb="116" eb="117">
      <t>マエ</t>
    </rPh>
    <rPh sb="120" eb="121">
      <t>マエ</t>
    </rPh>
    <rPh sb="122" eb="124">
      <t>サギョウ</t>
    </rPh>
    <rPh sb="124" eb="126">
      <t>タイショウ</t>
    </rPh>
    <rPh sb="130" eb="131">
      <t>スウ</t>
    </rPh>
    <rPh sb="164" eb="166">
      <t>ヘンコウ</t>
    </rPh>
    <rPh sb="172" eb="174">
      <t>ショウカ</t>
    </rPh>
    <phoneticPr fontId="2"/>
  </si>
  <si>
    <t>ステップ数の表追加</t>
    <rPh sb="4" eb="5">
      <t>スウ</t>
    </rPh>
    <rPh sb="6" eb="7">
      <t>オモテ</t>
    </rPh>
    <rPh sb="7" eb="9">
      <t>ツイカ</t>
    </rPh>
    <phoneticPr fontId="2"/>
  </si>
  <si>
    <t>UTシート
工程毎のステップ数を比較しやすいよう上部にステップ数の表を追加。</t>
    <rPh sb="6" eb="8">
      <t>コウテイ</t>
    </rPh>
    <rPh sb="8" eb="9">
      <t>ゴト</t>
    </rPh>
    <rPh sb="14" eb="15">
      <t>スウ</t>
    </rPh>
    <rPh sb="16" eb="18">
      <t>ヒカク</t>
    </rPh>
    <rPh sb="31" eb="32">
      <t>スウ</t>
    </rPh>
    <rPh sb="33" eb="34">
      <t>ヒョウ</t>
    </rPh>
    <rPh sb="35" eb="37">
      <t>ツイカ</t>
    </rPh>
    <phoneticPr fontId="2"/>
  </si>
  <si>
    <t>列の移動</t>
    <rPh sb="0" eb="1">
      <t>レツ</t>
    </rPh>
    <rPh sb="2" eb="4">
      <t>イドウ</t>
    </rPh>
    <phoneticPr fontId="2"/>
  </si>
  <si>
    <t>UTシート
・チェック項目の予定と実績を比較しやすいよう、バグ予定件数の列を移動。</t>
    <rPh sb="11" eb="13">
      <t>コウモク</t>
    </rPh>
    <rPh sb="14" eb="16">
      <t>ヨテイ</t>
    </rPh>
    <rPh sb="17" eb="19">
      <t>ジッセキ</t>
    </rPh>
    <rPh sb="20" eb="22">
      <t>ヒカク</t>
    </rPh>
    <rPh sb="31" eb="33">
      <t>ヨテイ</t>
    </rPh>
    <rPh sb="33" eb="35">
      <t>ケンスウ</t>
    </rPh>
    <rPh sb="36" eb="37">
      <t>レツ</t>
    </rPh>
    <rPh sb="38" eb="40">
      <t>イドウ</t>
    </rPh>
    <phoneticPr fontId="2"/>
  </si>
  <si>
    <t>・指摘件数の“不良件数”は不良件数の定義が規格にないため、列を削除。</t>
    <rPh sb="1" eb="3">
      <t>シテキ</t>
    </rPh>
    <rPh sb="3" eb="5">
      <t>ケンスウ</t>
    </rPh>
    <rPh sb="7" eb="9">
      <t>フリョウ</t>
    </rPh>
    <rPh sb="9" eb="11">
      <t>ケンスウ</t>
    </rPh>
    <rPh sb="13" eb="15">
      <t>フリョウ</t>
    </rPh>
    <rPh sb="15" eb="17">
      <t>ケンスウ</t>
    </rPh>
    <rPh sb="18" eb="20">
      <t>テイギ</t>
    </rPh>
    <rPh sb="21" eb="23">
      <t>キカク</t>
    </rPh>
    <rPh sb="29" eb="30">
      <t>レツ</t>
    </rPh>
    <rPh sb="31" eb="33">
      <t>サクジョ</t>
    </rPh>
    <phoneticPr fontId="2"/>
  </si>
  <si>
    <t>「審査・承認」シートの追加</t>
    <rPh sb="1" eb="3">
      <t>シンサ</t>
    </rPh>
    <rPh sb="4" eb="6">
      <t>ショウニン</t>
    </rPh>
    <rPh sb="11" eb="13">
      <t>ツイカ</t>
    </rPh>
    <phoneticPr fontId="2"/>
  </si>
  <si>
    <t>審査、承認欄をテキストボックスからセルに変更。</t>
    <rPh sb="0" eb="2">
      <t>シンサ</t>
    </rPh>
    <rPh sb="3" eb="5">
      <t>ショウニン</t>
    </rPh>
    <rPh sb="5" eb="6">
      <t>ラン</t>
    </rPh>
    <rPh sb="20" eb="22">
      <t>ヘンコウ</t>
    </rPh>
    <phoneticPr fontId="2"/>
  </si>
  <si>
    <t>V2.0</t>
    <phoneticPr fontId="2"/>
  </si>
  <si>
    <t>V2.1</t>
    <phoneticPr fontId="2"/>
  </si>
  <si>
    <t>ヘッダ部
ＰＣ～ＵＴ進捗率</t>
    <rPh sb="3" eb="4">
      <t>ブ</t>
    </rPh>
    <phoneticPr fontId="2"/>
  </si>
  <si>
    <t>PCLの質的比率目安</t>
    <phoneticPr fontId="2"/>
  </si>
  <si>
    <t>AD前
①</t>
    <rPh sb="2" eb="3">
      <t>マエ</t>
    </rPh>
    <phoneticPr fontId="2"/>
  </si>
  <si>
    <t>予定
(最新)
②</t>
    <rPh sb="0" eb="2">
      <t>ヨテイ</t>
    </rPh>
    <rPh sb="4" eb="6">
      <t>サイシン</t>
    </rPh>
    <phoneticPr fontId="2"/>
  </si>
  <si>
    <t>実績
③</t>
    <rPh sb="0" eb="2">
      <t>ジッセキ</t>
    </rPh>
    <phoneticPr fontId="2"/>
  </si>
  <si>
    <t>進捗率
(③/②)</t>
    <rPh sb="0" eb="2">
      <t>シンチョク</t>
    </rPh>
    <rPh sb="2" eb="3">
      <t>リツ</t>
    </rPh>
    <phoneticPr fontId="2"/>
  </si>
  <si>
    <t>指摘
合計件数
④</t>
    <rPh sb="0" eb="2">
      <t>シテキ</t>
    </rPh>
    <rPh sb="3" eb="5">
      <t>ゴウケイ</t>
    </rPh>
    <rPh sb="5" eb="7">
      <t>ケンスウ</t>
    </rPh>
    <phoneticPr fontId="2"/>
  </si>
  <si>
    <t>指摘密度
(件数/百頁)
(④/③*100)</t>
    <rPh sb="6" eb="8">
      <t>ケンスウ</t>
    </rPh>
    <rPh sb="9" eb="11">
      <t>ヒャクペイジ</t>
    </rPh>
    <phoneticPr fontId="2"/>
  </si>
  <si>
    <t>PC前
作業対象
ｽﾃｯﾌﾟ
⑤</t>
    <rPh sb="2" eb="3">
      <t>マエ</t>
    </rPh>
    <phoneticPr fontId="22"/>
  </si>
  <si>
    <t>PC後
作業対象
ｽﾃｯﾌﾟ
⑥</t>
    <rPh sb="2" eb="3">
      <t>ゴ</t>
    </rPh>
    <phoneticPr fontId="22"/>
  </si>
  <si>
    <t>対予定
(⑥/⑤)</t>
    <rPh sb="1" eb="3">
      <t>ヨテイ</t>
    </rPh>
    <phoneticPr fontId="2"/>
  </si>
  <si>
    <t>作業対象
ｽﾃｯﾌﾟ
⑦</t>
    <phoneticPr fontId="22"/>
  </si>
  <si>
    <t>合計
⑨</t>
    <rPh sb="0" eb="2">
      <t>ゴウケイ</t>
    </rPh>
    <phoneticPr fontId="2"/>
  </si>
  <si>
    <t>対予定
(⑨/⑧)</t>
    <rPh sb="1" eb="3">
      <t>ヨテイ</t>
    </rPh>
    <phoneticPr fontId="2"/>
  </si>
  <si>
    <r>
      <t xml:space="preserve">ﾁｪｯｸ項目密度
⑩
</t>
    </r>
    <r>
      <rPr>
        <sz val="9"/>
        <color indexed="10"/>
        <rFont val="ＭＳ Ｐゴシック"/>
        <family val="3"/>
        <charset val="128"/>
      </rPr>
      <t>UT前</t>
    </r>
    <r>
      <rPr>
        <sz val="9"/>
        <rFont val="ＭＳ Ｐゴシック"/>
        <family val="3"/>
        <charset val="128"/>
      </rPr>
      <t xml:space="preserve">：⑨/⑥
</t>
    </r>
    <r>
      <rPr>
        <sz val="9"/>
        <color indexed="10"/>
        <rFont val="ＭＳ Ｐゴシック"/>
        <family val="3"/>
        <charset val="128"/>
      </rPr>
      <t>UT後</t>
    </r>
    <r>
      <rPr>
        <sz val="9"/>
        <rFont val="ＭＳ Ｐゴシック"/>
        <family val="3"/>
        <charset val="128"/>
      </rPr>
      <t>：⑨/⑦</t>
    </r>
    <rPh sb="4" eb="6">
      <t>コウモク</t>
    </rPh>
    <rPh sb="6" eb="8">
      <t>ミツド</t>
    </rPh>
    <rPh sb="13" eb="14">
      <t>マエ</t>
    </rPh>
    <rPh sb="21" eb="22">
      <t>ゴ</t>
    </rPh>
    <phoneticPr fontId="2"/>
  </si>
  <si>
    <t>対密度
⑪
(⑩/(A))</t>
    <rPh sb="0" eb="1">
      <t>タイ</t>
    </rPh>
    <rPh sb="1" eb="3">
      <t>ミツド</t>
    </rPh>
    <phoneticPr fontId="2"/>
  </si>
  <si>
    <t>ﾁｪｯｸ項目数
(消化件数)
⑬</t>
    <rPh sb="4" eb="6">
      <t>コウモク</t>
    </rPh>
    <rPh sb="6" eb="7">
      <t>スウ</t>
    </rPh>
    <rPh sb="9" eb="11">
      <t>ショウカ</t>
    </rPh>
    <phoneticPr fontId="2"/>
  </si>
  <si>
    <r>
      <rPr>
        <sz val="11"/>
        <color indexed="10"/>
        <rFont val="ＭＳ Ｐゴシック"/>
        <family val="3"/>
        <charset val="128"/>
      </rPr>
      <t>PCL消化率</t>
    </r>
    <r>
      <rPr>
        <sz val="11"/>
        <rFont val="ＭＳ Ｐゴシック"/>
        <family val="3"/>
        <charset val="128"/>
      </rPr>
      <t xml:space="preserve">
(⑬/⑨)</t>
    </r>
    <rPh sb="3" eb="5">
      <t>ショウカ</t>
    </rPh>
    <rPh sb="5" eb="6">
      <t>リツ</t>
    </rPh>
    <phoneticPr fontId="2"/>
  </si>
  <si>
    <t>合計
⑭</t>
    <rPh sb="0" eb="2">
      <t>ゴウケイ</t>
    </rPh>
    <phoneticPr fontId="2"/>
  </si>
  <si>
    <t>ﾊﾞｸﾞ対
予定
(⑭/⑫)</t>
    <rPh sb="4" eb="5">
      <t>タイ</t>
    </rPh>
    <rPh sb="6" eb="8">
      <t>ヨテイ</t>
    </rPh>
    <phoneticPr fontId="20"/>
  </si>
  <si>
    <r>
      <t xml:space="preserve">バグ密度
⑮
</t>
    </r>
    <r>
      <rPr>
        <sz val="9"/>
        <color indexed="10"/>
        <rFont val="ＭＳ Ｐゴシック"/>
        <family val="3"/>
        <charset val="128"/>
      </rPr>
      <t>UT前</t>
    </r>
    <r>
      <rPr>
        <sz val="9"/>
        <rFont val="ＭＳ Ｐゴシック"/>
        <family val="3"/>
        <charset val="128"/>
      </rPr>
      <t xml:space="preserve">：⑭/⑥
</t>
    </r>
    <r>
      <rPr>
        <sz val="9"/>
        <color indexed="10"/>
        <rFont val="ＭＳ Ｐゴシック"/>
        <family val="3"/>
        <charset val="128"/>
      </rPr>
      <t>UT後</t>
    </r>
    <r>
      <rPr>
        <sz val="9"/>
        <rFont val="ＭＳ Ｐゴシック"/>
        <family val="3"/>
        <charset val="128"/>
      </rPr>
      <t>：⑭/⑦</t>
    </r>
    <rPh sb="9" eb="10">
      <t>マエ</t>
    </rPh>
    <rPh sb="17" eb="18">
      <t>ゴ</t>
    </rPh>
    <phoneticPr fontId="2"/>
  </si>
  <si>
    <t>対密度
(⑮/(B))</t>
    <rPh sb="0" eb="1">
      <t>タイ</t>
    </rPh>
    <rPh sb="1" eb="3">
      <t>ミツド</t>
    </rPh>
    <phoneticPr fontId="20"/>
  </si>
  <si>
    <r>
      <t xml:space="preserve">合計
⑧
</t>
    </r>
    <r>
      <rPr>
        <sz val="8.5"/>
        <color indexed="10"/>
        <rFont val="ＭＳ Ｐゴシック"/>
        <family val="3"/>
        <charset val="128"/>
      </rPr>
      <t>AD完了前：(①*(A))</t>
    </r>
    <r>
      <rPr>
        <sz val="8.5"/>
        <rFont val="ＭＳ Ｐゴシック"/>
        <family val="3"/>
        <charset val="128"/>
      </rPr>
      <t xml:space="preserve">
</t>
    </r>
    <r>
      <rPr>
        <sz val="8.5"/>
        <color indexed="10"/>
        <rFont val="ＭＳ Ｐゴシック"/>
        <family val="3"/>
        <charset val="128"/>
      </rPr>
      <t>PC完了前：(⑤*(A))</t>
    </r>
    <r>
      <rPr>
        <sz val="8.5"/>
        <rFont val="ＭＳ Ｐゴシック"/>
        <family val="3"/>
        <charset val="128"/>
      </rPr>
      <t xml:space="preserve">
PC完了後：(⑥*(A))</t>
    </r>
    <rPh sb="0" eb="2">
      <t>ゴウケイ</t>
    </rPh>
    <rPh sb="7" eb="9">
      <t>カンリョウ</t>
    </rPh>
    <rPh sb="9" eb="10">
      <t>マエ</t>
    </rPh>
    <rPh sb="21" eb="23">
      <t>カンリョウ</t>
    </rPh>
    <rPh sb="23" eb="24">
      <t>マエ</t>
    </rPh>
    <rPh sb="35" eb="37">
      <t>カンリョウ</t>
    </rPh>
    <phoneticPr fontId="2"/>
  </si>
  <si>
    <r>
      <t xml:space="preserve">WK
ﾁｪｯｸ項目数
(消化件数)
(実推)
⑯
</t>
    </r>
    <r>
      <rPr>
        <sz val="8.5"/>
        <rFont val="ＭＳ Ｐゴシック"/>
        <family val="3"/>
        <charset val="128"/>
      </rPr>
      <t>PCL完了前:⑧
PCL完了後:⑨</t>
    </r>
    <rPh sb="19" eb="20">
      <t>ジツ</t>
    </rPh>
    <rPh sb="20" eb="21">
      <t>スイ</t>
    </rPh>
    <rPh sb="28" eb="30">
      <t>カンリョウ</t>
    </rPh>
    <rPh sb="30" eb="31">
      <t>マエ</t>
    </rPh>
    <rPh sb="37" eb="39">
      <t>カンリョウ</t>
    </rPh>
    <rPh sb="39" eb="40">
      <t>アト</t>
    </rPh>
    <phoneticPr fontId="2"/>
  </si>
  <si>
    <r>
      <t xml:space="preserve">WK
作業対象
ｽﾃｯﾌﾟ
(実推)
⑰
</t>
    </r>
    <r>
      <rPr>
        <sz val="8.5"/>
        <rFont val="ＭＳ Ｐゴシック"/>
        <family val="3"/>
        <charset val="128"/>
      </rPr>
      <t>AD完了前:①
UT完了前:⑥
UT完了後:⑦</t>
    </r>
    <rPh sb="3" eb="5">
      <t>サギョウ</t>
    </rPh>
    <rPh sb="5" eb="7">
      <t>タイショウ</t>
    </rPh>
    <rPh sb="15" eb="16">
      <t>ジツ</t>
    </rPh>
    <rPh sb="16" eb="17">
      <t>スイ</t>
    </rPh>
    <rPh sb="23" eb="25">
      <t>カンリョウ</t>
    </rPh>
    <rPh sb="25" eb="26">
      <t>マエ</t>
    </rPh>
    <rPh sb="31" eb="33">
      <t>カンリョウ</t>
    </rPh>
    <rPh sb="39" eb="41">
      <t>カンリョウ</t>
    </rPh>
    <phoneticPr fontId="2"/>
  </si>
  <si>
    <t>バグ⑫(=バグ予定件数)</t>
    <rPh sb="7" eb="9">
      <t>ヨテイ</t>
    </rPh>
    <rPh sb="9" eb="11">
      <t>ケンスウ</t>
    </rPh>
    <phoneticPr fontId="2"/>
  </si>
  <si>
    <r>
      <t xml:space="preserve">バグ予定件数
⑫
</t>
    </r>
    <r>
      <rPr>
        <sz val="9"/>
        <color indexed="10"/>
        <rFont val="ＭＳ Ｐゴシック"/>
        <family val="3"/>
        <charset val="128"/>
      </rPr>
      <t>AD完了前：(①*(</t>
    </r>
    <r>
      <rPr>
        <sz val="9"/>
        <color indexed="10"/>
        <rFont val="ＭＳ Ｐゴシック"/>
        <family val="3"/>
        <charset val="128"/>
      </rPr>
      <t>B</t>
    </r>
    <r>
      <rPr>
        <sz val="9"/>
        <color indexed="10"/>
        <rFont val="ＭＳ Ｐゴシック"/>
        <family val="3"/>
        <charset val="128"/>
      </rPr>
      <t>))
PC完了前：(⑤*(</t>
    </r>
    <r>
      <rPr>
        <sz val="9"/>
        <color indexed="10"/>
        <rFont val="ＭＳ Ｐゴシック"/>
        <family val="3"/>
        <charset val="128"/>
      </rPr>
      <t>B</t>
    </r>
    <r>
      <rPr>
        <sz val="9"/>
        <color indexed="10"/>
        <rFont val="ＭＳ Ｐゴシック"/>
        <family val="3"/>
        <charset val="128"/>
      </rPr>
      <t xml:space="preserve">))
</t>
    </r>
    <r>
      <rPr>
        <sz val="9"/>
        <rFont val="ＭＳ Ｐゴシック"/>
        <family val="3"/>
        <charset val="128"/>
      </rPr>
      <t>PC完了後：(⑥*(B))</t>
    </r>
    <rPh sb="2" eb="4">
      <t>ヨテイ</t>
    </rPh>
    <rPh sb="4" eb="5">
      <t>ケン</t>
    </rPh>
    <rPh sb="5" eb="6">
      <t>スウ</t>
    </rPh>
    <phoneticPr fontId="2"/>
  </si>
  <si>
    <t>ＰＣ～ＵＴの進捗率は、PCLの消化率であることを明示する為、
「ＰＣ～ＵＴ　： ○/○」⇒「ＰＣ～ＵＴ(PCL消化率)」に表現変更。</t>
    <rPh sb="15" eb="17">
      <t>ショウカ</t>
    </rPh>
    <rPh sb="17" eb="18">
      <t>リツ</t>
    </rPh>
    <rPh sb="24" eb="26">
      <t>メイジ</t>
    </rPh>
    <rPh sb="28" eb="29">
      <t>タメ</t>
    </rPh>
    <phoneticPr fontId="2"/>
  </si>
  <si>
    <t>チェック項目密度⑩
合計行</t>
    <rPh sb="4" eb="6">
      <t>コウモク</t>
    </rPh>
    <rPh sb="6" eb="8">
      <t>ミツド</t>
    </rPh>
    <rPh sb="10" eb="12">
      <t>ゴウケイ</t>
    </rPh>
    <rPh sb="12" eb="13">
      <t>ギョウ</t>
    </rPh>
    <phoneticPr fontId="2"/>
  </si>
  <si>
    <t>バグ密度⑮
合計行</t>
    <rPh sb="2" eb="4">
      <t>ミツド</t>
    </rPh>
    <rPh sb="6" eb="8">
      <t>ゴウケイ</t>
    </rPh>
    <rPh sb="8" eb="9">
      <t>ギョウ</t>
    </rPh>
    <phoneticPr fontId="2"/>
  </si>
  <si>
    <t>予定PCL件数⑧の修正に伴い、合計行の算出式を変更。
(CK列に実推ｽﾃｯﾌﾟ数を表したワーク列⑯を作成し、この合計を分母ととして、全体のチェック項目密度を算出 ・・・実績PCL件数計⑨ / 実推ｽﾃｯﾌﾟ数計⑰)</t>
    <rPh sb="0" eb="2">
      <t>ヨテイ</t>
    </rPh>
    <rPh sb="5" eb="7">
      <t>ケンスウ</t>
    </rPh>
    <rPh sb="9" eb="11">
      <t>シュウセイ</t>
    </rPh>
    <rPh sb="12" eb="13">
      <t>トモナ</t>
    </rPh>
    <rPh sb="15" eb="17">
      <t>ゴウケイ</t>
    </rPh>
    <rPh sb="17" eb="18">
      <t>ギョウ</t>
    </rPh>
    <rPh sb="19" eb="21">
      <t>サンシュツ</t>
    </rPh>
    <rPh sb="21" eb="22">
      <t>シキ</t>
    </rPh>
    <rPh sb="23" eb="25">
      <t>ヘンコウ</t>
    </rPh>
    <rPh sb="30" eb="31">
      <t>レツ</t>
    </rPh>
    <rPh sb="32" eb="33">
      <t>ミ</t>
    </rPh>
    <rPh sb="33" eb="34">
      <t>スイ</t>
    </rPh>
    <rPh sb="39" eb="40">
      <t>ヲ</t>
    </rPh>
    <rPh sb="41" eb="42">
      <t>アラワ</t>
    </rPh>
    <rPh sb="47" eb="48">
      <t>レツ</t>
    </rPh>
    <rPh sb="50" eb="52">
      <t>サクセイ</t>
    </rPh>
    <rPh sb="56" eb="58">
      <t>ゴウケイ</t>
    </rPh>
    <rPh sb="59" eb="61">
      <t>ブンボ</t>
    </rPh>
    <rPh sb="66" eb="68">
      <t>ゼンタイ</t>
    </rPh>
    <rPh sb="73" eb="75">
      <t>コウモク</t>
    </rPh>
    <rPh sb="75" eb="77">
      <t>ミツド</t>
    </rPh>
    <rPh sb="78" eb="80">
      <t>サンシュツ</t>
    </rPh>
    <rPh sb="84" eb="86">
      <t>ジッセキ</t>
    </rPh>
    <rPh sb="89" eb="91">
      <t>ケンスウ</t>
    </rPh>
    <rPh sb="91" eb="92">
      <t>ケイ</t>
    </rPh>
    <rPh sb="96" eb="97">
      <t>ジツ</t>
    </rPh>
    <rPh sb="97" eb="98">
      <t>スイ</t>
    </rPh>
    <rPh sb="103" eb="104">
      <t>スウ</t>
    </rPh>
    <rPh sb="104" eb="105">
      <t>ケイ</t>
    </rPh>
    <phoneticPr fontId="2"/>
  </si>
  <si>
    <t>バグ⑮の修正に伴い、合計行の算出式を変更。
(CK列に実推ｽﾃｯﾌﾟ数を表したワーク列⑯を作成し、この合計を分母ととして、全体のチェック項目密度を算出 ・・・実績バグ件数計⑭ / 実推ｽﾃｯﾌﾟ数計⑰)</t>
    <rPh sb="4" eb="6">
      <t>シュウセイ</t>
    </rPh>
    <rPh sb="7" eb="8">
      <t>トモナ</t>
    </rPh>
    <rPh sb="10" eb="12">
      <t>ゴウケイ</t>
    </rPh>
    <rPh sb="12" eb="13">
      <t>ギョウ</t>
    </rPh>
    <rPh sb="14" eb="16">
      <t>サンシュツ</t>
    </rPh>
    <rPh sb="16" eb="17">
      <t>シキ</t>
    </rPh>
    <rPh sb="18" eb="20">
      <t>ヘンコウ</t>
    </rPh>
    <rPh sb="25" eb="26">
      <t>レツ</t>
    </rPh>
    <rPh sb="27" eb="28">
      <t>ミ</t>
    </rPh>
    <rPh sb="28" eb="29">
      <t>スイ</t>
    </rPh>
    <rPh sb="34" eb="35">
      <t>ヲ</t>
    </rPh>
    <rPh sb="36" eb="37">
      <t>アラワ</t>
    </rPh>
    <rPh sb="42" eb="43">
      <t>レツ</t>
    </rPh>
    <rPh sb="45" eb="47">
      <t>サクセイ</t>
    </rPh>
    <rPh sb="51" eb="53">
      <t>ゴウケイ</t>
    </rPh>
    <rPh sb="54" eb="56">
      <t>ブンボ</t>
    </rPh>
    <rPh sb="61" eb="63">
      <t>ゼンタイ</t>
    </rPh>
    <rPh sb="68" eb="70">
      <t>コウモク</t>
    </rPh>
    <rPh sb="70" eb="72">
      <t>ミツド</t>
    </rPh>
    <rPh sb="73" eb="75">
      <t>サンシュツ</t>
    </rPh>
    <rPh sb="79" eb="81">
      <t>ジッセキ</t>
    </rPh>
    <rPh sb="83" eb="85">
      <t>ケンスウ</t>
    </rPh>
    <rPh sb="85" eb="86">
      <t>ケイ</t>
    </rPh>
    <rPh sb="90" eb="91">
      <t>ジツ</t>
    </rPh>
    <rPh sb="91" eb="92">
      <t>スイ</t>
    </rPh>
    <rPh sb="97" eb="98">
      <t>スウ</t>
    </rPh>
    <rPh sb="98" eb="99">
      <t>ケイ</t>
    </rPh>
    <phoneticPr fontId="2"/>
  </si>
  <si>
    <t>PCL消化率(⑬/⑨)
合計行</t>
    <rPh sb="3" eb="5">
      <t>ショウカ</t>
    </rPh>
    <rPh sb="5" eb="6">
      <t>リツ</t>
    </rPh>
    <rPh sb="12" eb="14">
      <t>ゴウケイ</t>
    </rPh>
    <rPh sb="14" eb="15">
      <t>ギョウ</t>
    </rPh>
    <phoneticPr fontId="2"/>
  </si>
  <si>
    <t>PCL予定件数⑧</t>
    <rPh sb="3" eb="5">
      <t>ヨテイ</t>
    </rPh>
    <rPh sb="5" eb="7">
      <t>ケンスウ</t>
    </rPh>
    <phoneticPr fontId="2"/>
  </si>
  <si>
    <t>PCL消化率算出の分母の要素となるPCL予定件数に、PC完了前の行の分も含ませる為、下記処理を追加。。又、本修正に伴い、バグ予定件数も修正。
・AD完了前のときは、①AD前stepより算出する。
・AD完了後、PC完了前のときは、⑤PCL予定stepより算出する。</t>
    <rPh sb="3" eb="5">
      <t>ショウカ</t>
    </rPh>
    <rPh sb="5" eb="6">
      <t>リツ</t>
    </rPh>
    <rPh sb="6" eb="8">
      <t>サンシュツ</t>
    </rPh>
    <rPh sb="9" eb="11">
      <t>ブンボ</t>
    </rPh>
    <rPh sb="12" eb="14">
      <t>ヨウソ</t>
    </rPh>
    <rPh sb="20" eb="22">
      <t>ヨテイ</t>
    </rPh>
    <rPh sb="22" eb="24">
      <t>ケンスウ</t>
    </rPh>
    <rPh sb="28" eb="30">
      <t>カンリョウ</t>
    </rPh>
    <rPh sb="30" eb="31">
      <t>マエ</t>
    </rPh>
    <rPh sb="32" eb="33">
      <t>ギョウ</t>
    </rPh>
    <rPh sb="34" eb="35">
      <t>ブン</t>
    </rPh>
    <rPh sb="36" eb="37">
      <t>フク</t>
    </rPh>
    <rPh sb="40" eb="41">
      <t>タメ</t>
    </rPh>
    <rPh sb="42" eb="44">
      <t>カキ</t>
    </rPh>
    <rPh sb="44" eb="46">
      <t>ショリ</t>
    </rPh>
    <rPh sb="47" eb="49">
      <t>ツイカ</t>
    </rPh>
    <rPh sb="51" eb="52">
      <t>マタ</t>
    </rPh>
    <rPh sb="53" eb="54">
      <t>ホン</t>
    </rPh>
    <rPh sb="54" eb="56">
      <t>シュウセイ</t>
    </rPh>
    <rPh sb="57" eb="58">
      <t>トモナ</t>
    </rPh>
    <rPh sb="62" eb="64">
      <t>ヨテイ</t>
    </rPh>
    <rPh sb="64" eb="66">
      <t>ケンスウ</t>
    </rPh>
    <rPh sb="67" eb="69">
      <t>シュウセイ</t>
    </rPh>
    <rPh sb="101" eb="103">
      <t>カンリョウ</t>
    </rPh>
    <rPh sb="103" eb="104">
      <t>ゴ</t>
    </rPh>
    <rPh sb="107" eb="109">
      <t>カンリョウ</t>
    </rPh>
    <rPh sb="109" eb="110">
      <t>マエ</t>
    </rPh>
    <rPh sb="119" eb="121">
      <t>ヨテイ</t>
    </rPh>
    <rPh sb="127" eb="129">
      <t>サンシュツ</t>
    </rPh>
    <phoneticPr fontId="2"/>
  </si>
  <si>
    <t>PCL消化率算出式の分母に、PCL作成前の行が含まれていなかった為、下記の通り修正。
・修正前：PCL消化件数合計 / PCL作成済件数合計
・修正後：PCL消化件数合計 / PCL作成予定 or 済件数合計)
(CJ列に実推チェック項目ﾟ数を算出する為のワーク列⑮を作成)</t>
    <rPh sb="3" eb="5">
      <t>ショウカ</t>
    </rPh>
    <rPh sb="5" eb="6">
      <t>リツ</t>
    </rPh>
    <rPh sb="6" eb="8">
      <t>サンシュツ</t>
    </rPh>
    <rPh sb="8" eb="9">
      <t>シキ</t>
    </rPh>
    <rPh sb="10" eb="12">
      <t>ブンボ</t>
    </rPh>
    <rPh sb="17" eb="19">
      <t>サクセイ</t>
    </rPh>
    <rPh sb="19" eb="20">
      <t>マエ</t>
    </rPh>
    <rPh sb="21" eb="22">
      <t>ギョウ</t>
    </rPh>
    <rPh sb="23" eb="24">
      <t>フク</t>
    </rPh>
    <rPh sb="32" eb="33">
      <t>タメ</t>
    </rPh>
    <rPh sb="34" eb="36">
      <t>カキ</t>
    </rPh>
    <rPh sb="37" eb="38">
      <t>トオ</t>
    </rPh>
    <rPh sb="39" eb="41">
      <t>シュウセイ</t>
    </rPh>
    <rPh sb="44" eb="46">
      <t>シュウセイ</t>
    </rPh>
    <rPh sb="46" eb="47">
      <t>マエ</t>
    </rPh>
    <rPh sb="51" eb="53">
      <t>ショウカ</t>
    </rPh>
    <rPh sb="53" eb="55">
      <t>ケンスウ</t>
    </rPh>
    <rPh sb="55" eb="57">
      <t>ゴウケイ</t>
    </rPh>
    <rPh sb="63" eb="65">
      <t>サクセイ</t>
    </rPh>
    <rPh sb="65" eb="66">
      <t>ス</t>
    </rPh>
    <rPh sb="66" eb="68">
      <t>ケンスウ</t>
    </rPh>
    <rPh sb="68" eb="70">
      <t>ゴウケイ</t>
    </rPh>
    <rPh sb="72" eb="74">
      <t>シュウセイ</t>
    </rPh>
    <rPh sb="74" eb="75">
      <t>アト</t>
    </rPh>
    <rPh sb="79" eb="81">
      <t>ショウカ</t>
    </rPh>
    <rPh sb="81" eb="83">
      <t>ケンスウ</t>
    </rPh>
    <rPh sb="83" eb="85">
      <t>ゴウケイ</t>
    </rPh>
    <rPh sb="91" eb="93">
      <t>サクセイ</t>
    </rPh>
    <rPh sb="93" eb="95">
      <t>ヨテイ</t>
    </rPh>
    <rPh sb="99" eb="100">
      <t>ス</t>
    </rPh>
    <rPh sb="100" eb="102">
      <t>ケンスウ</t>
    </rPh>
    <rPh sb="102" eb="104">
      <t>ゴウケイ</t>
    </rPh>
    <rPh sb="117" eb="119">
      <t>コウモク</t>
    </rPh>
    <rPh sb="122" eb="124">
      <t>サンシュツ</t>
    </rPh>
    <rPh sb="126" eb="127">
      <t>タメ</t>
    </rPh>
    <phoneticPr fontId="2"/>
  </si>
  <si>
    <t>AD</t>
    <phoneticPr fontId="2"/>
  </si>
  <si>
    <t>PC</t>
    <phoneticPr fontId="2"/>
  </si>
  <si>
    <t>Aﾌﾟﾛｸﾞﾗﾑ</t>
    <phoneticPr fontId="2"/>
  </si>
  <si>
    <t>Bﾌﾟﾛｸﾞﾗﾑ</t>
    <phoneticPr fontId="2"/>
  </si>
  <si>
    <t>Cﾌﾟﾛｸﾞﾗﾑ</t>
    <phoneticPr fontId="2"/>
  </si>
  <si>
    <t>Dﾌﾟﾛｸﾞﾗﾑ</t>
    <phoneticPr fontId="2"/>
  </si>
  <si>
    <t>AD前step</t>
    <rPh sb="2" eb="3">
      <t>マエ</t>
    </rPh>
    <phoneticPr fontId="2"/>
  </si>
  <si>
    <t>AD後step</t>
    <rPh sb="2" eb="3">
      <t>ゴ</t>
    </rPh>
    <phoneticPr fontId="2"/>
  </si>
  <si>
    <t>予定step</t>
    <rPh sb="0" eb="2">
      <t>ヨテイ</t>
    </rPh>
    <phoneticPr fontId="2"/>
  </si>
  <si>
    <t>実績step</t>
    <rPh sb="0" eb="2">
      <t>ジッセキ</t>
    </rPh>
    <phoneticPr fontId="2"/>
  </si>
  <si>
    <t>UT（PCL作成)</t>
    <rPh sb="6" eb="8">
      <t>サクセイ</t>
    </rPh>
    <phoneticPr fontId="2"/>
  </si>
  <si>
    <t>UT（PCL消化)</t>
    <rPh sb="6" eb="8">
      <t>ショウカ</t>
    </rPh>
    <phoneticPr fontId="2"/>
  </si>
  <si>
    <t>・・・AD作業中</t>
    <rPh sb="5" eb="7">
      <t>サギョウ</t>
    </rPh>
    <rPh sb="7" eb="8">
      <t>チュウ</t>
    </rPh>
    <phoneticPr fontId="2"/>
  </si>
  <si>
    <t>・・・PC作業中</t>
    <rPh sb="5" eb="7">
      <t>サギョウ</t>
    </rPh>
    <rPh sb="7" eb="8">
      <t>チュウ</t>
    </rPh>
    <phoneticPr fontId="2"/>
  </si>
  <si>
    <t>Eﾌﾟﾛｸﾞﾗﾑ</t>
    <phoneticPr fontId="2"/>
  </si>
  <si>
    <t>・・・PCL消化済</t>
    <rPh sb="6" eb="8">
      <t>ショウカ</t>
    </rPh>
    <rPh sb="8" eb="9">
      <t>ス</t>
    </rPh>
    <phoneticPr fontId="2"/>
  </si>
  <si>
    <t>・・・PCL作成中</t>
    <rPh sb="6" eb="8">
      <t>サクセイ</t>
    </rPh>
    <rPh sb="8" eb="9">
      <t>チュウ</t>
    </rPh>
    <phoneticPr fontId="2"/>
  </si>
  <si>
    <t>・・・PCL消化中</t>
    <rPh sb="6" eb="8">
      <t>ショウカ</t>
    </rPh>
    <rPh sb="8" eb="9">
      <t>チュウ</t>
    </rPh>
    <phoneticPr fontId="2"/>
  </si>
  <si>
    <t>PCL予定件数</t>
    <rPh sb="3" eb="5">
      <t>ヨテイ</t>
    </rPh>
    <rPh sb="5" eb="7">
      <t>ケンスウ</t>
    </rPh>
    <phoneticPr fontId="2"/>
  </si>
  <si>
    <t>PCL実績件数</t>
    <rPh sb="3" eb="5">
      <t>ジッセキ</t>
    </rPh>
    <rPh sb="5" eb="7">
      <t>ケンスウ</t>
    </rPh>
    <phoneticPr fontId="2"/>
  </si>
  <si>
    <t>PCL消化率</t>
    <rPh sb="3" eb="5">
      <t>ショウカ</t>
    </rPh>
    <rPh sb="5" eb="6">
      <t>リツ</t>
    </rPh>
    <phoneticPr fontId="2"/>
  </si>
  <si>
    <t>PCL消化件数</t>
    <rPh sb="3" eb="5">
      <t>ショウカ</t>
    </rPh>
    <rPh sb="5" eb="7">
      <t>ケンスウ</t>
    </rPh>
    <phoneticPr fontId="2"/>
  </si>
  <si>
    <t>PCL作成未完了の作業が母数に含まれていない為、作業全体に対する消化率となっていない。</t>
    <phoneticPr fontId="2"/>
  </si>
  <si>
    <r>
      <rPr>
        <sz val="11"/>
        <color indexed="8"/>
        <rFont val="ＭＳ Ｐゴシック"/>
        <family val="3"/>
        <charset val="128"/>
      </rPr>
      <t>合わせて、</t>
    </r>
    <r>
      <rPr>
        <sz val="11"/>
        <color indexed="8"/>
        <rFont val="Calibri"/>
        <family val="2"/>
      </rPr>
      <t>PCL</t>
    </r>
    <r>
      <rPr>
        <sz val="11"/>
        <color indexed="8"/>
        <rFont val="ＭＳ Ｐゴシック"/>
        <family val="3"/>
        <charset val="128"/>
      </rPr>
      <t>予定件数の欄を、</t>
    </r>
    <r>
      <rPr>
        <sz val="11"/>
        <color indexed="8"/>
        <rFont val="Calibri"/>
        <family val="2"/>
      </rPr>
      <t>PC</t>
    </r>
    <r>
      <rPr>
        <sz val="11"/>
        <color indexed="8"/>
        <rFont val="ＭＳ Ｐゴシック"/>
        <family val="3"/>
        <charset val="128"/>
      </rPr>
      <t>未完のときは、作業時工程での予定</t>
    </r>
    <r>
      <rPr>
        <sz val="11"/>
        <color indexed="8"/>
        <rFont val="Calibri"/>
        <family val="2"/>
      </rPr>
      <t>STEP</t>
    </r>
    <r>
      <rPr>
        <sz val="11"/>
        <color indexed="8"/>
        <rFont val="ＭＳ Ｐゴシック"/>
        <family val="3"/>
        <charset val="128"/>
      </rPr>
      <t>より、</t>
    </r>
    <r>
      <rPr>
        <sz val="11"/>
        <color indexed="8"/>
        <rFont val="Calibri"/>
        <family val="2"/>
      </rPr>
      <t>PCL</t>
    </r>
    <r>
      <rPr>
        <sz val="11"/>
        <color indexed="8"/>
        <rFont val="ＭＳ Ｐゴシック"/>
        <family val="3"/>
        <charset val="128"/>
      </rPr>
      <t>件数を算出。</t>
    </r>
    <rPh sb="0" eb="1">
      <t>ア</t>
    </rPh>
    <rPh sb="8" eb="10">
      <t>ヨテイ</t>
    </rPh>
    <rPh sb="10" eb="12">
      <t>ケンスウ</t>
    </rPh>
    <rPh sb="13" eb="14">
      <t>ラン</t>
    </rPh>
    <phoneticPr fontId="2"/>
  </si>
  <si>
    <t>■V2.0：改訂前</t>
    <phoneticPr fontId="2"/>
  </si>
  <si>
    <t>■V2.1：改訂後</t>
    <phoneticPr fontId="2"/>
  </si>
  <si>
    <t>&lt;イメージ図&gt;</t>
    <rPh sb="5" eb="6">
      <t>ズ</t>
    </rPh>
    <phoneticPr fontId="2"/>
  </si>
  <si>
    <t>項</t>
    <rPh sb="0" eb="1">
      <t>コウ</t>
    </rPh>
    <phoneticPr fontId="2"/>
  </si>
  <si>
    <t>番</t>
    <rPh sb="0" eb="1">
      <t>バン</t>
    </rPh>
    <phoneticPr fontId="2"/>
  </si>
  <si>
    <t>- 以上 -</t>
    <rPh sb="2" eb="4">
      <t>イジョウ</t>
    </rPh>
    <phoneticPr fontId="2"/>
  </si>
  <si>
    <t>V2.0ではPCL作成完了前のﾌﾟﾛｸﾞﾗﾑ(行)が、PCL消化率(=PC～UT進捗率)算出の対象外となっている。</t>
    <rPh sb="9" eb="11">
      <t>サクセイ</t>
    </rPh>
    <rPh sb="11" eb="13">
      <t>カンリョウ</t>
    </rPh>
    <rPh sb="13" eb="14">
      <t>マエ</t>
    </rPh>
    <rPh sb="23" eb="24">
      <t>ギョウ</t>
    </rPh>
    <rPh sb="30" eb="32">
      <t>ショウカ</t>
    </rPh>
    <rPh sb="32" eb="33">
      <t>リツ</t>
    </rPh>
    <rPh sb="40" eb="41">
      <t>リツ</t>
    </rPh>
    <rPh sb="41" eb="42">
      <t>）</t>
    </rPh>
    <rPh sb="42" eb="43">
      <t>ノ</t>
    </rPh>
    <rPh sb="44" eb="46">
      <t>サンシュツ</t>
    </rPh>
    <rPh sb="47" eb="49">
      <t>タイショウ</t>
    </rPh>
    <rPh sb="49" eb="50">
      <t>ガイ</t>
    </rPh>
    <phoneticPr fontId="2"/>
  </si>
  <si>
    <t>　V2.1ではこれを改善し、PCL作成完了前のﾌﾟﾛｸﾞﾗﾑ(行)は、その時点の予定stepより算出した予定PCL件数を、</t>
    <rPh sb="10" eb="12">
      <t>カイゼン</t>
    </rPh>
    <rPh sb="37" eb="39">
      <t>ジテン</t>
    </rPh>
    <rPh sb="40" eb="42">
      <t>ヨテイ</t>
    </rPh>
    <rPh sb="48" eb="50">
      <t>サンシュツ</t>
    </rPh>
    <rPh sb="52" eb="54">
      <t>ヨテイ</t>
    </rPh>
    <rPh sb="57" eb="59">
      <t>ケンスウ</t>
    </rPh>
    <phoneticPr fontId="2"/>
  </si>
  <si>
    <t>　PCL消化率の母数として追加し、全体のﾌﾟﾛｸﾞﾗﾑ(行)に対する消化率を算出するようにした。</t>
    <rPh sb="13" eb="15">
      <t>ツイカ</t>
    </rPh>
    <rPh sb="17" eb="19">
      <t>ゼンタイ</t>
    </rPh>
    <rPh sb="28" eb="29">
      <t>ギョウ</t>
    </rPh>
    <rPh sb="31" eb="32">
      <t>タイ</t>
    </rPh>
    <rPh sb="34" eb="36">
      <t>ショウカ</t>
    </rPh>
    <rPh sb="36" eb="37">
      <t>リツ</t>
    </rPh>
    <rPh sb="38" eb="40">
      <t>サンシュツ</t>
    </rPh>
    <phoneticPr fontId="2"/>
  </si>
  <si>
    <r>
      <t>PCL</t>
    </r>
    <r>
      <rPr>
        <b/>
        <sz val="11"/>
        <color indexed="8"/>
        <rFont val="ＭＳ Ｐゴシック"/>
        <family val="3"/>
        <charset val="128"/>
      </rPr>
      <t xml:space="preserve">消化率 </t>
    </r>
    <r>
      <rPr>
        <b/>
        <sz val="11"/>
        <color indexed="8"/>
        <rFont val="Calibri"/>
        <family val="2"/>
      </rPr>
      <t xml:space="preserve">=  </t>
    </r>
    <r>
      <rPr>
        <b/>
        <sz val="11"/>
        <color indexed="50"/>
        <rFont val="Calibri"/>
        <family val="2"/>
      </rPr>
      <t>PCL</t>
    </r>
    <r>
      <rPr>
        <b/>
        <sz val="11"/>
        <color indexed="50"/>
        <rFont val="ＭＳ Ｐゴシック"/>
        <family val="3"/>
        <charset val="128"/>
      </rPr>
      <t>消化件数</t>
    </r>
    <r>
      <rPr>
        <b/>
        <sz val="11"/>
        <color indexed="8"/>
        <rFont val="Calibri"/>
        <family val="2"/>
      </rPr>
      <t xml:space="preserve"> / </t>
    </r>
    <r>
      <rPr>
        <b/>
        <sz val="11"/>
        <color indexed="40"/>
        <rFont val="Calibri"/>
        <family val="2"/>
      </rPr>
      <t>PCL</t>
    </r>
    <r>
      <rPr>
        <b/>
        <sz val="11"/>
        <color indexed="40"/>
        <rFont val="ＭＳ Ｐゴシック"/>
        <family val="3"/>
        <charset val="128"/>
      </rPr>
      <t>実</t>
    </r>
    <r>
      <rPr>
        <b/>
        <sz val="11"/>
        <color indexed="40"/>
        <rFont val="ＭＳ Ｐゴシック"/>
        <family val="3"/>
        <charset val="128"/>
      </rPr>
      <t>績件数</t>
    </r>
    <r>
      <rPr>
        <b/>
        <sz val="11"/>
        <color indexed="8"/>
        <rFont val="Calibri"/>
        <family val="2"/>
      </rPr>
      <t xml:space="preserve">  * 100(%)</t>
    </r>
    <phoneticPr fontId="2"/>
  </si>
  <si>
    <r>
      <t xml:space="preserve">PCL消化率 =  </t>
    </r>
    <r>
      <rPr>
        <b/>
        <sz val="11"/>
        <color indexed="50"/>
        <rFont val="ＭＳ Ｐゴシック"/>
        <family val="3"/>
        <charset val="128"/>
      </rPr>
      <t>PCL消化件数</t>
    </r>
    <r>
      <rPr>
        <b/>
        <sz val="11"/>
        <rFont val="ＭＳ Ｐゴシック"/>
        <family val="3"/>
        <charset val="128"/>
      </rPr>
      <t xml:space="preserve"> / </t>
    </r>
    <r>
      <rPr>
        <b/>
        <sz val="11"/>
        <color indexed="40"/>
        <rFont val="ＭＳ Ｐゴシック"/>
        <family val="3"/>
        <charset val="128"/>
      </rPr>
      <t>PCL実績</t>
    </r>
    <r>
      <rPr>
        <b/>
        <sz val="11"/>
        <rFont val="ＭＳ Ｐゴシック"/>
        <family val="3"/>
        <charset val="128"/>
      </rPr>
      <t>or</t>
    </r>
    <r>
      <rPr>
        <b/>
        <sz val="11"/>
        <color indexed="14"/>
        <rFont val="ＭＳ Ｐゴシック"/>
        <family val="3"/>
        <charset val="128"/>
      </rPr>
      <t>PCL予定</t>
    </r>
    <r>
      <rPr>
        <b/>
        <sz val="11"/>
        <rFont val="ＭＳ Ｐゴシック"/>
        <family val="3"/>
        <charset val="128"/>
      </rPr>
      <t>件数  * 100(%)</t>
    </r>
    <phoneticPr fontId="2"/>
  </si>
  <si>
    <t>※補足事項</t>
    <rPh sb="1" eb="3">
      <t>ホソク</t>
    </rPh>
    <rPh sb="3" eb="5">
      <t>ジコウ</t>
    </rPh>
    <phoneticPr fontId="2"/>
  </si>
  <si>
    <t>　　　 PCL作成実績終了日が空の場合はPCL作成未完了とみなしPCL予定件数、</t>
    <rPh sb="11" eb="13">
      <t>シュウリョウ</t>
    </rPh>
    <rPh sb="13" eb="14">
      <t>ビ</t>
    </rPh>
    <rPh sb="15" eb="16">
      <t>カラ</t>
    </rPh>
    <rPh sb="17" eb="19">
      <t>バアイ</t>
    </rPh>
    <rPh sb="23" eb="25">
      <t>サクセイ</t>
    </rPh>
    <rPh sb="25" eb="28">
      <t>ミカンリョウ</t>
    </rPh>
    <rPh sb="35" eb="37">
      <t>ヨテイ</t>
    </rPh>
    <rPh sb="37" eb="39">
      <t>ケンスウ</t>
    </rPh>
    <phoneticPr fontId="2"/>
  </si>
  <si>
    <t>　　　 PCL作成実績終了日が入っている場合はPCL作成完了とみなしPCL実績件数としています。</t>
    <rPh sb="11" eb="13">
      <t>シュウリョウ</t>
    </rPh>
    <rPh sb="13" eb="14">
      <t>ビ</t>
    </rPh>
    <rPh sb="15" eb="16">
      <t>ハイ</t>
    </rPh>
    <rPh sb="20" eb="22">
      <t>バアイ</t>
    </rPh>
    <rPh sb="26" eb="28">
      <t>サクセイ</t>
    </rPh>
    <rPh sb="28" eb="30">
      <t>カンリョウ</t>
    </rPh>
    <rPh sb="37" eb="39">
      <t>ジッセキ</t>
    </rPh>
    <rPh sb="39" eb="41">
      <t>ケンスウ</t>
    </rPh>
    <phoneticPr fontId="2"/>
  </si>
  <si>
    <t>　　　  ・PC実績終了日が入っている場合</t>
    <rPh sb="8" eb="10">
      <t>ジッセキ</t>
    </rPh>
    <rPh sb="10" eb="13">
      <t>シュウリョウビ</t>
    </rPh>
    <rPh sb="14" eb="15">
      <t>ハイ</t>
    </rPh>
    <rPh sb="19" eb="21">
      <t>バアイ</t>
    </rPh>
    <phoneticPr fontId="2"/>
  </si>
  <si>
    <t>　　　  ・PC実績終了日が空の場合</t>
    <rPh sb="8" eb="10">
      <t>ジッセキ</t>
    </rPh>
    <rPh sb="10" eb="13">
      <t>シュウリョウビ</t>
    </rPh>
    <rPh sb="14" eb="15">
      <t>ソラ</t>
    </rPh>
    <rPh sb="16" eb="18">
      <t>バアイ</t>
    </rPh>
    <phoneticPr fontId="2"/>
  </si>
  <si>
    <t>・AD実績終了日が入っている場合</t>
    <rPh sb="3" eb="5">
      <t>ジッセキ</t>
    </rPh>
    <rPh sb="5" eb="8">
      <t>シュウリョウビ</t>
    </rPh>
    <rPh sb="9" eb="10">
      <t>ハイ</t>
    </rPh>
    <rPh sb="14" eb="16">
      <t>バアイ</t>
    </rPh>
    <phoneticPr fontId="2"/>
  </si>
  <si>
    <t>・AD実績終了日が空の場合</t>
    <rPh sb="3" eb="5">
      <t>ジッセキ</t>
    </rPh>
    <rPh sb="5" eb="8">
      <t>シュウリョウビ</t>
    </rPh>
    <rPh sb="9" eb="10">
      <t>カラ</t>
    </rPh>
    <rPh sb="11" eb="13">
      <t>バアイ</t>
    </rPh>
    <phoneticPr fontId="2"/>
  </si>
  <si>
    <t>　　　　PCL予定件数の算出は、下記の通り、各実績終了日を元に算出元を判断しています。</t>
    <rPh sb="7" eb="9">
      <t>ヨテイ</t>
    </rPh>
    <rPh sb="9" eb="11">
      <t>ケンスウ</t>
    </rPh>
    <rPh sb="12" eb="14">
      <t>サンシュツ</t>
    </rPh>
    <rPh sb="16" eb="18">
      <t>カキ</t>
    </rPh>
    <rPh sb="19" eb="20">
      <t>トオ</t>
    </rPh>
    <rPh sb="22" eb="23">
      <t>カク</t>
    </rPh>
    <rPh sb="23" eb="25">
      <t>ジッセキ</t>
    </rPh>
    <rPh sb="25" eb="28">
      <t>シュウリョウビ</t>
    </rPh>
    <rPh sb="29" eb="30">
      <t>モト</t>
    </rPh>
    <rPh sb="31" eb="33">
      <t>サンシュツ</t>
    </rPh>
    <rPh sb="33" eb="34">
      <t>モト</t>
    </rPh>
    <rPh sb="35" eb="37">
      <t>ハンダン</t>
    </rPh>
    <phoneticPr fontId="2"/>
  </si>
  <si>
    <t>・・・PC実績step数を元に算出</t>
    <rPh sb="5" eb="7">
      <t>ジッセキ</t>
    </rPh>
    <rPh sb="11" eb="12">
      <t>スウ</t>
    </rPh>
    <rPh sb="13" eb="14">
      <t>モト</t>
    </rPh>
    <rPh sb="15" eb="17">
      <t>サンシュツ</t>
    </rPh>
    <phoneticPr fontId="2"/>
  </si>
  <si>
    <t>・・・PC予定step数を元に算出</t>
    <rPh sb="5" eb="7">
      <t>ヨテイ</t>
    </rPh>
    <rPh sb="11" eb="12">
      <t>スウ</t>
    </rPh>
    <phoneticPr fontId="2"/>
  </si>
  <si>
    <t>・・・AD予定step数を元に算出</t>
    <rPh sb="5" eb="7">
      <t>ヨテイ</t>
    </rPh>
    <rPh sb="11" eb="12">
      <t>スウ</t>
    </rPh>
    <phoneticPr fontId="2"/>
  </si>
  <si>
    <r>
      <t>　　(1)PCL消化率を算出式の母数</t>
    </r>
    <r>
      <rPr>
        <b/>
        <sz val="11"/>
        <rFont val="ＭＳ Ｐゴシック"/>
        <family val="3"/>
        <charset val="128"/>
      </rPr>
      <t>「</t>
    </r>
    <r>
      <rPr>
        <b/>
        <sz val="11"/>
        <color indexed="40"/>
        <rFont val="ＭＳ Ｐゴシック"/>
        <family val="3"/>
        <charset val="128"/>
      </rPr>
      <t>PCL実績</t>
    </r>
    <r>
      <rPr>
        <b/>
        <sz val="11"/>
        <rFont val="ＭＳ Ｐゴシック"/>
        <family val="3"/>
        <charset val="128"/>
      </rPr>
      <t>or</t>
    </r>
    <r>
      <rPr>
        <b/>
        <sz val="11"/>
        <color indexed="14"/>
        <rFont val="ＭＳ Ｐゴシック"/>
        <family val="3"/>
        <charset val="128"/>
      </rPr>
      <t>PCL予定</t>
    </r>
    <r>
      <rPr>
        <b/>
        <sz val="11"/>
        <rFont val="ＭＳ Ｐゴシック"/>
        <family val="3"/>
        <charset val="128"/>
      </rPr>
      <t>件数」の</t>
    </r>
    <r>
      <rPr>
        <sz val="11"/>
        <rFont val="ＭＳ Ｐゴシック"/>
        <family val="3"/>
        <charset val="128"/>
      </rPr>
      <t>、PCL実績件数とPCL予定件数の使い分けについて</t>
    </r>
    <rPh sb="8" eb="10">
      <t>ショウカ</t>
    </rPh>
    <rPh sb="10" eb="11">
      <t>リツ</t>
    </rPh>
    <rPh sb="12" eb="14">
      <t>サンシュツ</t>
    </rPh>
    <rPh sb="14" eb="15">
      <t>シキ</t>
    </rPh>
    <rPh sb="16" eb="18">
      <t>ボスウ</t>
    </rPh>
    <rPh sb="22" eb="24">
      <t>ジッセキ</t>
    </rPh>
    <rPh sb="29" eb="31">
      <t>ヨテイ</t>
    </rPh>
    <rPh sb="31" eb="33">
      <t>ケンスウ</t>
    </rPh>
    <rPh sb="39" eb="41">
      <t>ジッセキ</t>
    </rPh>
    <rPh sb="41" eb="43">
      <t>ケンスウ</t>
    </rPh>
    <rPh sb="47" eb="49">
      <t>ヨテイ</t>
    </rPh>
    <rPh sb="49" eb="51">
      <t>ケンスウ</t>
    </rPh>
    <rPh sb="52" eb="53">
      <t>ツカ</t>
    </rPh>
    <rPh sb="54" eb="55">
      <t>ワ</t>
    </rPh>
    <phoneticPr fontId="2"/>
  </si>
  <si>
    <t>　　(2)PCL予定件数の算出元stepについて</t>
    <rPh sb="8" eb="10">
      <t>ヨテイ</t>
    </rPh>
    <rPh sb="10" eb="12">
      <t>ケンスウ</t>
    </rPh>
    <rPh sb="13" eb="15">
      <t>サンシュツ</t>
    </rPh>
    <rPh sb="15" eb="16">
      <t>モト</t>
    </rPh>
    <phoneticPr fontId="2"/>
  </si>
  <si>
    <t>⇒単体プロセス管理票に記載の全てのﾌﾟﾛｸﾞﾗﾑ(行)を対象とする為、</t>
    <rPh sb="28" eb="30">
      <t>タイショウ</t>
    </rPh>
    <rPh sb="33" eb="34">
      <t>タメ</t>
    </rPh>
    <phoneticPr fontId="2"/>
  </si>
  <si>
    <t>作業対象全体に対する消化率とする為に、PCL作成前のプログラムについては、PCL予定件数を消化率の母数として追加。</t>
    <phoneticPr fontId="2"/>
  </si>
  <si>
    <t>全シート</t>
    <rPh sb="0" eb="1">
      <t>ゼン</t>
    </rPh>
    <phoneticPr fontId="2"/>
  </si>
  <si>
    <t>UTシート</t>
    <phoneticPr fontId="2"/>
  </si>
  <si>
    <t>・「単体プロセス管理票（ＵＴ）」の削除</t>
    <rPh sb="2" eb="4">
      <t>タンタイ</t>
    </rPh>
    <rPh sb="8" eb="10">
      <t>カンリ</t>
    </rPh>
    <rPh sb="10" eb="11">
      <t>ヒョウ</t>
    </rPh>
    <rPh sb="17" eb="19">
      <t>サクジョ</t>
    </rPh>
    <phoneticPr fontId="2"/>
  </si>
  <si>
    <t>【作業手順】</t>
    <rPh sb="1" eb="3">
      <t>サギョウ</t>
    </rPh>
    <rPh sb="3" eb="5">
      <t>テジュン</t>
    </rPh>
    <phoneticPr fontId="2"/>
  </si>
  <si>
    <t>・V2.0の「単体プロセス管理票（ＵＴ）」シートを、本ワークブックにコピーします。</t>
    <rPh sb="7" eb="9">
      <t>タンタイ</t>
    </rPh>
    <rPh sb="13" eb="15">
      <t>カンリ</t>
    </rPh>
    <rPh sb="15" eb="16">
      <t>ヒョウ</t>
    </rPh>
    <rPh sb="26" eb="27">
      <t>ホン</t>
    </rPh>
    <phoneticPr fontId="2"/>
  </si>
  <si>
    <t>※明細行を追加する場合、明細行にも計算式が埋め込まれている為、</t>
    <rPh sb="1" eb="3">
      <t>メイサイ</t>
    </rPh>
    <rPh sb="3" eb="4">
      <t>ギョウ</t>
    </rPh>
    <rPh sb="5" eb="7">
      <t>ツイカ</t>
    </rPh>
    <rPh sb="9" eb="11">
      <t>バアイ</t>
    </rPh>
    <rPh sb="12" eb="14">
      <t>メイサイ</t>
    </rPh>
    <rPh sb="14" eb="15">
      <t>ギョウ</t>
    </rPh>
    <rPh sb="17" eb="19">
      <t>ケイサン</t>
    </rPh>
    <rPh sb="19" eb="20">
      <t>シキ</t>
    </rPh>
    <rPh sb="21" eb="22">
      <t>ウ</t>
    </rPh>
    <rPh sb="23" eb="24">
      <t>コ</t>
    </rPh>
    <rPh sb="29" eb="30">
      <t>タメ</t>
    </rPh>
    <phoneticPr fontId="2"/>
  </si>
  <si>
    <t>　ただ行を挿入するのではなく、「コピーして挿入」機能で追加する等、明細行の計算式を反映するようにして下さい。</t>
    <rPh sb="3" eb="4">
      <t>ギョウ</t>
    </rPh>
    <rPh sb="5" eb="7">
      <t>ソウニュウ</t>
    </rPh>
    <rPh sb="24" eb="26">
      <t>キノウ</t>
    </rPh>
    <rPh sb="31" eb="32">
      <t>ナド</t>
    </rPh>
    <rPh sb="33" eb="35">
      <t>メイサイ</t>
    </rPh>
    <rPh sb="35" eb="36">
      <t>ギョウ</t>
    </rPh>
    <rPh sb="37" eb="39">
      <t>ケイサン</t>
    </rPh>
    <rPh sb="39" eb="40">
      <t>シキ</t>
    </rPh>
    <rPh sb="41" eb="43">
      <t>ハンエイ</t>
    </rPh>
    <rPh sb="50" eb="51">
      <t>クダ</t>
    </rPh>
    <phoneticPr fontId="2"/>
  </si>
  <si>
    <t>単体プロセス管理票(ＵＴ）</t>
    <phoneticPr fontId="2"/>
  </si>
  <si>
    <t>　(シート名を変更している場合は、手順３にて変更したシート名を指定してください)</t>
    <rPh sb="5" eb="6">
      <t>メイ</t>
    </rPh>
    <rPh sb="7" eb="9">
      <t>ヘンコウ</t>
    </rPh>
    <rPh sb="13" eb="15">
      <t>バアイ</t>
    </rPh>
    <rPh sb="17" eb="19">
      <t>テジュン</t>
    </rPh>
    <rPh sb="22" eb="24">
      <t>ヘンコウ</t>
    </rPh>
    <rPh sb="29" eb="30">
      <t>メイ</t>
    </rPh>
    <rPh sb="31" eb="33">
      <t>シテイ</t>
    </rPh>
    <phoneticPr fontId="2"/>
  </si>
  <si>
    <t>明細行最終行(F71セル)に明細行最終行を指定して下さい。</t>
    <rPh sb="0" eb="2">
      <t>メイサイ</t>
    </rPh>
    <rPh sb="2" eb="3">
      <t>ギョウ</t>
    </rPh>
    <rPh sb="3" eb="6">
      <t>サイシュウギョウ</t>
    </rPh>
    <rPh sb="14" eb="16">
      <t>メイサイ</t>
    </rPh>
    <rPh sb="16" eb="17">
      <t>ギョウ</t>
    </rPh>
    <rPh sb="17" eb="20">
      <t>サイシュウギョウ</t>
    </rPh>
    <rPh sb="21" eb="23">
      <t>シテイ</t>
    </rPh>
    <rPh sb="25" eb="26">
      <t>クダ</t>
    </rPh>
    <phoneticPr fontId="2"/>
  </si>
  <si>
    <t>【本処理を実行する上での留意事項】</t>
    <rPh sb="1" eb="2">
      <t>ホン</t>
    </rPh>
    <rPh sb="2" eb="4">
      <t>ショリ</t>
    </rPh>
    <rPh sb="5" eb="7">
      <t>ジッコウ</t>
    </rPh>
    <rPh sb="9" eb="10">
      <t>ウエ</t>
    </rPh>
    <rPh sb="12" eb="14">
      <t>リュウイ</t>
    </rPh>
    <rPh sb="14" eb="16">
      <t>ジコウ</t>
    </rPh>
    <phoneticPr fontId="2"/>
  </si>
  <si>
    <t xml:space="preserve">     ・明細行開始位置が、A列&amp;13行目でない場合。</t>
    <rPh sb="6" eb="8">
      <t>メイサイ</t>
    </rPh>
    <rPh sb="8" eb="9">
      <t>ギョウ</t>
    </rPh>
    <rPh sb="9" eb="11">
      <t>カイシ</t>
    </rPh>
    <rPh sb="11" eb="13">
      <t>イチ</t>
    </rPh>
    <rPh sb="16" eb="17">
      <t>レツ</t>
    </rPh>
    <rPh sb="20" eb="22">
      <t>ギョウメ</t>
    </rPh>
    <rPh sb="25" eb="27">
      <t>バアイ</t>
    </rPh>
    <phoneticPr fontId="2"/>
  </si>
  <si>
    <t>明細行最終行(Excel行)</t>
    <rPh sb="0" eb="2">
      <t>メイサイ</t>
    </rPh>
    <rPh sb="2" eb="3">
      <t>ギョウ</t>
    </rPh>
    <rPh sb="3" eb="6">
      <t>サイシュウギョウ</t>
    </rPh>
    <rPh sb="12" eb="13">
      <t>ギョウ</t>
    </rPh>
    <phoneticPr fontId="2"/>
  </si>
  <si>
    <t>←V2.1に反映する最終行を指定して下さい。</t>
    <rPh sb="6" eb="8">
      <t>ハンエイ</t>
    </rPh>
    <rPh sb="10" eb="13">
      <t>サイシュウギョウ</t>
    </rPh>
    <rPh sb="14" eb="16">
      <t>シテイ</t>
    </rPh>
    <rPh sb="18" eb="19">
      <t>クダ</t>
    </rPh>
    <phoneticPr fontId="2"/>
  </si>
  <si>
    <t>・手順１　・・・V2.0シートのV2.1へのコピー</t>
    <rPh sb="1" eb="3">
      <t>テジュン</t>
    </rPh>
    <phoneticPr fontId="2"/>
  </si>
  <si>
    <t>・手順２・・・V2.0シートとV2.1の整合調整</t>
    <rPh sb="1" eb="3">
      <t>テジュン</t>
    </rPh>
    <rPh sb="20" eb="22">
      <t>セイゴウ</t>
    </rPh>
    <rPh sb="22" eb="24">
      <t>チョウセイ</t>
    </rPh>
    <phoneticPr fontId="2"/>
  </si>
  <si>
    <t>・手順５・・・後処理（不要シートの削除）</t>
    <rPh sb="1" eb="3">
      <t>テジュン</t>
    </rPh>
    <rPh sb="7" eb="8">
      <t>アト</t>
    </rPh>
    <rPh sb="8" eb="10">
      <t>ショリ</t>
    </rPh>
    <rPh sb="11" eb="13">
      <t>フヨウ</t>
    </rPh>
    <rPh sb="17" eb="19">
      <t>サクジョ</t>
    </rPh>
    <phoneticPr fontId="2"/>
  </si>
  <si>
    <t>　セルの位置を移動しないようにして下さい。</t>
    <rPh sb="4" eb="6">
      <t>イチ</t>
    </rPh>
    <rPh sb="7" eb="9">
      <t>イドウ</t>
    </rPh>
    <rPh sb="17" eb="18">
      <t>クダ</t>
    </rPh>
    <phoneticPr fontId="2"/>
  </si>
  <si>
    <t>・手順４・・・V2.0⇒V2.1転記処理実行</t>
    <rPh sb="1" eb="3">
      <t>テジュン</t>
    </rPh>
    <rPh sb="16" eb="18">
      <t>テンキ</t>
    </rPh>
    <rPh sb="18" eb="20">
      <t>ショリ</t>
    </rPh>
    <rPh sb="20" eb="22">
      <t>ジッコウ</t>
    </rPh>
    <phoneticPr fontId="2"/>
  </si>
  <si>
    <t>　転記した内容を確認してください。</t>
    <rPh sb="1" eb="3">
      <t>テンキ</t>
    </rPh>
    <rPh sb="5" eb="7">
      <t>ナイヨウ</t>
    </rPh>
    <rPh sb="8" eb="10">
      <t>カクニン</t>
    </rPh>
    <phoneticPr fontId="2"/>
  </si>
  <si>
    <t>２．単体プロセス管理票（ＵＴ）のv2.0⇒v2.1への転記方法</t>
    <rPh sb="2" eb="4">
      <t>タンタイ</t>
    </rPh>
    <rPh sb="8" eb="10">
      <t>カンリ</t>
    </rPh>
    <rPh sb="10" eb="11">
      <t>ヒョウ</t>
    </rPh>
    <rPh sb="27" eb="29">
      <t>テンキ</t>
    </rPh>
    <rPh sb="29" eb="31">
      <t>ホウホウ</t>
    </rPh>
    <phoneticPr fontId="2"/>
  </si>
  <si>
    <t xml:space="preserve">     ・項目(列)をカスタマイズ(追加、削除、変更)している場合。</t>
    <rPh sb="22" eb="24">
      <t>サクジョ</t>
    </rPh>
    <rPh sb="25" eb="27">
      <t>ヘンコウ</t>
    </rPh>
    <phoneticPr fontId="2"/>
  </si>
  <si>
    <t xml:space="preserve">     ・ヘッダ部分にある設定項目（進捗率割合表(%)など)のセル位置を変更している場合。</t>
    <rPh sb="9" eb="11">
      <t>ブブン</t>
    </rPh>
    <rPh sb="14" eb="16">
      <t>セッテイ</t>
    </rPh>
    <rPh sb="16" eb="18">
      <t>コウモク</t>
    </rPh>
    <rPh sb="19" eb="21">
      <t>シンチョク</t>
    </rPh>
    <rPh sb="21" eb="22">
      <t>リツ</t>
    </rPh>
    <rPh sb="22" eb="24">
      <t>ワリアイ</t>
    </rPh>
    <rPh sb="24" eb="25">
      <t>ヒョウ</t>
    </rPh>
    <rPh sb="34" eb="36">
      <t>イチ</t>
    </rPh>
    <rPh sb="37" eb="39">
      <t>ヘンコウ</t>
    </rPh>
    <rPh sb="43" eb="45">
      <t>バアイ</t>
    </rPh>
    <phoneticPr fontId="2"/>
  </si>
  <si>
    <t>　　個別に下記のようなカスタマイズを行っている場合は、使用出来ません。</t>
    <rPh sb="2" eb="4">
      <t>コベツ</t>
    </rPh>
    <rPh sb="5" eb="7">
      <t>カキ</t>
    </rPh>
    <rPh sb="18" eb="19">
      <t>オコナ</t>
    </rPh>
    <rPh sb="23" eb="25">
      <t>バアイ</t>
    </rPh>
    <rPh sb="27" eb="29">
      <t>シヨウ</t>
    </rPh>
    <rPh sb="29" eb="31">
      <t>デキ</t>
    </rPh>
    <phoneticPr fontId="2"/>
  </si>
  <si>
    <t>転記元シート(V2.0)に記入している内容を、「単体プロセス管理票（ＵＴ）v2.1」シートに転記します。</t>
    <rPh sb="0" eb="2">
      <t>テンキ</t>
    </rPh>
    <rPh sb="2" eb="3">
      <t>モト</t>
    </rPh>
    <rPh sb="13" eb="15">
      <t>キニュウ</t>
    </rPh>
    <rPh sb="19" eb="21">
      <t>ナイヨウ</t>
    </rPh>
    <rPh sb="46" eb="48">
      <t>テンキ</t>
    </rPh>
    <phoneticPr fontId="2"/>
  </si>
  <si>
    <t>(1)転記元シート(V2.,0）の仕様を個別にカスタマイズしていない場合のみ、本処理を使用出来ます。</t>
    <rPh sb="5" eb="6">
      <t>モト</t>
    </rPh>
    <rPh sb="17" eb="19">
      <t>シヨウ</t>
    </rPh>
    <rPh sb="20" eb="22">
      <t>コベツ</t>
    </rPh>
    <rPh sb="34" eb="36">
      <t>バアイ</t>
    </rPh>
    <rPh sb="39" eb="40">
      <t>ホン</t>
    </rPh>
    <rPh sb="40" eb="42">
      <t>ショリ</t>
    </rPh>
    <rPh sb="43" eb="45">
      <t>シヨウ</t>
    </rPh>
    <rPh sb="45" eb="47">
      <t>デキ</t>
    </rPh>
    <phoneticPr fontId="2"/>
  </si>
  <si>
    <t>(2)転記元シート(V2.,0）に埋め込まれている計算式は、V2.1に転記しません。</t>
    <rPh sb="5" eb="6">
      <t>モト</t>
    </rPh>
    <rPh sb="17" eb="18">
      <t>ウ</t>
    </rPh>
    <rPh sb="19" eb="20">
      <t>コ</t>
    </rPh>
    <rPh sb="25" eb="27">
      <t>ケイサン</t>
    </rPh>
    <rPh sb="27" eb="28">
      <t>シキ</t>
    </rPh>
    <rPh sb="35" eb="37">
      <t>テンキ</t>
    </rPh>
    <phoneticPr fontId="2"/>
  </si>
  <si>
    <t>転記元シートの明細行が72行を超えている場合、「単体プロセス管理票（ＵＴ）v2.1」シートの明細行数を合わせて下さい。</t>
    <rPh sb="2" eb="3">
      <t>モト</t>
    </rPh>
    <rPh sb="7" eb="9">
      <t>メイサイ</t>
    </rPh>
    <rPh sb="9" eb="10">
      <t>ギョウ</t>
    </rPh>
    <rPh sb="13" eb="14">
      <t>ギョウ</t>
    </rPh>
    <rPh sb="15" eb="16">
      <t>コ</t>
    </rPh>
    <rPh sb="20" eb="22">
      <t>バアイ</t>
    </rPh>
    <rPh sb="46" eb="48">
      <t>メイサイ</t>
    </rPh>
    <rPh sb="48" eb="49">
      <t>ギョウ</t>
    </rPh>
    <rPh sb="49" eb="50">
      <t>スウ</t>
    </rPh>
    <rPh sb="51" eb="52">
      <t>ア</t>
    </rPh>
    <rPh sb="55" eb="56">
      <t>クダ</t>
    </rPh>
    <phoneticPr fontId="2"/>
  </si>
  <si>
    <t>・手順３・・・転記元シート名、明細最終行の指定</t>
    <rPh sb="1" eb="3">
      <t>テジュン</t>
    </rPh>
    <rPh sb="9" eb="10">
      <t>モト</t>
    </rPh>
    <rPh sb="13" eb="14">
      <t>メイ</t>
    </rPh>
    <rPh sb="15" eb="17">
      <t>メイサイ</t>
    </rPh>
    <rPh sb="17" eb="20">
      <t>サイシュウギョウ</t>
    </rPh>
    <rPh sb="21" eb="23">
      <t>シテイ</t>
    </rPh>
    <phoneticPr fontId="2"/>
  </si>
  <si>
    <t>下記の転記元シート名(F70セル)にV2,0の「単体プロセス管理票（ＵＴ）」シートの名称と、</t>
    <rPh sb="0" eb="2">
      <t>カキ</t>
    </rPh>
    <rPh sb="5" eb="6">
      <t>モト</t>
    </rPh>
    <rPh sb="9" eb="10">
      <t>メイ</t>
    </rPh>
    <rPh sb="42" eb="44">
      <t>メイショウ</t>
    </rPh>
    <phoneticPr fontId="2"/>
  </si>
  <si>
    <t>転記元シート名</t>
  </si>
  <si>
    <t>※背景黄色のセルの位置は、それぞれ、F81、F82固定で、手順４転記処理のマクロに組み込んでいる為、</t>
    <rPh sb="1" eb="3">
      <t>ハイケイ</t>
    </rPh>
    <rPh sb="3" eb="5">
      <t>キイロ</t>
    </rPh>
    <rPh sb="9" eb="11">
      <t>イチ</t>
    </rPh>
    <rPh sb="25" eb="27">
      <t>コテイ</t>
    </rPh>
    <rPh sb="29" eb="31">
      <t>テジュン</t>
    </rPh>
    <rPh sb="34" eb="36">
      <t>ショリ</t>
    </rPh>
    <rPh sb="41" eb="42">
      <t>ク</t>
    </rPh>
    <rPh sb="43" eb="44">
      <t>コ</t>
    </rPh>
    <rPh sb="48" eb="49">
      <t>タメ</t>
    </rPh>
    <phoneticPr fontId="2"/>
  </si>
  <si>
    <t>※メッセージ：「データ転記処理を行いました。」が表示されたら、転記処理終了です。</t>
    <rPh sb="11" eb="13">
      <t>テンキ</t>
    </rPh>
    <rPh sb="24" eb="26">
      <t>ヒョウジ</t>
    </rPh>
    <rPh sb="33" eb="35">
      <t>ショリ</t>
    </rPh>
    <rPh sb="35" eb="37">
      <t>シュウリョウ</t>
    </rPh>
    <phoneticPr fontId="2"/>
  </si>
  <si>
    <t>※（注）“単体プロセス管理票(ＵＴ）”シートを残したまま、［転記］ボタンを押すと上書きされますでご注意下さい。</t>
    <rPh sb="2" eb="3">
      <t>チュウ</t>
    </rPh>
    <rPh sb="23" eb="24">
      <t>ノコ</t>
    </rPh>
    <rPh sb="37" eb="38">
      <t>オ</t>
    </rPh>
    <rPh sb="40" eb="42">
      <t>ウワガ</t>
    </rPh>
    <rPh sb="49" eb="51">
      <t>チュウイ</t>
    </rPh>
    <rPh sb="51" eb="52">
      <t>クダ</t>
    </rPh>
    <phoneticPr fontId="2"/>
  </si>
  <si>
    <t>３．問合せ先</t>
    <rPh sb="2" eb="4">
      <t>トイアワ</t>
    </rPh>
    <rPh sb="5" eb="6">
      <t>サキ</t>
    </rPh>
    <phoneticPr fontId="2"/>
  </si>
  <si>
    <t xml:space="preserve"> (ＰＭ統)ＰＭホットライン：pm-hotline@ml.hitachi-systems.com </t>
    <rPh sb="4" eb="5">
      <t>オサム</t>
    </rPh>
    <phoneticPr fontId="2"/>
  </si>
  <si>
    <t xml:space="preserve"> 下記 (ＰＭ統)ＰＭホットラインまでお問合せ下さい。</t>
    <rPh sb="1" eb="3">
      <t>カキ</t>
    </rPh>
    <rPh sb="20" eb="22">
      <t>トイアワ</t>
    </rPh>
    <rPh sb="23" eb="24">
      <t>クダ</t>
    </rPh>
    <phoneticPr fontId="2"/>
  </si>
  <si>
    <t>　　(計算式を個別に修正している場合は、個別にV2.1シートに反映願います。)</t>
    <rPh sb="3" eb="5">
      <t>ケイサン</t>
    </rPh>
    <rPh sb="5" eb="6">
      <t>シキ</t>
    </rPh>
    <rPh sb="7" eb="9">
      <t>コベツ</t>
    </rPh>
    <rPh sb="10" eb="12">
      <t>シュウセイ</t>
    </rPh>
    <rPh sb="16" eb="18">
      <t>バアイ</t>
    </rPh>
    <rPh sb="20" eb="22">
      <t>コベツ</t>
    </rPh>
    <rPh sb="31" eb="33">
      <t>ハンエイ</t>
    </rPh>
    <rPh sb="33" eb="34">
      <t>ネガ</t>
    </rPh>
    <phoneticPr fontId="2"/>
  </si>
  <si>
    <t>※転記先シートは、"単体プロセス管理票（ＵＴ）v2.1"固定です。</t>
    <rPh sb="1" eb="3">
      <t>テンキ</t>
    </rPh>
    <rPh sb="3" eb="4">
      <t>サキ</t>
    </rPh>
    <rPh sb="28" eb="30">
      <t>コテイ</t>
    </rPh>
    <phoneticPr fontId="2"/>
  </si>
  <si>
    <t>単体プロセス管理票(UT)シート V2.0⇒V2.1改訂について</t>
    <rPh sb="0" eb="2">
      <t>タンタイ</t>
    </rPh>
    <rPh sb="6" eb="8">
      <t>カンリ</t>
    </rPh>
    <rPh sb="8" eb="9">
      <t>ヒョウ</t>
    </rPh>
    <rPh sb="26" eb="28">
      <t>カイテイ</t>
    </rPh>
    <phoneticPr fontId="2"/>
  </si>
  <si>
    <r>
      <t xml:space="preserve">１．単体プロセス管理票(UT)シート V2.1改訂の主旨     </t>
    </r>
    <r>
      <rPr>
        <b/>
        <sz val="12"/>
        <rFont val="ＭＳ Ｐゴシック"/>
        <family val="3"/>
        <charset val="128"/>
      </rPr>
      <t>※対象はUTシートのみ(CTシートは改訂ありません)。</t>
    </r>
    <rPh sb="2" eb="4">
      <t>タンタイ</t>
    </rPh>
    <rPh sb="8" eb="10">
      <t>カンリ</t>
    </rPh>
    <rPh sb="10" eb="11">
      <t>ヒョウ</t>
    </rPh>
    <rPh sb="23" eb="25">
      <t>カイテイ</t>
    </rPh>
    <rPh sb="26" eb="28">
      <t>シュシ</t>
    </rPh>
    <rPh sb="34" eb="36">
      <t>タイショウ</t>
    </rPh>
    <rPh sb="51" eb="53">
      <t>カイテイ</t>
    </rPh>
    <phoneticPr fontId="2"/>
  </si>
  <si>
    <t>・以下の［転記処理実行］ボタンをクリックして、転記処理を実行してください。(数分時間がかかります。)</t>
    <rPh sb="1" eb="3">
      <t>イカ</t>
    </rPh>
    <rPh sb="5" eb="7">
      <t>テンキ</t>
    </rPh>
    <rPh sb="7" eb="9">
      <t>ショリ</t>
    </rPh>
    <rPh sb="9" eb="11">
      <t>ジッコウ</t>
    </rPh>
    <rPh sb="23" eb="25">
      <t>テンキ</t>
    </rPh>
    <rPh sb="25" eb="27">
      <t>ショリ</t>
    </rPh>
    <rPh sb="28" eb="30">
      <t>ジッコウ</t>
    </rPh>
    <rPh sb="38" eb="40">
      <t>スウフン</t>
    </rPh>
    <rPh sb="40" eb="42">
      <t>ジカン</t>
    </rPh>
    <phoneticPr fontId="2"/>
  </si>
  <si>
    <t>Ｐ(コーディング)</t>
    <phoneticPr fontId="2"/>
  </si>
  <si>
    <t>P（単体テスト）</t>
    <phoneticPr fontId="2"/>
  </si>
  <si>
    <t>単体プロセス管理票（AD～P）</t>
    <phoneticPr fontId="2"/>
  </si>
  <si>
    <t>ｺｰﾃﾞｨﾝｸﾞ～単体ﾃｽﾄ(PCL消化率)</t>
    <phoneticPr fontId="2"/>
  </si>
  <si>
    <t>ｺｰﾃﾞｨﾝｸﾞ後⑥</t>
    <rPh sb="8" eb="9">
      <t>ゴ</t>
    </rPh>
    <phoneticPr fontId="2"/>
  </si>
  <si>
    <t>単体ﾃｽﾄ後⑦</t>
    <rPh sb="5" eb="6">
      <t>ゴ</t>
    </rPh>
    <phoneticPr fontId="2"/>
  </si>
  <si>
    <t>単体テスト後(Step数)</t>
    <phoneticPr fontId="2"/>
  </si>
  <si>
    <t>V2.2</t>
    <phoneticPr fontId="2"/>
  </si>
  <si>
    <t>HSS726-10改定に伴い、下記変更を実施。
・「UT」を「P」または「単体ﾃｽﾄ」に変更
・「PC」を「P」または「ｺｰﾃﾞｨﾝｸﾞ」に変更</t>
    <phoneticPr fontId="2"/>
  </si>
  <si>
    <t>－</t>
    <phoneticPr fontId="2"/>
  </si>
  <si>
    <t>19/8/20
瀬谷</t>
    <phoneticPr fontId="2"/>
  </si>
  <si>
    <t>19/8/20
平本</t>
    <phoneticPr fontId="2"/>
  </si>
  <si>
    <t>VB.NET</t>
    <phoneticPr fontId="2"/>
  </si>
  <si>
    <t>バックドア</t>
    <phoneticPr fontId="28"/>
  </si>
  <si>
    <t>実績参照メニュー</t>
  </si>
  <si>
    <t>工程進捗管理</t>
  </si>
  <si>
    <t>工程進捗管理明細</t>
  </si>
  <si>
    <t>当日実績参照</t>
  </si>
  <si>
    <t>前日以前詳細実績参照</t>
  </si>
  <si>
    <t>成形実績参照</t>
  </si>
  <si>
    <t>成形実績参照詳細</t>
  </si>
  <si>
    <t>成形金型別不良分析</t>
  </si>
  <si>
    <t>その他出庫</t>
  </si>
  <si>
    <t>その他出庫参照・取消</t>
  </si>
  <si>
    <t>工程別集計</t>
  </si>
  <si>
    <t>品名別集計</t>
  </si>
  <si>
    <t>工程品種別集計</t>
  </si>
  <si>
    <t>社員マスタ</t>
  </si>
  <si>
    <t>進捗管理PC版</t>
    <phoneticPr fontId="2"/>
  </si>
  <si>
    <t>その他払出</t>
    <phoneticPr fontId="2"/>
  </si>
  <si>
    <t>権限マスタ</t>
    <phoneticPr fontId="2"/>
  </si>
  <si>
    <t>在庫参照</t>
    <phoneticPr fontId="2"/>
  </si>
  <si>
    <t>実績参照</t>
    <phoneticPr fontId="2"/>
  </si>
  <si>
    <t>Master</t>
    <phoneticPr fontId="2"/>
  </si>
  <si>
    <t>在庫照会と進捗管理メニュー</t>
    <phoneticPr fontId="2"/>
  </si>
  <si>
    <t>Inventory</t>
    <phoneticPr fontId="2"/>
  </si>
  <si>
    <t>Process</t>
    <phoneticPr fontId="2"/>
  </si>
  <si>
    <t>組立進度管理画面</t>
    <phoneticPr fontId="2"/>
  </si>
  <si>
    <t>期間別実績照会画面</t>
    <phoneticPr fontId="2"/>
  </si>
  <si>
    <t>期間別実績照会画面（不具合集計）</t>
    <phoneticPr fontId="2"/>
  </si>
  <si>
    <t>実績管理画面</t>
    <phoneticPr fontId="2"/>
  </si>
  <si>
    <t>製造管理マスタメンテ</t>
  </si>
  <si>
    <t>マスタ管理</t>
    <rPh sb="3" eb="5">
      <t>カンリ</t>
    </rPh>
    <phoneticPr fontId="2"/>
  </si>
  <si>
    <t>M-01</t>
    <phoneticPr fontId="2"/>
  </si>
  <si>
    <t>K-00A</t>
  </si>
  <si>
    <t>K-00B</t>
  </si>
  <si>
    <t>K-12</t>
  </si>
  <si>
    <t>K-12A</t>
  </si>
  <si>
    <t>K-13</t>
  </si>
  <si>
    <t>K-13A</t>
  </si>
  <si>
    <t>K-14A</t>
  </si>
  <si>
    <t>K-16</t>
  </si>
  <si>
    <t>K-16A</t>
  </si>
  <si>
    <t>K-17</t>
  </si>
  <si>
    <t>K-20</t>
  </si>
  <si>
    <t>K-21</t>
  </si>
  <si>
    <t>K-21A</t>
  </si>
  <si>
    <t>K-21B</t>
  </si>
  <si>
    <t>K-21C</t>
  </si>
  <si>
    <t>M-16</t>
  </si>
  <si>
    <t>M-17</t>
  </si>
  <si>
    <t>Z-01</t>
  </si>
  <si>
    <t>K-18</t>
  </si>
  <si>
    <t>K-15</t>
  </si>
  <si>
    <t>K-15A</t>
  </si>
  <si>
    <t>K-19</t>
  </si>
  <si>
    <t>生産製品マスタ</t>
    <phoneticPr fontId="2"/>
  </si>
  <si>
    <t>生産品名マスタ</t>
    <phoneticPr fontId="2"/>
  </si>
  <si>
    <t>工程マスタ</t>
    <phoneticPr fontId="2"/>
  </si>
  <si>
    <t>通過工程マスタ</t>
    <phoneticPr fontId="2"/>
  </si>
  <si>
    <t>標準工程通過マスタ</t>
    <phoneticPr fontId="2"/>
  </si>
  <si>
    <t>部品構成マスタ</t>
    <phoneticPr fontId="2"/>
  </si>
  <si>
    <t>B</t>
    <phoneticPr fontId="2"/>
  </si>
  <si>
    <t>C</t>
    <phoneticPr fontId="2"/>
  </si>
  <si>
    <t>D</t>
    <phoneticPr fontId="2"/>
  </si>
  <si>
    <t>A</t>
    <phoneticPr fontId="2"/>
  </si>
  <si>
    <t>担当</t>
    <rPh sb="0" eb="2">
      <t>タントウ</t>
    </rPh>
    <phoneticPr fontId="2"/>
  </si>
  <si>
    <t>詹</t>
    <phoneticPr fontId="2"/>
  </si>
  <si>
    <t>王</t>
    <rPh sb="0" eb="1">
      <t>オウ</t>
    </rPh>
    <phoneticPr fontId="2"/>
  </si>
  <si>
    <t>担当</t>
    <phoneticPr fontId="2"/>
  </si>
  <si>
    <t>高</t>
    <rPh sb="0" eb="1">
      <t>コウ</t>
    </rPh>
    <phoneticPr fontId="2"/>
  </si>
  <si>
    <t>当日詳細実績参照</t>
    <phoneticPr fontId="2"/>
  </si>
  <si>
    <t>K-14</t>
    <phoneticPr fontId="2"/>
  </si>
  <si>
    <t>前日以前実績参照</t>
    <phoneticPr fontId="2"/>
  </si>
  <si>
    <t>Z-01A</t>
    <phoneticPr fontId="2"/>
  </si>
  <si>
    <t>入出庫来歴照会</t>
    <phoneticPr fontId="2"/>
  </si>
  <si>
    <t>在庫照会</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</si>
</sst>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yyyy/m/d;@"/>
    <numFmt numFmtId="177" formatCode="m/d;@"/>
    <numFmt numFmtId="178" formatCode="#,##0_ "/>
    <numFmt numFmtId="179" formatCode="#,##0&quot;件/ks&quot;"/>
    <numFmt numFmtId="180" formatCode="0%&quot;以下&quot;"/>
    <numFmt numFmtId="181" formatCode="0%&quot;以上&quot;"/>
    <numFmt numFmtId="182" formatCode="#,##0_);[Red]\(#,##0\)"/>
    <numFmt numFmtId="183" formatCode="0_ "/>
    <numFmt numFmtId="184" formatCode="0&quot;件/ks&quot;"/>
    <numFmt numFmtId="185" formatCode="0.0_ "/>
    <numFmt numFmtId="186" formatCode="#,##0.0&quot;件/ks&quot;"/>
    <numFmt numFmtId="187" formatCode="#,##0_ ;[Red]\-#,##0\ "/>
    <numFmt numFmtId="188" formatCode="yyyy/mm/dd"/>
  </numFmts>
  <fonts count="50" x14ac:knownFonts="1">
    <font>
      <sz val="11"/>
      <name val="ＭＳ Ｐゴシック"/>
      <family val="3"/>
      <charset val="128"/>
    </font>
    <font>
      <sz val="11"/>
      <name val="ＭＳ Ｐゴシック"/>
      <family val="3"/>
      <charset val="128"/>
    </font>
    <font>
      <sz val="6"/>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9"/>
      <color indexed="12"/>
      <name val="ＭＳ Ｐゴシック"/>
      <family val="3"/>
      <charset val="128"/>
    </font>
    <font>
      <sz val="9"/>
      <name val="ＭＳ Ｐゴシック"/>
      <family val="3"/>
      <charset val="128"/>
    </font>
    <font>
      <u/>
      <sz val="11"/>
      <color indexed="12"/>
      <name val="ＭＳ Ｐゴシック"/>
      <family val="3"/>
      <charset val="128"/>
    </font>
    <font>
      <sz val="9"/>
      <color indexed="81"/>
      <name val="ＭＳ Ｐゴシック"/>
      <family val="3"/>
      <charset val="128"/>
    </font>
    <font>
      <b/>
      <sz val="9"/>
      <color indexed="81"/>
      <name val="ＭＳ Ｐゴシック"/>
      <family val="3"/>
      <charset val="128"/>
    </font>
    <font>
      <b/>
      <sz val="11"/>
      <name val="ＭＳ Ｐゴシック"/>
      <family val="3"/>
      <charset val="128"/>
    </font>
    <font>
      <b/>
      <u/>
      <sz val="16"/>
      <name val="ＭＳ Ｐゴシック"/>
      <family val="3"/>
      <charset val="128"/>
    </font>
    <font>
      <b/>
      <sz val="12"/>
      <name val="ＭＳ Ｐゴシック"/>
      <family val="3"/>
      <charset val="128"/>
    </font>
    <font>
      <sz val="10"/>
      <name val="ＭＳ Ｐゴシック"/>
      <family val="3"/>
      <charset val="128"/>
    </font>
    <font>
      <b/>
      <sz val="18"/>
      <name val="ＭＳ Ｐゴシック"/>
      <family val="3"/>
      <charset val="128"/>
    </font>
    <font>
      <sz val="9"/>
      <color indexed="10"/>
      <name val="ＭＳ Ｐゴシック"/>
      <family val="3"/>
      <charset val="128"/>
    </font>
    <font>
      <sz val="8.5"/>
      <color indexed="10"/>
      <name val="ＭＳ Ｐゴシック"/>
      <family val="3"/>
      <charset val="128"/>
    </font>
    <font>
      <sz val="8.5"/>
      <name val="ＭＳ Ｐゴシック"/>
      <family val="3"/>
      <charset val="128"/>
    </font>
    <font>
      <sz val="11"/>
      <color indexed="8"/>
      <name val="Calibri"/>
      <family val="2"/>
    </font>
    <font>
      <b/>
      <sz val="14"/>
      <name val="ＭＳ Ｐゴシック"/>
      <family val="3"/>
      <charset val="128"/>
    </font>
    <font>
      <b/>
      <sz val="11"/>
      <color indexed="50"/>
      <name val="Calibri"/>
      <family val="2"/>
    </font>
    <font>
      <b/>
      <sz val="11"/>
      <color indexed="50"/>
      <name val="ＭＳ Ｐゴシック"/>
      <family val="3"/>
      <charset val="128"/>
    </font>
    <font>
      <b/>
      <sz val="11"/>
      <color indexed="40"/>
      <name val="ＭＳ Ｐゴシック"/>
      <family val="3"/>
      <charset val="128"/>
    </font>
    <font>
      <b/>
      <sz val="11"/>
      <color indexed="8"/>
      <name val="Calibri"/>
      <family val="2"/>
    </font>
    <font>
      <sz val="12"/>
      <name val="ＭＳ Ｐゴシック"/>
      <family val="3"/>
      <charset val="128"/>
    </font>
    <font>
      <b/>
      <sz val="11"/>
      <color indexed="40"/>
      <name val="Calibri"/>
      <family val="2"/>
    </font>
    <font>
      <b/>
      <sz val="11"/>
      <color indexed="14"/>
      <name val="ＭＳ Ｐゴシック"/>
      <family val="3"/>
      <charset val="128"/>
    </font>
    <font>
      <sz val="11"/>
      <name val="ＭＳ 明朝"/>
      <family val="1"/>
      <charset val="128"/>
    </font>
    <font>
      <sz val="11"/>
      <color theme="1"/>
      <name val="ＭＳ Ｐゴシック"/>
      <family val="3"/>
      <charset val="128"/>
    </font>
    <font>
      <sz val="11"/>
      <color theme="0"/>
      <name val="ＭＳ Ｐゴシック"/>
      <family val="3"/>
      <charset val="128"/>
    </font>
    <font>
      <b/>
      <sz val="12"/>
      <color rgb="FFFF0000"/>
      <name val="ＭＳ Ｐゴシック"/>
      <family val="3"/>
      <charset val="128"/>
    </font>
    <font>
      <sz val="11"/>
      <color rgb="FFFF0000"/>
      <name val="ＭＳ Ｐゴシック"/>
      <family val="3"/>
      <charset val="128"/>
    </font>
    <font>
      <sz val="11"/>
      <color rgb="FF000000"/>
      <name val="Calibri"/>
      <family val="2"/>
    </font>
    <font>
      <b/>
      <sz val="11"/>
      <color rgb="FF000000"/>
      <name val="Calibri"/>
      <family val="2"/>
    </font>
    <font>
      <sz val="11"/>
      <color rgb="FF000000"/>
      <name val="ＭＳ Ｐゴシック"/>
      <family val="3"/>
      <charset val="128"/>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theme="0" tint="-0.14999847407452621"/>
        <bgColor indexed="64"/>
      </patternFill>
    </fill>
    <fill>
      <patternFill patternType="solid">
        <fgColor theme="3"/>
        <bgColor indexed="64"/>
      </patternFill>
    </fill>
    <fill>
      <patternFill patternType="solid">
        <fgColor rgb="FFD9D9D9"/>
        <bgColor indexed="64"/>
      </patternFill>
    </fill>
    <fill>
      <patternFill patternType="solid">
        <fgColor rgb="FFFFFF99"/>
        <bgColor indexed="64"/>
      </patternFill>
    </fill>
    <fill>
      <patternFill patternType="solid">
        <fgColor theme="3" tint="0.79998168889431442"/>
        <bgColor indexed="64"/>
      </patternFill>
    </fill>
    <fill>
      <patternFill patternType="solid">
        <fgColor rgb="FF00B0F0"/>
        <bgColor indexed="64"/>
      </patternFill>
    </fill>
    <fill>
      <patternFill patternType="solid">
        <fgColor rgb="FF92D050"/>
        <bgColor indexed="64"/>
      </patternFill>
    </fill>
    <fill>
      <patternFill patternType="solid">
        <fgColor rgb="FFFF00FF"/>
        <bgColor indexed="64"/>
      </patternFill>
    </fill>
    <fill>
      <patternFill patternType="solid">
        <fgColor rgb="FFFFFF00"/>
        <bgColor indexed="64"/>
      </patternFill>
    </fill>
    <fill>
      <patternFill patternType="solid">
        <fgColor rgb="FFCCFFCC"/>
        <bgColor indexed="64"/>
      </patternFill>
    </fill>
    <fill>
      <patternFill patternType="solid">
        <fgColor rgb="FFFFCC99"/>
        <bgColor indexed="64"/>
      </patternFill>
    </fill>
  </fills>
  <borders count="103">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dotted">
        <color indexed="64"/>
      </left>
      <right style="dotted">
        <color indexed="64"/>
      </right>
      <top/>
      <bottom style="thin">
        <color indexed="64"/>
      </bottom>
      <diagonal/>
    </border>
    <border>
      <left style="dotted">
        <color indexed="64"/>
      </left>
      <right style="dotted">
        <color indexed="64"/>
      </right>
      <top style="thin">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style="thin">
        <color indexed="64"/>
      </top>
      <bottom style="thin">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rgb="FFFF0000"/>
      </left>
      <right style="medium">
        <color rgb="FFFF0000"/>
      </right>
      <top style="medium">
        <color rgb="FFFF0000"/>
      </top>
      <bottom style="medium">
        <color rgb="FFFF0000"/>
      </bottom>
      <diagonal/>
    </border>
  </borders>
  <cellStyleXfs count="48">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4" fillId="18"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9" borderId="0" applyNumberFormat="0" applyBorder="0" applyAlignment="0" applyProtection="0">
      <alignment vertical="center"/>
    </xf>
    <xf numFmtId="0" fontId="5" fillId="0" borderId="0" applyNumberFormat="0" applyFill="0" applyBorder="0" applyAlignment="0" applyProtection="0">
      <alignment vertical="center"/>
    </xf>
    <xf numFmtId="0" fontId="6" fillId="20" borderId="1" applyNumberFormat="0" applyAlignment="0" applyProtection="0">
      <alignment vertical="center"/>
    </xf>
    <xf numFmtId="0" fontId="7" fillId="21" borderId="0" applyNumberFormat="0" applyBorder="0" applyAlignment="0" applyProtection="0">
      <alignment vertical="center"/>
    </xf>
    <xf numFmtId="9" fontId="1" fillId="0" borderId="0" applyFont="0" applyFill="0" applyBorder="0" applyAlignment="0" applyProtection="0">
      <alignment vertical="center"/>
    </xf>
    <xf numFmtId="0" fontId="3" fillId="22" borderId="2" applyNumberFormat="0" applyFont="0" applyAlignment="0" applyProtection="0">
      <alignment vertical="center"/>
    </xf>
    <xf numFmtId="0" fontId="8" fillId="0" borderId="3" applyNumberFormat="0" applyFill="0" applyAlignment="0" applyProtection="0">
      <alignment vertical="center"/>
    </xf>
    <xf numFmtId="0" fontId="9" fillId="3" borderId="0" applyNumberFormat="0" applyBorder="0" applyAlignment="0" applyProtection="0">
      <alignment vertical="center"/>
    </xf>
    <xf numFmtId="0" fontId="10" fillId="23" borderId="4" applyNumberFormat="0" applyAlignment="0" applyProtection="0">
      <alignment vertical="center"/>
    </xf>
    <xf numFmtId="0" fontId="11" fillId="0" borderId="0" applyNumberFormat="0" applyFill="0" applyBorder="0" applyAlignment="0" applyProtection="0">
      <alignment vertical="center"/>
    </xf>
    <xf numFmtId="38" fontId="1" fillId="0" borderId="0" applyFont="0" applyFill="0" applyBorder="0" applyAlignment="0" applyProtection="0">
      <alignment vertical="center"/>
    </xf>
    <xf numFmtId="38" fontId="1" fillId="0" borderId="0" applyFont="0" applyFill="0" applyBorder="0" applyAlignment="0" applyProtection="0">
      <alignment vertical="center"/>
    </xf>
    <xf numFmtId="0" fontId="12" fillId="0" borderId="5" applyNumberFormat="0" applyFill="0" applyAlignment="0" applyProtection="0">
      <alignment vertical="center"/>
    </xf>
    <xf numFmtId="0" fontId="13" fillId="0" borderId="6" applyNumberFormat="0" applyFill="0" applyAlignment="0" applyProtection="0">
      <alignment vertical="center"/>
    </xf>
    <xf numFmtId="0" fontId="14" fillId="0" borderId="7" applyNumberFormat="0" applyFill="0" applyAlignment="0" applyProtection="0">
      <alignment vertical="center"/>
    </xf>
    <xf numFmtId="0" fontId="14" fillId="0" borderId="0" applyNumberFormat="0" applyFill="0" applyBorder="0" applyAlignment="0" applyProtection="0">
      <alignment vertical="center"/>
    </xf>
    <xf numFmtId="0" fontId="15" fillId="0" borderId="8" applyNumberFormat="0" applyFill="0" applyAlignment="0" applyProtection="0">
      <alignment vertical="center"/>
    </xf>
    <xf numFmtId="0" fontId="16" fillId="23" borderId="9" applyNumberFormat="0" applyAlignment="0" applyProtection="0">
      <alignment vertical="center"/>
    </xf>
    <xf numFmtId="0" fontId="17" fillId="0" borderId="0" applyNumberFormat="0" applyFill="0" applyBorder="0" applyAlignment="0" applyProtection="0">
      <alignment vertical="center"/>
    </xf>
    <xf numFmtId="0" fontId="18" fillId="7" borderId="4" applyNumberFormat="0" applyAlignment="0" applyProtection="0">
      <alignment vertical="center"/>
    </xf>
    <xf numFmtId="0" fontId="1" fillId="0" borderId="0">
      <alignment vertical="center"/>
    </xf>
    <xf numFmtId="0" fontId="1" fillId="0" borderId="0"/>
    <xf numFmtId="0" fontId="1" fillId="0" borderId="0"/>
    <xf numFmtId="0" fontId="19" fillId="4" borderId="0" applyNumberFormat="0" applyBorder="0" applyAlignment="0" applyProtection="0">
      <alignment vertical="center"/>
    </xf>
  </cellStyleXfs>
  <cellXfs count="523">
    <xf numFmtId="0" fontId="0" fillId="0" borderId="0" xfId="0">
      <alignment vertical="center"/>
    </xf>
    <xf numFmtId="0" fontId="1" fillId="0" borderId="0" xfId="0" applyFont="1">
      <alignment vertical="center"/>
    </xf>
    <xf numFmtId="0" fontId="1" fillId="0" borderId="0" xfId="46" applyFont="1"/>
    <xf numFmtId="0" fontId="1" fillId="0" borderId="0" xfId="46" applyNumberFormat="1" applyFont="1" applyFill="1" applyBorder="1" applyAlignment="1">
      <alignment vertical="top" wrapText="1"/>
    </xf>
    <xf numFmtId="9" fontId="1" fillId="0" borderId="0" xfId="46" applyNumberFormat="1" applyFont="1" applyFill="1" applyBorder="1" applyAlignment="1">
      <alignment vertical="top" wrapText="1"/>
    </xf>
    <xf numFmtId="183" fontId="1" fillId="0" borderId="0" xfId="46" applyNumberFormat="1" applyFont="1" applyFill="1" applyBorder="1" applyAlignment="1">
      <alignment vertical="top" wrapText="1"/>
    </xf>
    <xf numFmtId="184" fontId="1" fillId="0" borderId="0" xfId="46" applyNumberFormat="1" applyFont="1" applyFill="1" applyBorder="1" applyAlignment="1">
      <alignment vertical="top" wrapText="1"/>
    </xf>
    <xf numFmtId="0" fontId="1" fillId="0" borderId="0" xfId="46" applyNumberFormat="1" applyFont="1" applyFill="1" applyBorder="1" applyAlignment="1">
      <alignment vertical="top"/>
    </xf>
    <xf numFmtId="0" fontId="1" fillId="0" borderId="0" xfId="46" applyFont="1" applyBorder="1" applyAlignment="1">
      <alignment horizontal="center" vertical="center"/>
    </xf>
    <xf numFmtId="9" fontId="1" fillId="0" borderId="10" xfId="46" applyNumberFormat="1" applyFont="1" applyFill="1" applyBorder="1" applyAlignment="1">
      <alignment vertical="top" wrapText="1"/>
    </xf>
    <xf numFmtId="0" fontId="1" fillId="0" borderId="0" xfId="46" applyFont="1" applyAlignment="1">
      <alignment horizontal="center" vertical="center"/>
    </xf>
    <xf numFmtId="0" fontId="3" fillId="0" borderId="0" xfId="46" applyFont="1" applyBorder="1" applyAlignment="1">
      <alignment horizontal="center" vertical="center"/>
    </xf>
    <xf numFmtId="179" fontId="1" fillId="0" borderId="0" xfId="46" applyNumberFormat="1" applyFont="1" applyFill="1" applyBorder="1" applyAlignment="1" applyProtection="1">
      <alignment horizontal="center"/>
      <protection locked="0"/>
    </xf>
    <xf numFmtId="180" fontId="1" fillId="0" borderId="0" xfId="46" applyNumberFormat="1" applyFont="1" applyBorder="1" applyAlignment="1">
      <alignment horizontal="center"/>
    </xf>
    <xf numFmtId="181" fontId="1" fillId="0" borderId="0" xfId="46" applyNumberFormat="1" applyFont="1" applyBorder="1" applyAlignment="1">
      <alignment horizontal="center"/>
    </xf>
    <xf numFmtId="181" fontId="1" fillId="0" borderId="0" xfId="46" applyNumberFormat="1" applyFont="1" applyFill="1" applyBorder="1" applyAlignment="1">
      <alignment horizontal="center"/>
    </xf>
    <xf numFmtId="0" fontId="1" fillId="0" borderId="0" xfId="46" applyFont="1" applyBorder="1" applyAlignment="1">
      <alignment horizontal="center"/>
    </xf>
    <xf numFmtId="9" fontId="1" fillId="0" borderId="0" xfId="46" applyNumberFormat="1" applyFont="1" applyFill="1" applyBorder="1" applyAlignment="1" applyProtection="1">
      <alignment horizontal="right"/>
      <protection locked="0"/>
    </xf>
    <xf numFmtId="56" fontId="1" fillId="0" borderId="0" xfId="46" applyNumberFormat="1" applyFont="1" applyBorder="1" applyAlignment="1">
      <alignment horizontal="center"/>
    </xf>
    <xf numFmtId="0" fontId="1" fillId="25" borderId="11" xfId="46" applyFont="1" applyFill="1" applyBorder="1" applyAlignment="1">
      <alignment horizontal="center" vertical="center" wrapText="1"/>
    </xf>
    <xf numFmtId="0" fontId="1" fillId="25" borderId="12" xfId="46" applyFont="1" applyFill="1" applyBorder="1" applyAlignment="1">
      <alignment horizontal="center" vertical="center" wrapText="1"/>
    </xf>
    <xf numFmtId="0" fontId="1" fillId="25" borderId="12" xfId="46" applyFont="1" applyFill="1" applyBorder="1" applyAlignment="1">
      <alignment horizontal="center" vertical="center"/>
    </xf>
    <xf numFmtId="0" fontId="1" fillId="25" borderId="13" xfId="46" applyFont="1" applyFill="1" applyBorder="1" applyAlignment="1">
      <alignment horizontal="center" vertical="center"/>
    </xf>
    <xf numFmtId="0" fontId="1" fillId="25" borderId="14" xfId="46" applyFont="1" applyFill="1" applyBorder="1" applyAlignment="1">
      <alignment horizontal="center" vertical="center" wrapText="1"/>
    </xf>
    <xf numFmtId="0" fontId="1" fillId="0" borderId="10" xfId="46" applyFont="1" applyFill="1" applyBorder="1" applyAlignment="1">
      <alignment horizontal="left" vertical="center"/>
    </xf>
    <xf numFmtId="0" fontId="1" fillId="0" borderId="10" xfId="46" applyFont="1" applyFill="1" applyBorder="1" applyAlignment="1" applyProtection="1">
      <alignment horizontal="center" vertical="center"/>
      <protection locked="0"/>
    </xf>
    <xf numFmtId="0" fontId="1" fillId="0" borderId="15" xfId="46" applyFont="1" applyFill="1" applyBorder="1" applyAlignment="1" applyProtection="1">
      <alignment horizontal="center" vertical="center"/>
      <protection locked="0"/>
    </xf>
    <xf numFmtId="0" fontId="1" fillId="0" borderId="16" xfId="46" applyFont="1" applyFill="1" applyBorder="1" applyAlignment="1" applyProtection="1">
      <alignment horizontal="center" vertical="center"/>
      <protection locked="0"/>
    </xf>
    <xf numFmtId="9" fontId="1" fillId="0" borderId="10" xfId="46" applyNumberFormat="1" applyFont="1" applyFill="1" applyBorder="1" applyAlignment="1">
      <alignment horizontal="center" vertical="center"/>
    </xf>
    <xf numFmtId="0" fontId="1" fillId="0" borderId="10" xfId="46" applyFont="1" applyFill="1" applyBorder="1" applyAlignment="1">
      <alignment horizontal="left" vertical="center" wrapText="1"/>
    </xf>
    <xf numFmtId="9" fontId="1" fillId="0" borderId="17" xfId="46" applyNumberFormat="1" applyFont="1" applyFill="1" applyBorder="1" applyAlignment="1">
      <alignment horizontal="center" vertical="center"/>
    </xf>
    <xf numFmtId="9" fontId="1" fillId="0" borderId="18" xfId="46" applyNumberFormat="1" applyFont="1" applyFill="1" applyBorder="1" applyAlignment="1">
      <alignment horizontal="center" vertical="center"/>
    </xf>
    <xf numFmtId="0" fontId="1" fillId="0" borderId="19" xfId="46" applyFont="1" applyFill="1" applyBorder="1" applyAlignment="1" applyProtection="1">
      <alignment horizontal="center" vertical="center"/>
      <protection locked="0"/>
    </xf>
    <xf numFmtId="185" fontId="43" fillId="0" borderId="10" xfId="44" applyNumberFormat="1" applyFont="1" applyFill="1" applyBorder="1" applyAlignment="1" applyProtection="1">
      <alignment shrinkToFit="1"/>
    </xf>
    <xf numFmtId="9" fontId="1" fillId="0" borderId="10" xfId="44" applyNumberFormat="1" applyFont="1" applyFill="1" applyBorder="1" applyAlignment="1" applyProtection="1">
      <alignment shrinkToFit="1"/>
    </xf>
    <xf numFmtId="0" fontId="0" fillId="0" borderId="16" xfId="46" applyFont="1" applyFill="1" applyBorder="1" applyAlignment="1" applyProtection="1">
      <alignment horizontal="center" vertical="center"/>
      <protection locked="0"/>
    </xf>
    <xf numFmtId="177" fontId="1" fillId="0" borderId="21" xfId="46" applyNumberFormat="1" applyFont="1" applyFill="1" applyBorder="1" applyAlignment="1" applyProtection="1">
      <alignment horizontal="center" vertical="center"/>
      <protection locked="0"/>
    </xf>
    <xf numFmtId="177" fontId="1" fillId="0" borderId="15" xfId="46" applyNumberFormat="1" applyFont="1" applyFill="1" applyBorder="1" applyAlignment="1" applyProtection="1">
      <alignment horizontal="center" vertical="center"/>
      <protection locked="0"/>
    </xf>
    <xf numFmtId="177" fontId="1" fillId="0" borderId="22" xfId="46" applyNumberFormat="1" applyFont="1" applyFill="1" applyBorder="1" applyAlignment="1" applyProtection="1">
      <alignment horizontal="center" vertical="center"/>
      <protection locked="0"/>
    </xf>
    <xf numFmtId="177" fontId="1" fillId="0" borderId="23" xfId="46" applyNumberFormat="1" applyFont="1" applyFill="1" applyBorder="1" applyAlignment="1" applyProtection="1">
      <alignment horizontal="center" vertical="center"/>
      <protection locked="0"/>
    </xf>
    <xf numFmtId="177" fontId="1" fillId="0" borderId="24" xfId="46" applyNumberFormat="1" applyFont="1" applyFill="1" applyBorder="1" applyAlignment="1" applyProtection="1">
      <alignment horizontal="center" vertical="center"/>
      <protection locked="0"/>
    </xf>
    <xf numFmtId="177" fontId="1" fillId="0" borderId="25" xfId="46" applyNumberFormat="1" applyFont="1" applyFill="1" applyBorder="1" applyAlignment="1" applyProtection="1">
      <alignment horizontal="center" vertical="center"/>
      <protection locked="0"/>
    </xf>
    <xf numFmtId="177" fontId="0" fillId="0" borderId="24" xfId="46" applyNumberFormat="1" applyFont="1" applyFill="1" applyBorder="1" applyAlignment="1" applyProtection="1">
      <alignment horizontal="center" vertical="center"/>
      <protection locked="0"/>
    </xf>
    <xf numFmtId="0" fontId="0" fillId="25" borderId="10" xfId="0" applyFill="1" applyBorder="1" applyAlignment="1">
      <alignment horizontal="center" vertical="center"/>
    </xf>
    <xf numFmtId="0" fontId="27" fillId="0" borderId="0" xfId="0" applyFont="1">
      <alignment vertical="center"/>
    </xf>
    <xf numFmtId="0" fontId="28" fillId="0" borderId="10" xfId="0" applyFont="1" applyBorder="1" applyAlignment="1">
      <alignment horizontal="center" vertical="center" wrapText="1"/>
    </xf>
    <xf numFmtId="176" fontId="1" fillId="0" borderId="10" xfId="44" applyNumberFormat="1" applyFont="1" applyBorder="1" applyAlignment="1" applyProtection="1">
      <alignment horizontal="center" vertical="center"/>
    </xf>
    <xf numFmtId="177" fontId="0" fillId="0" borderId="15" xfId="46" applyNumberFormat="1" applyFont="1" applyFill="1" applyBorder="1" applyAlignment="1" applyProtection="1">
      <alignment horizontal="center" vertical="center"/>
      <protection locked="0"/>
    </xf>
    <xf numFmtId="177" fontId="1" fillId="0" borderId="10" xfId="46" applyNumberFormat="1" applyFont="1" applyFill="1" applyBorder="1" applyAlignment="1" applyProtection="1">
      <alignment horizontal="center" vertical="center"/>
      <protection locked="0"/>
    </xf>
    <xf numFmtId="0" fontId="0" fillId="0" borderId="10" xfId="46" applyFont="1" applyFill="1" applyBorder="1" applyAlignment="1">
      <alignment horizontal="left" vertical="center"/>
    </xf>
    <xf numFmtId="0" fontId="44" fillId="26" borderId="0" xfId="44" applyFont="1" applyFill="1" applyAlignment="1" applyProtection="1">
      <alignment vertical="center"/>
    </xf>
    <xf numFmtId="9" fontId="1" fillId="0" borderId="10" xfId="44" applyNumberFormat="1" applyFont="1" applyBorder="1" applyAlignment="1" applyProtection="1">
      <alignment horizontal="right" vertical="center"/>
    </xf>
    <xf numFmtId="0" fontId="25" fillId="0" borderId="0" xfId="46" applyNumberFormat="1" applyFont="1" applyFill="1" applyBorder="1" applyAlignment="1">
      <alignment vertical="top" wrapText="1"/>
    </xf>
    <xf numFmtId="0" fontId="21" fillId="0" borderId="0" xfId="0" applyFont="1">
      <alignment vertical="center"/>
    </xf>
    <xf numFmtId="0" fontId="0" fillId="25" borderId="10" xfId="0" applyFill="1" applyBorder="1" applyAlignment="1">
      <alignment horizontal="center" vertical="center"/>
    </xf>
    <xf numFmtId="0" fontId="1" fillId="25" borderId="27" xfId="46" applyFont="1" applyFill="1" applyBorder="1" applyAlignment="1">
      <alignment horizontal="center" vertical="center"/>
    </xf>
    <xf numFmtId="0" fontId="1" fillId="27" borderId="10" xfId="46" applyNumberFormat="1" applyFont="1" applyFill="1" applyBorder="1" applyAlignment="1">
      <alignment horizontal="center" vertical="top"/>
    </xf>
    <xf numFmtId="9" fontId="1" fillId="28" borderId="10" xfId="46" applyNumberFormat="1" applyFont="1" applyFill="1" applyBorder="1" applyAlignment="1">
      <alignment vertical="top"/>
    </xf>
    <xf numFmtId="9" fontId="1" fillId="28" borderId="10" xfId="46" applyNumberFormat="1" applyFont="1" applyFill="1" applyBorder="1" applyAlignment="1">
      <alignment horizontal="right" vertical="top"/>
    </xf>
    <xf numFmtId="9" fontId="1" fillId="28" borderId="18" xfId="46" applyNumberFormat="1" applyFont="1" applyFill="1" applyBorder="1" applyAlignment="1">
      <alignment vertical="center"/>
    </xf>
    <xf numFmtId="9" fontId="1" fillId="28" borderId="28" xfId="46" applyNumberFormat="1" applyFont="1" applyFill="1" applyBorder="1" applyAlignment="1">
      <alignment vertical="center"/>
    </xf>
    <xf numFmtId="178" fontId="1" fillId="28" borderId="10" xfId="46" applyNumberFormat="1" applyFont="1" applyFill="1" applyBorder="1" applyAlignment="1">
      <alignment horizontal="right" vertical="center"/>
    </xf>
    <xf numFmtId="178" fontId="1" fillId="28" borderId="17" xfId="46" applyNumberFormat="1" applyFont="1" applyFill="1" applyBorder="1" applyAlignment="1">
      <alignment horizontal="right" vertical="center"/>
    </xf>
    <xf numFmtId="9" fontId="1" fillId="28" borderId="10" xfId="46" applyNumberFormat="1" applyFont="1" applyFill="1" applyBorder="1" applyAlignment="1">
      <alignment vertical="center"/>
    </xf>
    <xf numFmtId="2" fontId="1" fillId="28" borderId="10" xfId="46" applyNumberFormat="1" applyFont="1" applyFill="1" applyBorder="1" applyAlignment="1">
      <alignment horizontal="center" vertical="center"/>
    </xf>
    <xf numFmtId="2" fontId="1" fillId="28" borderId="17" xfId="46" applyNumberFormat="1" applyFont="1" applyFill="1" applyBorder="1" applyAlignment="1">
      <alignment horizontal="center" vertical="center"/>
    </xf>
    <xf numFmtId="9" fontId="1" fillId="28" borderId="15" xfId="46" applyNumberFormat="1" applyFont="1" applyFill="1" applyBorder="1" applyAlignment="1">
      <alignment vertical="center"/>
    </xf>
    <xf numFmtId="2" fontId="1" fillId="28" borderId="18" xfId="46" applyNumberFormat="1" applyFont="1" applyFill="1" applyBorder="1" applyAlignment="1">
      <alignment horizontal="center" vertical="center"/>
    </xf>
    <xf numFmtId="9" fontId="1" fillId="28" borderId="17" xfId="46" applyNumberFormat="1" applyFont="1" applyFill="1" applyBorder="1" applyAlignment="1">
      <alignment vertical="center"/>
    </xf>
    <xf numFmtId="9" fontId="1" fillId="28" borderId="17" xfId="46" applyNumberFormat="1" applyFont="1" applyFill="1" applyBorder="1" applyAlignment="1">
      <alignment horizontal="right" vertical="center"/>
    </xf>
    <xf numFmtId="9" fontId="1" fillId="28" borderId="30" xfId="46" applyNumberFormat="1" applyFont="1" applyFill="1" applyBorder="1" applyAlignment="1" applyProtection="1">
      <alignment horizontal="center" vertical="center"/>
      <protection locked="0"/>
    </xf>
    <xf numFmtId="0" fontId="1" fillId="28" borderId="15" xfId="46" applyFont="1" applyFill="1" applyBorder="1" applyAlignment="1">
      <alignment horizontal="center" vertical="center"/>
    </xf>
    <xf numFmtId="0" fontId="1" fillId="28" borderId="23" xfId="46" applyFont="1" applyFill="1" applyBorder="1" applyAlignment="1">
      <alignment horizontal="center" vertical="center"/>
    </xf>
    <xf numFmtId="9" fontId="1" fillId="28" borderId="24" xfId="46" applyNumberFormat="1" applyFont="1" applyFill="1" applyBorder="1" applyAlignment="1" applyProtection="1">
      <alignment horizontal="center" vertical="center"/>
      <protection locked="0"/>
    </xf>
    <xf numFmtId="0" fontId="1" fillId="28" borderId="31" xfId="46" applyFont="1" applyFill="1" applyBorder="1" applyAlignment="1">
      <alignment horizontal="center" vertical="center"/>
    </xf>
    <xf numFmtId="9" fontId="1" fillId="28" borderId="32" xfId="46" applyNumberFormat="1" applyFont="1" applyFill="1" applyBorder="1" applyAlignment="1" applyProtection="1">
      <alignment horizontal="center" vertical="center"/>
      <protection locked="0"/>
    </xf>
    <xf numFmtId="0" fontId="1" fillId="27" borderId="24" xfId="44" applyFont="1" applyFill="1" applyBorder="1" applyAlignment="1" applyProtection="1"/>
    <xf numFmtId="9" fontId="1" fillId="28" borderId="29" xfId="46" applyNumberFormat="1" applyFont="1" applyFill="1" applyBorder="1" applyAlignment="1">
      <alignment horizontal="right" vertical="center"/>
    </xf>
    <xf numFmtId="178" fontId="1" fillId="28" borderId="29" xfId="46" applyNumberFormat="1" applyFont="1" applyFill="1" applyBorder="1" applyAlignment="1">
      <alignment horizontal="right" vertical="center"/>
    </xf>
    <xf numFmtId="182" fontId="1" fillId="28" borderId="29" xfId="46" applyNumberFormat="1" applyFont="1" applyFill="1" applyBorder="1" applyAlignment="1">
      <alignment horizontal="right" vertical="center"/>
    </xf>
    <xf numFmtId="177" fontId="1" fillId="0" borderId="17" xfId="46" applyNumberFormat="1" applyFont="1" applyFill="1" applyBorder="1" applyAlignment="1" applyProtection="1">
      <alignment horizontal="center" vertical="center"/>
      <protection locked="0"/>
    </xf>
    <xf numFmtId="0" fontId="1" fillId="25" borderId="29" xfId="46" applyFont="1" applyFill="1" applyBorder="1" applyAlignment="1">
      <alignment horizontal="center" vertical="center"/>
    </xf>
    <xf numFmtId="177" fontId="0" fillId="0" borderId="21" xfId="46" applyNumberFormat="1" applyFont="1" applyFill="1" applyBorder="1" applyAlignment="1" applyProtection="1">
      <alignment horizontal="center" vertical="center"/>
      <protection locked="0"/>
    </xf>
    <xf numFmtId="9" fontId="25" fillId="28" borderId="27" xfId="44" applyNumberFormat="1" applyFont="1" applyFill="1" applyBorder="1" applyAlignment="1" applyProtection="1">
      <alignment horizontal="center" vertical="center"/>
    </xf>
    <xf numFmtId="0" fontId="1" fillId="0" borderId="0" xfId="46" applyFont="1" applyAlignment="1">
      <alignment horizontal="center" vertical="center" wrapText="1"/>
    </xf>
    <xf numFmtId="0" fontId="1" fillId="0" borderId="0" xfId="46" applyFont="1" applyBorder="1" applyAlignment="1">
      <alignment horizontal="center" vertical="center" wrapText="1"/>
    </xf>
    <xf numFmtId="0" fontId="1" fillId="0" borderId="15" xfId="46" applyFont="1" applyFill="1" applyBorder="1" applyAlignment="1" applyProtection="1">
      <alignment horizontal="left" vertical="center" wrapText="1"/>
      <protection locked="0"/>
    </xf>
    <xf numFmtId="0" fontId="1" fillId="0" borderId="23" xfId="46" applyFont="1" applyFill="1" applyBorder="1" applyAlignment="1" applyProtection="1">
      <alignment horizontal="left" vertical="center" wrapText="1"/>
      <protection locked="0"/>
    </xf>
    <xf numFmtId="0" fontId="1" fillId="25" borderId="27" xfId="46" applyFont="1" applyFill="1" applyBorder="1" applyAlignment="1">
      <alignment horizontal="center" vertical="center" wrapText="1"/>
    </xf>
    <xf numFmtId="9" fontId="1" fillId="0" borderId="0" xfId="46" applyNumberFormat="1" applyFont="1" applyFill="1" applyBorder="1" applyAlignment="1" applyProtection="1">
      <alignment horizontal="right" wrapText="1"/>
      <protection locked="0"/>
    </xf>
    <xf numFmtId="0" fontId="1" fillId="0" borderId="0" xfId="0" applyFont="1" applyAlignment="1">
      <alignment vertical="center" wrapText="1"/>
    </xf>
    <xf numFmtId="0" fontId="0" fillId="0" borderId="0" xfId="46" applyNumberFormat="1" applyFont="1" applyFill="1" applyBorder="1" applyAlignment="1">
      <alignment vertical="top" wrapText="1"/>
    </xf>
    <xf numFmtId="0" fontId="0" fillId="0" borderId="18" xfId="44" applyFont="1" applyFill="1" applyBorder="1" applyAlignment="1" applyProtection="1">
      <alignment vertical="center" wrapText="1"/>
    </xf>
    <xf numFmtId="0" fontId="0" fillId="0" borderId="10" xfId="44" applyFont="1" applyFill="1" applyBorder="1" applyAlignment="1" applyProtection="1">
      <alignment vertical="center" wrapText="1"/>
    </xf>
    <xf numFmtId="0" fontId="0" fillId="0" borderId="18" xfId="46" applyFont="1" applyFill="1" applyBorder="1" applyAlignment="1" applyProtection="1">
      <alignment horizontal="center" vertical="center"/>
      <protection locked="0"/>
    </xf>
    <xf numFmtId="0" fontId="3" fillId="25" borderId="35" xfId="44" applyFont="1" applyFill="1" applyBorder="1" applyAlignment="1" applyProtection="1">
      <alignment horizontal="center" vertical="center" wrapText="1"/>
    </xf>
    <xf numFmtId="0" fontId="3" fillId="25" borderId="35" xfId="44" applyFont="1" applyFill="1" applyBorder="1" applyAlignment="1" applyProtection="1">
      <alignment horizontal="center" vertical="center"/>
    </xf>
    <xf numFmtId="0" fontId="0" fillId="0" borderId="18" xfId="46" applyFont="1" applyFill="1" applyBorder="1" applyAlignment="1">
      <alignment horizontal="left" vertical="center"/>
    </xf>
    <xf numFmtId="0" fontId="1" fillId="25" borderId="36" xfId="46" applyFont="1" applyFill="1" applyBorder="1" applyAlignment="1">
      <alignment horizontal="center" vertical="center"/>
    </xf>
    <xf numFmtId="0" fontId="1" fillId="25" borderId="37" xfId="46" applyFont="1" applyFill="1" applyBorder="1" applyAlignment="1">
      <alignment horizontal="center" vertical="center"/>
    </xf>
    <xf numFmtId="0" fontId="44" fillId="26" borderId="38" xfId="46" applyNumberFormat="1" applyFont="1" applyFill="1" applyBorder="1" applyAlignment="1">
      <alignment vertical="center"/>
    </xf>
    <xf numFmtId="0" fontId="1" fillId="0" borderId="15" xfId="46" applyFont="1" applyFill="1" applyBorder="1" applyAlignment="1" applyProtection="1">
      <alignment horizontal="right" vertical="center"/>
      <protection locked="0"/>
    </xf>
    <xf numFmtId="0" fontId="1" fillId="0" borderId="23" xfId="46" applyFont="1" applyFill="1" applyBorder="1" applyAlignment="1" applyProtection="1">
      <alignment horizontal="right" vertical="center"/>
      <protection locked="0"/>
    </xf>
    <xf numFmtId="0" fontId="0" fillId="0" borderId="15" xfId="46" applyFont="1" applyFill="1" applyBorder="1" applyAlignment="1" applyProtection="1">
      <alignment horizontal="left" vertical="center"/>
      <protection locked="0"/>
    </xf>
    <xf numFmtId="0" fontId="1" fillId="0" borderId="15" xfId="46" applyFont="1" applyFill="1" applyBorder="1" applyAlignment="1" applyProtection="1">
      <alignment horizontal="left" vertical="center"/>
      <protection locked="0"/>
    </xf>
    <xf numFmtId="0" fontId="1" fillId="0" borderId="23" xfId="46" applyFont="1" applyFill="1" applyBorder="1" applyAlignment="1" applyProtection="1">
      <alignment horizontal="left" vertical="center"/>
      <protection locked="0"/>
    </xf>
    <xf numFmtId="177" fontId="1" fillId="0" borderId="39" xfId="46" applyNumberFormat="1" applyFont="1" applyFill="1" applyBorder="1" applyAlignment="1" applyProtection="1">
      <alignment horizontal="center" vertical="center"/>
      <protection locked="0"/>
    </xf>
    <xf numFmtId="177" fontId="1" fillId="0" borderId="31" xfId="46" applyNumberFormat="1" applyFont="1" applyFill="1" applyBorder="1" applyAlignment="1" applyProtection="1">
      <alignment horizontal="center" vertical="center"/>
      <protection locked="0"/>
    </xf>
    <xf numFmtId="0" fontId="1" fillId="0" borderId="31" xfId="46" applyFont="1" applyFill="1" applyBorder="1" applyAlignment="1" applyProtection="1">
      <alignment horizontal="right" vertical="center"/>
      <protection locked="0"/>
    </xf>
    <xf numFmtId="177" fontId="1" fillId="0" borderId="38" xfId="46" applyNumberFormat="1" applyFont="1" applyFill="1" applyBorder="1" applyAlignment="1" applyProtection="1">
      <alignment horizontal="center" vertical="center"/>
      <protection locked="0"/>
    </xf>
    <xf numFmtId="0" fontId="0" fillId="0" borderId="31" xfId="46" applyFont="1" applyFill="1" applyBorder="1" applyAlignment="1" applyProtection="1">
      <alignment horizontal="left" vertical="center"/>
      <protection locked="0"/>
    </xf>
    <xf numFmtId="0" fontId="1" fillId="0" borderId="31" xfId="46" applyFont="1" applyFill="1" applyBorder="1" applyAlignment="1" applyProtection="1">
      <alignment horizontal="left" vertical="center" wrapText="1"/>
      <protection locked="0"/>
    </xf>
    <xf numFmtId="177" fontId="1" fillId="0" borderId="18" xfId="46" applyNumberFormat="1" applyFont="1" applyFill="1" applyBorder="1" applyAlignment="1" applyProtection="1">
      <alignment horizontal="center" vertical="center"/>
      <protection locked="0"/>
    </xf>
    <xf numFmtId="178" fontId="1" fillId="28" borderId="18" xfId="46" applyNumberFormat="1" applyFont="1" applyFill="1" applyBorder="1" applyAlignment="1">
      <alignment horizontal="right" vertical="center"/>
    </xf>
    <xf numFmtId="9" fontId="1" fillId="28" borderId="40" xfId="46" applyNumberFormat="1" applyFont="1" applyFill="1" applyBorder="1" applyAlignment="1" applyProtection="1">
      <alignment horizontal="center" vertical="center"/>
      <protection locked="0"/>
    </xf>
    <xf numFmtId="0" fontId="1" fillId="0" borderId="0" xfId="46" applyNumberFormat="1" applyFont="1" applyFill="1" applyBorder="1" applyAlignment="1">
      <alignment vertical="center" wrapText="1"/>
    </xf>
    <xf numFmtId="0" fontId="1" fillId="0" borderId="0" xfId="46" applyNumberFormat="1" applyFont="1" applyFill="1" applyBorder="1" applyAlignment="1">
      <alignment vertical="center"/>
    </xf>
    <xf numFmtId="9" fontId="1" fillId="0" borderId="0" xfId="46" applyNumberFormat="1" applyFont="1" applyFill="1" applyBorder="1" applyAlignment="1">
      <alignment vertical="center" wrapText="1"/>
    </xf>
    <xf numFmtId="0" fontId="1" fillId="0" borderId="0" xfId="0" applyFont="1" applyAlignment="1">
      <alignment vertical="center"/>
    </xf>
    <xf numFmtId="0" fontId="1" fillId="25" borderId="41" xfId="46" applyFont="1" applyFill="1" applyBorder="1" applyAlignment="1">
      <alignment horizontal="center" vertical="center" wrapText="1"/>
    </xf>
    <xf numFmtId="0" fontId="1" fillId="25" borderId="42" xfId="46" applyFont="1" applyFill="1" applyBorder="1" applyAlignment="1">
      <alignment horizontal="center" vertical="center"/>
    </xf>
    <xf numFmtId="178" fontId="1" fillId="0" borderId="40" xfId="46" applyNumberFormat="1" applyFont="1" applyFill="1" applyBorder="1" applyAlignment="1" applyProtection="1">
      <alignment horizontal="right" vertical="center"/>
      <protection locked="0"/>
    </xf>
    <xf numFmtId="178" fontId="1" fillId="0" borderId="18" xfId="46" applyNumberFormat="1" applyFont="1" applyFill="1" applyBorder="1" applyAlignment="1" applyProtection="1">
      <alignment horizontal="right" vertical="center"/>
      <protection locked="0"/>
    </xf>
    <xf numFmtId="178" fontId="1" fillId="24" borderId="43" xfId="35" applyNumberFormat="1" applyFont="1" applyFill="1" applyBorder="1" applyAlignment="1" applyProtection="1">
      <alignment vertical="center"/>
      <protection locked="0"/>
    </xf>
    <xf numFmtId="178" fontId="1" fillId="0" borderId="30" xfId="46" applyNumberFormat="1" applyFont="1" applyFill="1" applyBorder="1" applyAlignment="1" applyProtection="1">
      <alignment horizontal="right" vertical="center"/>
      <protection locked="0"/>
    </xf>
    <xf numFmtId="178" fontId="1" fillId="0" borderId="10" xfId="46" applyNumberFormat="1" applyFont="1" applyFill="1" applyBorder="1" applyAlignment="1" applyProtection="1">
      <alignment horizontal="right" vertical="center"/>
      <protection locked="0"/>
    </xf>
    <xf numFmtId="178" fontId="1" fillId="0" borderId="44" xfId="35" applyNumberFormat="1" applyFont="1" applyBorder="1" applyAlignment="1" applyProtection="1">
      <alignment vertical="center"/>
      <protection locked="0"/>
    </xf>
    <xf numFmtId="178" fontId="1" fillId="0" borderId="10" xfId="46" applyNumberFormat="1" applyFont="1" applyFill="1" applyBorder="1" applyAlignment="1" applyProtection="1">
      <alignment vertical="center"/>
      <protection locked="0"/>
    </xf>
    <xf numFmtId="178" fontId="1" fillId="24" borderId="10" xfId="46" applyNumberFormat="1" applyFont="1" applyFill="1" applyBorder="1" applyAlignment="1" applyProtection="1">
      <alignment vertical="center"/>
      <protection locked="0"/>
    </xf>
    <xf numFmtId="178" fontId="1" fillId="0" borderId="32" xfId="46" applyNumberFormat="1" applyFont="1" applyFill="1" applyBorder="1" applyAlignment="1" applyProtection="1">
      <alignment horizontal="right" vertical="center"/>
      <protection locked="0"/>
    </xf>
    <xf numFmtId="178" fontId="1" fillId="0" borderId="17" xfId="46" applyNumberFormat="1" applyFont="1" applyFill="1" applyBorder="1" applyAlignment="1" applyProtection="1">
      <alignment horizontal="right" vertical="center"/>
      <protection locked="0"/>
    </xf>
    <xf numFmtId="178" fontId="1" fillId="0" borderId="17" xfId="46" applyNumberFormat="1" applyFont="1" applyFill="1" applyBorder="1" applyAlignment="1" applyProtection="1">
      <alignment vertical="center"/>
      <protection locked="0"/>
    </xf>
    <xf numFmtId="178" fontId="1" fillId="28" borderId="45" xfId="46" applyNumberFormat="1" applyFont="1" applyFill="1" applyBorder="1" applyAlignment="1">
      <alignment vertical="center"/>
    </xf>
    <xf numFmtId="178" fontId="1" fillId="28" borderId="29" xfId="46" applyNumberFormat="1" applyFont="1" applyFill="1" applyBorder="1" applyAlignment="1">
      <alignment vertical="center"/>
    </xf>
    <xf numFmtId="178" fontId="1" fillId="0" borderId="40" xfId="46" applyNumberFormat="1" applyFont="1" applyFill="1" applyBorder="1" applyAlignment="1" applyProtection="1">
      <alignment vertical="center"/>
      <protection locked="0"/>
    </xf>
    <xf numFmtId="178" fontId="1" fillId="0" borderId="18" xfId="46" applyNumberFormat="1" applyFont="1" applyFill="1" applyBorder="1" applyAlignment="1">
      <alignment vertical="center"/>
    </xf>
    <xf numFmtId="178" fontId="1" fillId="28" borderId="18" xfId="46" applyNumberFormat="1" applyFont="1" applyFill="1" applyBorder="1" applyAlignment="1" applyProtection="1">
      <alignment vertical="center"/>
      <protection locked="0"/>
    </xf>
    <xf numFmtId="178" fontId="1" fillId="0" borderId="18" xfId="46" applyNumberFormat="1" applyFont="1" applyFill="1" applyBorder="1" applyAlignment="1" applyProtection="1">
      <alignment vertical="center"/>
      <protection locked="0"/>
    </xf>
    <xf numFmtId="178" fontId="1" fillId="0" borderId="10" xfId="46" applyNumberFormat="1" applyFont="1" applyFill="1" applyBorder="1" applyAlignment="1">
      <alignment vertical="center"/>
    </xf>
    <xf numFmtId="178" fontId="1" fillId="0" borderId="46" xfId="46" applyNumberFormat="1" applyFont="1" applyFill="1" applyBorder="1" applyAlignment="1" applyProtection="1">
      <alignment vertical="center"/>
      <protection locked="0"/>
    </xf>
    <xf numFmtId="178" fontId="1" fillId="0" borderId="17" xfId="46" applyNumberFormat="1" applyFont="1" applyFill="1" applyBorder="1" applyAlignment="1">
      <alignment vertical="center"/>
    </xf>
    <xf numFmtId="178" fontId="1" fillId="28" borderId="28" xfId="46" applyNumberFormat="1" applyFont="1" applyFill="1" applyBorder="1" applyAlignment="1" applyProtection="1">
      <alignment vertical="center"/>
      <protection locked="0"/>
    </xf>
    <xf numFmtId="178" fontId="1" fillId="0" borderId="28" xfId="46" applyNumberFormat="1" applyFont="1" applyFill="1" applyBorder="1" applyAlignment="1" applyProtection="1">
      <alignment vertical="center"/>
      <protection locked="0"/>
    </xf>
    <xf numFmtId="0" fontId="0" fillId="0" borderId="0" xfId="46" applyNumberFormat="1" applyFont="1" applyFill="1" applyBorder="1" applyAlignment="1">
      <alignment vertical="center" wrapText="1"/>
    </xf>
    <xf numFmtId="0" fontId="1" fillId="27" borderId="30" xfId="44" applyFont="1" applyFill="1" applyBorder="1" applyAlignment="1" applyProtection="1">
      <alignment horizontal="center" vertical="center"/>
    </xf>
    <xf numFmtId="178" fontId="1" fillId="28" borderId="40" xfId="46" applyNumberFormat="1" applyFont="1" applyFill="1" applyBorder="1" applyAlignment="1" applyProtection="1">
      <alignment vertical="center"/>
      <protection locked="0"/>
    </xf>
    <xf numFmtId="0" fontId="44" fillId="26" borderId="0" xfId="44" applyFont="1" applyFill="1" applyAlignment="1" applyProtection="1">
      <alignment horizontal="center" vertical="center"/>
    </xf>
    <xf numFmtId="9" fontId="1" fillId="25" borderId="10" xfId="46" applyNumberFormat="1" applyFont="1" applyFill="1" applyBorder="1" applyAlignment="1">
      <alignment horizontal="center" vertical="top" wrapText="1"/>
    </xf>
    <xf numFmtId="0" fontId="44" fillId="26" borderId="38" xfId="44" applyFont="1" applyFill="1" applyBorder="1" applyAlignment="1" applyProtection="1">
      <alignment vertical="center"/>
    </xf>
    <xf numFmtId="9" fontId="1" fillId="28" borderId="31" xfId="46" applyNumberFormat="1" applyFont="1" applyFill="1" applyBorder="1" applyAlignment="1" applyProtection="1">
      <alignment vertical="center"/>
      <protection locked="0"/>
    </xf>
    <xf numFmtId="9" fontId="1" fillId="28" borderId="15" xfId="46" applyNumberFormat="1" applyFont="1" applyFill="1" applyBorder="1" applyAlignment="1" applyProtection="1">
      <alignment vertical="center"/>
      <protection locked="0"/>
    </xf>
    <xf numFmtId="9" fontId="1" fillId="28" borderId="23" xfId="46" applyNumberFormat="1" applyFont="1" applyFill="1" applyBorder="1" applyAlignment="1" applyProtection="1">
      <alignment vertical="center"/>
      <protection locked="0"/>
    </xf>
    <xf numFmtId="178" fontId="1" fillId="28" borderId="0" xfId="46" applyNumberFormat="1" applyFont="1" applyFill="1" applyBorder="1" applyAlignment="1" applyProtection="1">
      <alignment horizontal="right" vertical="center"/>
      <protection locked="0"/>
    </xf>
    <xf numFmtId="178" fontId="1" fillId="28" borderId="25" xfId="46" applyNumberFormat="1" applyFont="1" applyFill="1" applyBorder="1" applyAlignment="1" applyProtection="1">
      <alignment horizontal="right" vertical="center"/>
      <protection locked="0"/>
    </xf>
    <xf numFmtId="186" fontId="1" fillId="28" borderId="18" xfId="46" applyNumberFormat="1" applyFont="1" applyFill="1" applyBorder="1" applyAlignment="1">
      <alignment horizontal="right" vertical="center"/>
    </xf>
    <xf numFmtId="178" fontId="1" fillId="28" borderId="10" xfId="46" applyNumberFormat="1" applyFont="1" applyFill="1" applyBorder="1" applyAlignment="1">
      <alignment vertical="top" wrapText="1"/>
    </xf>
    <xf numFmtId="177" fontId="1" fillId="0" borderId="26" xfId="46" applyNumberFormat="1" applyFont="1" applyFill="1" applyBorder="1" applyAlignment="1" applyProtection="1">
      <alignment horizontal="center" vertical="center"/>
      <protection locked="0"/>
    </xf>
    <xf numFmtId="177" fontId="1" fillId="0" borderId="16" xfId="46" applyNumberFormat="1" applyFont="1" applyFill="1" applyBorder="1" applyAlignment="1" applyProtection="1">
      <alignment horizontal="center" vertical="center"/>
      <protection locked="0"/>
    </xf>
    <xf numFmtId="177" fontId="0" fillId="0" borderId="16" xfId="46" applyNumberFormat="1" applyFont="1" applyFill="1" applyBorder="1" applyAlignment="1" applyProtection="1">
      <alignment horizontal="center" vertical="center"/>
      <protection locked="0"/>
    </xf>
    <xf numFmtId="2" fontId="1" fillId="0" borderId="31" xfId="46" applyNumberFormat="1" applyFont="1" applyFill="1" applyBorder="1" applyAlignment="1">
      <alignment horizontal="left" vertical="center" wrapText="1"/>
    </xf>
    <xf numFmtId="2" fontId="1" fillId="0" borderId="15" xfId="46" applyNumberFormat="1" applyFont="1" applyFill="1" applyBorder="1" applyAlignment="1">
      <alignment horizontal="left" vertical="center" wrapText="1"/>
    </xf>
    <xf numFmtId="2" fontId="1" fillId="0" borderId="23" xfId="46" applyNumberFormat="1" applyFont="1" applyFill="1" applyBorder="1" applyAlignment="1">
      <alignment horizontal="left" vertical="center" wrapText="1"/>
    </xf>
    <xf numFmtId="9" fontId="0" fillId="0" borderId="0" xfId="28" applyFont="1" applyFill="1" applyBorder="1" applyAlignment="1">
      <alignment vertical="top" wrapText="1"/>
    </xf>
    <xf numFmtId="0" fontId="1" fillId="27" borderId="15" xfId="44" applyFont="1" applyFill="1" applyBorder="1" applyAlignment="1" applyProtection="1">
      <alignment horizontal="left" vertical="center"/>
    </xf>
    <xf numFmtId="178" fontId="1" fillId="0" borderId="48" xfId="46" applyNumberFormat="1" applyFont="1" applyFill="1" applyBorder="1" applyAlignment="1">
      <alignment vertical="center"/>
    </xf>
    <xf numFmtId="178" fontId="1" fillId="0" borderId="49" xfId="46" applyNumberFormat="1" applyFont="1" applyFill="1" applyBorder="1" applyAlignment="1">
      <alignment vertical="center"/>
    </xf>
    <xf numFmtId="178" fontId="1" fillId="0" borderId="50" xfId="46" applyNumberFormat="1" applyFont="1" applyFill="1" applyBorder="1" applyAlignment="1">
      <alignment vertical="center"/>
    </xf>
    <xf numFmtId="178" fontId="1" fillId="28" borderId="51" xfId="46" applyNumberFormat="1" applyFont="1" applyFill="1" applyBorder="1" applyAlignment="1">
      <alignment vertical="center"/>
    </xf>
    <xf numFmtId="2" fontId="0" fillId="0" borderId="31" xfId="46" applyNumberFormat="1" applyFont="1" applyFill="1" applyBorder="1" applyAlignment="1">
      <alignment horizontal="left" vertical="center" wrapText="1"/>
    </xf>
    <xf numFmtId="178" fontId="1" fillId="28" borderId="20" xfId="46" applyNumberFormat="1" applyFont="1" applyFill="1" applyBorder="1" applyAlignment="1">
      <alignment horizontal="right" vertical="center"/>
    </xf>
    <xf numFmtId="9" fontId="1" fillId="0" borderId="31" xfId="46" applyNumberFormat="1" applyFont="1" applyFill="1" applyBorder="1" applyAlignment="1">
      <alignment horizontal="center" vertical="center"/>
    </xf>
    <xf numFmtId="9" fontId="1" fillId="0" borderId="15" xfId="46" applyNumberFormat="1" applyFont="1" applyFill="1" applyBorder="1" applyAlignment="1">
      <alignment horizontal="center" vertical="center"/>
    </xf>
    <xf numFmtId="9" fontId="1" fillId="0" borderId="23" xfId="46" applyNumberFormat="1" applyFont="1" applyFill="1" applyBorder="1" applyAlignment="1">
      <alignment horizontal="center" vertical="center"/>
    </xf>
    <xf numFmtId="0" fontId="0" fillId="25" borderId="10" xfId="0" applyFill="1" applyBorder="1" applyAlignment="1">
      <alignment horizontal="center" vertical="center"/>
    </xf>
    <xf numFmtId="0" fontId="44" fillId="26" borderId="0" xfId="46" applyNumberFormat="1" applyFont="1" applyFill="1" applyBorder="1" applyAlignment="1">
      <alignment vertical="center"/>
    </xf>
    <xf numFmtId="0" fontId="21" fillId="0" borderId="10" xfId="0" applyFont="1" applyBorder="1" applyAlignment="1">
      <alignment horizontal="center" vertical="center" wrapText="1"/>
    </xf>
    <xf numFmtId="0" fontId="1" fillId="0" borderId="0" xfId="44" applyFont="1" applyFill="1" applyAlignment="1" applyProtection="1"/>
    <xf numFmtId="0" fontId="1" fillId="27" borderId="30" xfId="44" applyFont="1" applyFill="1" applyBorder="1" applyAlignment="1" applyProtection="1"/>
    <xf numFmtId="0" fontId="0" fillId="0" borderId="31" xfId="46" applyFont="1" applyFill="1" applyBorder="1" applyAlignment="1" applyProtection="1">
      <alignment horizontal="center" vertical="center"/>
      <protection locked="0"/>
    </xf>
    <xf numFmtId="0" fontId="1" fillId="27" borderId="15" xfId="44" applyFont="1" applyFill="1" applyBorder="1" applyAlignment="1" applyProtection="1"/>
    <xf numFmtId="0" fontId="1" fillId="0" borderId="17" xfId="46" applyFont="1" applyFill="1" applyBorder="1" applyAlignment="1">
      <alignment horizontal="left" vertical="center"/>
    </xf>
    <xf numFmtId="0" fontId="1" fillId="0" borderId="17" xfId="46" applyFont="1" applyFill="1" applyBorder="1" applyAlignment="1" applyProtection="1">
      <alignment horizontal="center" vertical="center"/>
      <protection locked="0"/>
    </xf>
    <xf numFmtId="0" fontId="1" fillId="0" borderId="23" xfId="46" applyFont="1" applyFill="1" applyBorder="1" applyAlignment="1" applyProtection="1">
      <alignment horizontal="center" vertical="center"/>
      <protection locked="0"/>
    </xf>
    <xf numFmtId="177" fontId="1" fillId="0" borderId="19" xfId="46" applyNumberFormat="1" applyFont="1" applyFill="1" applyBorder="1" applyAlignment="1" applyProtection="1">
      <alignment horizontal="center" vertical="center"/>
      <protection locked="0"/>
    </xf>
    <xf numFmtId="0" fontId="25" fillId="25" borderId="29" xfId="46" applyFont="1" applyFill="1" applyBorder="1" applyAlignment="1">
      <alignment horizontal="center" vertical="center"/>
    </xf>
    <xf numFmtId="0" fontId="25" fillId="25" borderId="27" xfId="46" applyFont="1" applyFill="1" applyBorder="1" applyAlignment="1">
      <alignment horizontal="center" vertical="center"/>
    </xf>
    <xf numFmtId="9" fontId="25" fillId="28" borderId="29" xfId="46" applyNumberFormat="1" applyFont="1" applyFill="1" applyBorder="1" applyAlignment="1">
      <alignment vertical="center"/>
    </xf>
    <xf numFmtId="0" fontId="25" fillId="25" borderId="27" xfId="46" applyFont="1" applyFill="1" applyBorder="1" applyAlignment="1">
      <alignment horizontal="center" vertical="center" wrapText="1"/>
    </xf>
    <xf numFmtId="178" fontId="25" fillId="28" borderId="29" xfId="46" applyNumberFormat="1" applyFont="1" applyFill="1" applyBorder="1" applyAlignment="1">
      <alignment vertical="center"/>
    </xf>
    <xf numFmtId="9" fontId="25" fillId="28" borderId="27" xfId="46" applyNumberFormat="1" applyFont="1" applyFill="1" applyBorder="1" applyAlignment="1" applyProtection="1">
      <alignment vertical="center"/>
      <protection locked="0"/>
    </xf>
    <xf numFmtId="186" fontId="25" fillId="28" borderId="29" xfId="46" applyNumberFormat="1" applyFont="1" applyFill="1" applyBorder="1" applyAlignment="1">
      <alignment horizontal="right" vertical="center"/>
    </xf>
    <xf numFmtId="9" fontId="25" fillId="28" borderId="27" xfId="46" applyNumberFormat="1" applyFont="1" applyFill="1" applyBorder="1" applyAlignment="1">
      <alignment vertical="center"/>
    </xf>
    <xf numFmtId="2" fontId="25" fillId="28" borderId="29" xfId="46" applyNumberFormat="1" applyFont="1" applyFill="1" applyBorder="1" applyAlignment="1">
      <alignment horizontal="center" vertical="center"/>
    </xf>
    <xf numFmtId="0" fontId="25" fillId="25" borderId="53" xfId="46" applyFont="1" applyFill="1" applyBorder="1" applyAlignment="1">
      <alignment horizontal="center" vertical="center" wrapText="1"/>
    </xf>
    <xf numFmtId="178" fontId="25" fillId="28" borderId="33" xfId="46" applyNumberFormat="1" applyFont="1" applyFill="1" applyBorder="1" applyAlignment="1">
      <alignment vertical="center"/>
    </xf>
    <xf numFmtId="9" fontId="25" fillId="28" borderId="29" xfId="46" applyNumberFormat="1" applyFont="1" applyFill="1" applyBorder="1" applyAlignment="1" applyProtection="1">
      <alignment horizontal="center" vertical="center"/>
      <protection locked="0"/>
    </xf>
    <xf numFmtId="0" fontId="25" fillId="28" borderId="29" xfId="46" applyFont="1" applyFill="1" applyBorder="1" applyAlignment="1">
      <alignment horizontal="center" vertical="center"/>
    </xf>
    <xf numFmtId="178" fontId="1" fillId="28" borderId="20" xfId="46" applyNumberFormat="1" applyFont="1" applyFill="1" applyBorder="1" applyAlignment="1">
      <alignment vertical="center"/>
    </xf>
    <xf numFmtId="178" fontId="1" fillId="28" borderId="16" xfId="46" applyNumberFormat="1" applyFont="1" applyFill="1" applyBorder="1" applyAlignment="1">
      <alignment vertical="center"/>
    </xf>
    <xf numFmtId="178" fontId="1" fillId="28" borderId="19" xfId="46" applyNumberFormat="1" applyFont="1" applyFill="1" applyBorder="1" applyAlignment="1">
      <alignment vertical="center"/>
    </xf>
    <xf numFmtId="2" fontId="1" fillId="0" borderId="10" xfId="46" applyNumberFormat="1" applyFont="1" applyFill="1" applyBorder="1" applyAlignment="1">
      <alignment horizontal="left" vertical="center" wrapText="1"/>
    </xf>
    <xf numFmtId="178" fontId="25" fillId="28" borderId="27" xfId="46" applyNumberFormat="1" applyFont="1" applyFill="1" applyBorder="1" applyAlignment="1">
      <alignment vertical="center"/>
    </xf>
    <xf numFmtId="9" fontId="1" fillId="28" borderId="58" xfId="46" applyNumberFormat="1" applyFont="1" applyFill="1" applyBorder="1" applyAlignment="1" applyProtection="1">
      <alignment horizontal="center" vertical="center"/>
      <protection locked="0"/>
    </xf>
    <xf numFmtId="9" fontId="1" fillId="28" borderId="10" xfId="46" applyNumberFormat="1" applyFont="1" applyFill="1" applyBorder="1" applyAlignment="1" applyProtection="1">
      <alignment horizontal="center" vertical="center"/>
      <protection locked="0"/>
    </xf>
    <xf numFmtId="9" fontId="1" fillId="28" borderId="17" xfId="46" applyNumberFormat="1" applyFont="1" applyFill="1" applyBorder="1" applyAlignment="1" applyProtection="1">
      <alignment horizontal="center" vertical="center"/>
      <protection locked="0"/>
    </xf>
    <xf numFmtId="0" fontId="1" fillId="27" borderId="15" xfId="46" applyNumberFormat="1" applyFont="1" applyFill="1" applyBorder="1" applyAlignment="1">
      <alignment horizontal="left" vertical="top"/>
    </xf>
    <xf numFmtId="0" fontId="1" fillId="27" borderId="10" xfId="44" applyFont="1" applyFill="1" applyBorder="1" applyAlignment="1" applyProtection="1">
      <alignment horizontal="center" vertical="center"/>
    </xf>
    <xf numFmtId="0" fontId="1" fillId="27" borderId="10" xfId="44" applyFont="1" applyFill="1" applyBorder="1" applyAlignment="1" applyProtection="1">
      <alignment horizontal="right" vertical="center"/>
    </xf>
    <xf numFmtId="0" fontId="1" fillId="28" borderId="10" xfId="46" applyFont="1" applyFill="1" applyBorder="1" applyAlignment="1">
      <alignment horizontal="center" vertical="center"/>
    </xf>
    <xf numFmtId="187" fontId="1" fillId="28" borderId="31" xfId="46" applyNumberFormat="1" applyFont="1" applyFill="1" applyBorder="1" applyAlignment="1" applyProtection="1">
      <alignment horizontal="right" vertical="center"/>
      <protection locked="0"/>
    </xf>
    <xf numFmtId="187" fontId="1" fillId="28" borderId="15" xfId="46" applyNumberFormat="1" applyFont="1" applyFill="1" applyBorder="1" applyAlignment="1" applyProtection="1">
      <alignment horizontal="right" vertical="center"/>
      <protection locked="0"/>
    </xf>
    <xf numFmtId="187" fontId="1" fillId="28" borderId="23" xfId="46" applyNumberFormat="1" applyFont="1" applyFill="1" applyBorder="1" applyAlignment="1" applyProtection="1">
      <alignment horizontal="right" vertical="center"/>
      <protection locked="0"/>
    </xf>
    <xf numFmtId="187" fontId="1" fillId="28" borderId="27" xfId="46" applyNumberFormat="1" applyFont="1" applyFill="1" applyBorder="1" applyAlignment="1" applyProtection="1">
      <alignment horizontal="right" vertical="center"/>
      <protection locked="0"/>
    </xf>
    <xf numFmtId="178" fontId="1" fillId="28" borderId="29" xfId="34" applyNumberFormat="1" applyFont="1" applyFill="1" applyBorder="1" applyAlignment="1">
      <alignment vertical="center"/>
    </xf>
    <xf numFmtId="178" fontId="1" fillId="0" borderId="46" xfId="46" applyNumberFormat="1" applyFont="1" applyFill="1" applyBorder="1" applyAlignment="1" applyProtection="1">
      <alignment horizontal="right" vertical="center"/>
      <protection locked="0"/>
    </xf>
    <xf numFmtId="178" fontId="0" fillId="0" borderId="48" xfId="34" applyNumberFormat="1" applyFont="1" applyFill="1" applyBorder="1" applyAlignment="1" applyProtection="1">
      <alignment vertical="center"/>
      <protection locked="0"/>
    </xf>
    <xf numFmtId="178" fontId="0" fillId="0" borderId="38" xfId="34" applyNumberFormat="1" applyFont="1" applyFill="1" applyBorder="1" applyAlignment="1" applyProtection="1">
      <alignment vertical="center"/>
      <protection locked="0"/>
    </xf>
    <xf numFmtId="178" fontId="0" fillId="0" borderId="49" xfId="34" applyNumberFormat="1" applyFont="1" applyFill="1" applyBorder="1" applyAlignment="1" applyProtection="1">
      <alignment vertical="center"/>
      <protection locked="0"/>
    </xf>
    <xf numFmtId="178" fontId="0" fillId="0" borderId="24" xfId="34" applyNumberFormat="1" applyFont="1" applyFill="1" applyBorder="1" applyAlignment="1" applyProtection="1">
      <alignment vertical="center"/>
      <protection locked="0"/>
    </xf>
    <xf numFmtId="178" fontId="1" fillId="0" borderId="49" xfId="34" applyNumberFormat="1" applyFont="1" applyFill="1" applyBorder="1" applyAlignment="1" applyProtection="1">
      <alignment vertical="center"/>
      <protection locked="0"/>
    </xf>
    <xf numFmtId="178" fontId="1" fillId="0" borderId="24" xfId="34" applyNumberFormat="1" applyFont="1" applyFill="1" applyBorder="1" applyAlignment="1" applyProtection="1">
      <alignment vertical="center"/>
      <protection locked="0"/>
    </xf>
    <xf numFmtId="178" fontId="1" fillId="0" borderId="50" xfId="34" applyNumberFormat="1" applyFont="1" applyFill="1" applyBorder="1" applyAlignment="1" applyProtection="1">
      <alignment vertical="center"/>
      <protection locked="0"/>
    </xf>
    <xf numFmtId="178" fontId="1" fillId="0" borderId="25" xfId="34" applyNumberFormat="1" applyFont="1" applyFill="1" applyBorder="1" applyAlignment="1" applyProtection="1">
      <alignment vertical="center"/>
      <protection locked="0"/>
    </xf>
    <xf numFmtId="178" fontId="1" fillId="0" borderId="31" xfId="34" applyNumberFormat="1" applyFont="1" applyFill="1" applyBorder="1" applyAlignment="1" applyProtection="1">
      <alignment vertical="center"/>
      <protection locked="0"/>
    </xf>
    <xf numFmtId="178" fontId="1" fillId="0" borderId="15" xfId="34" applyNumberFormat="1" applyFont="1" applyFill="1" applyBorder="1" applyAlignment="1" applyProtection="1">
      <alignment vertical="center"/>
      <protection locked="0"/>
    </xf>
    <xf numFmtId="178" fontId="1" fillId="0" borderId="23" xfId="34" applyNumberFormat="1" applyFont="1" applyFill="1" applyBorder="1" applyAlignment="1" applyProtection="1">
      <alignment vertical="center"/>
      <protection locked="0"/>
    </xf>
    <xf numFmtId="178" fontId="1" fillId="0" borderId="31" xfId="46" applyNumberFormat="1" applyFont="1" applyFill="1" applyBorder="1" applyAlignment="1" applyProtection="1">
      <alignment horizontal="right" vertical="center"/>
      <protection locked="0"/>
    </xf>
    <xf numFmtId="178" fontId="1" fillId="0" borderId="15" xfId="46" applyNumberFormat="1" applyFont="1" applyFill="1" applyBorder="1" applyAlignment="1" applyProtection="1">
      <alignment horizontal="right" vertical="center"/>
      <protection locked="0"/>
    </xf>
    <xf numFmtId="178" fontId="1" fillId="0" borderId="23" xfId="46" applyNumberFormat="1" applyFont="1" applyFill="1" applyBorder="1" applyAlignment="1" applyProtection="1">
      <alignment horizontal="right" vertical="center"/>
      <protection locked="0"/>
    </xf>
    <xf numFmtId="178" fontId="1" fillId="0" borderId="40" xfId="34" applyNumberFormat="1" applyFont="1" applyFill="1" applyBorder="1" applyAlignment="1" applyProtection="1">
      <alignment vertical="center"/>
      <protection locked="0"/>
    </xf>
    <xf numFmtId="178" fontId="1" fillId="0" borderId="18" xfId="34" applyNumberFormat="1" applyFont="1" applyFill="1" applyBorder="1" applyAlignment="1" applyProtection="1">
      <alignment vertical="center"/>
      <protection locked="0"/>
    </xf>
    <xf numFmtId="178" fontId="1" fillId="24" borderId="43" xfId="34" applyNumberFormat="1" applyFont="1" applyFill="1" applyBorder="1" applyAlignment="1" applyProtection="1">
      <alignment vertical="center"/>
      <protection locked="0"/>
    </xf>
    <xf numFmtId="178" fontId="1" fillId="28" borderId="18" xfId="34" applyNumberFormat="1" applyFont="1" applyFill="1" applyBorder="1" applyAlignment="1">
      <alignment vertical="center"/>
    </xf>
    <xf numFmtId="178" fontId="1" fillId="0" borderId="30" xfId="34" applyNumberFormat="1" applyFont="1" applyFill="1" applyBorder="1" applyAlignment="1" applyProtection="1">
      <alignment vertical="center"/>
      <protection locked="0"/>
    </xf>
    <xf numFmtId="178" fontId="1" fillId="0" borderId="10" xfId="34" applyNumberFormat="1" applyFont="1" applyFill="1" applyBorder="1" applyAlignment="1" applyProtection="1">
      <alignment vertical="center"/>
      <protection locked="0"/>
    </xf>
    <xf numFmtId="178" fontId="1" fillId="0" borderId="44" xfId="34" applyNumberFormat="1" applyFont="1" applyBorder="1" applyAlignment="1" applyProtection="1">
      <alignment vertical="center"/>
      <protection locked="0"/>
    </xf>
    <xf numFmtId="178" fontId="1" fillId="28" borderId="10" xfId="34" applyNumberFormat="1" applyFont="1" applyFill="1" applyBorder="1" applyAlignment="1">
      <alignment vertical="center"/>
    </xf>
    <xf numFmtId="178" fontId="1" fillId="0" borderId="30" xfId="34" applyNumberFormat="1" applyFont="1" applyFill="1" applyBorder="1" applyAlignment="1">
      <alignment vertical="center"/>
    </xf>
    <xf numFmtId="178" fontId="1" fillId="24" borderId="10" xfId="34" applyNumberFormat="1" applyFont="1" applyFill="1" applyBorder="1" applyAlignment="1" applyProtection="1">
      <alignment vertical="center"/>
      <protection locked="0"/>
    </xf>
    <xf numFmtId="178" fontId="1" fillId="0" borderId="32" xfId="34" applyNumberFormat="1" applyFont="1" applyFill="1" applyBorder="1" applyAlignment="1" applyProtection="1">
      <alignment vertical="center"/>
      <protection locked="0"/>
    </xf>
    <xf numFmtId="178" fontId="1" fillId="0" borderId="17" xfId="34" applyNumberFormat="1" applyFont="1" applyFill="1" applyBorder="1" applyAlignment="1" applyProtection="1">
      <alignment vertical="center"/>
      <protection locked="0"/>
    </xf>
    <xf numFmtId="178" fontId="1" fillId="28" borderId="17" xfId="34" applyNumberFormat="1" applyFont="1" applyFill="1" applyBorder="1" applyAlignment="1">
      <alignment vertical="center"/>
    </xf>
    <xf numFmtId="178" fontId="1" fillId="0" borderId="32" xfId="34" applyNumberFormat="1" applyFont="1" applyFill="1" applyBorder="1" applyAlignment="1">
      <alignment vertical="center"/>
    </xf>
    <xf numFmtId="178" fontId="1" fillId="28" borderId="45" xfId="34" applyNumberFormat="1" applyFont="1" applyFill="1" applyBorder="1" applyAlignment="1">
      <alignment vertical="center"/>
    </xf>
    <xf numFmtId="178" fontId="25" fillId="28" borderId="29" xfId="34" applyNumberFormat="1" applyFont="1" applyFill="1" applyBorder="1" applyAlignment="1">
      <alignment vertical="center"/>
    </xf>
    <xf numFmtId="178" fontId="1" fillId="28" borderId="40" xfId="46" applyNumberFormat="1" applyFont="1" applyFill="1" applyBorder="1" applyAlignment="1" applyProtection="1">
      <alignment vertical="center"/>
    </xf>
    <xf numFmtId="2" fontId="0" fillId="0" borderId="10" xfId="46" applyNumberFormat="1" applyFont="1" applyFill="1" applyBorder="1" applyAlignment="1">
      <alignment horizontal="left" vertical="center" wrapText="1"/>
    </xf>
    <xf numFmtId="0" fontId="1" fillId="25" borderId="56" xfId="46" applyFont="1" applyFill="1" applyBorder="1" applyAlignment="1">
      <alignment horizontal="center" vertical="center" wrapText="1"/>
    </xf>
    <xf numFmtId="0" fontId="1" fillId="25" borderId="35" xfId="46" applyFont="1" applyFill="1" applyBorder="1" applyAlignment="1">
      <alignment horizontal="center" vertical="center"/>
    </xf>
    <xf numFmtId="0" fontId="1" fillId="25" borderId="59" xfId="46" applyFont="1" applyFill="1" applyBorder="1" applyAlignment="1">
      <alignment horizontal="center" vertical="center" wrapText="1"/>
    </xf>
    <xf numFmtId="0" fontId="1" fillId="25" borderId="10" xfId="44" applyFont="1" applyFill="1" applyBorder="1" applyAlignment="1" applyProtection="1">
      <alignment horizontal="center" vertical="center"/>
    </xf>
    <xf numFmtId="0" fontId="1" fillId="25" borderId="28" xfId="46" applyFont="1" applyFill="1" applyBorder="1" applyAlignment="1">
      <alignment horizontal="center" vertical="center"/>
    </xf>
    <xf numFmtId="0" fontId="1" fillId="25" borderId="52" xfId="46" applyFont="1" applyFill="1" applyBorder="1" applyAlignment="1">
      <alignment horizontal="center" vertical="center"/>
    </xf>
    <xf numFmtId="0" fontId="1" fillId="25" borderId="28" xfId="46" applyFont="1" applyFill="1" applyBorder="1" applyAlignment="1">
      <alignment horizontal="center" vertical="center" wrapText="1"/>
    </xf>
    <xf numFmtId="0" fontId="1" fillId="25" borderId="35" xfId="46" applyFont="1" applyFill="1" applyBorder="1" applyAlignment="1">
      <alignment horizontal="center" vertical="center" wrapText="1"/>
    </xf>
    <xf numFmtId="0" fontId="0" fillId="25" borderId="10" xfId="0" applyFill="1" applyBorder="1" applyAlignment="1">
      <alignment horizontal="center" vertical="center"/>
    </xf>
    <xf numFmtId="0" fontId="1" fillId="28" borderId="48" xfId="46" applyNumberFormat="1" applyFont="1" applyFill="1" applyBorder="1" applyAlignment="1">
      <alignment horizontal="center" vertical="center" wrapText="1"/>
    </xf>
    <xf numFmtId="0" fontId="29" fillId="0" borderId="0" xfId="45" applyFont="1"/>
    <xf numFmtId="0" fontId="1" fillId="0" borderId="0" xfId="45"/>
    <xf numFmtId="0" fontId="1" fillId="29" borderId="17" xfId="45" applyFont="1" applyFill="1" applyBorder="1"/>
    <xf numFmtId="188" fontId="1" fillId="29" borderId="15" xfId="45" applyNumberFormat="1" applyFill="1" applyBorder="1" applyAlignment="1">
      <alignment vertical="top"/>
    </xf>
    <xf numFmtId="0" fontId="1" fillId="29" borderId="30" xfId="45" applyFill="1" applyBorder="1"/>
    <xf numFmtId="0" fontId="1" fillId="29" borderId="18" xfId="45" applyFill="1" applyBorder="1"/>
    <xf numFmtId="188" fontId="1" fillId="29" borderId="60" xfId="45" applyNumberFormat="1" applyFill="1" applyBorder="1" applyAlignment="1">
      <alignment vertical="top"/>
    </xf>
    <xf numFmtId="0" fontId="1" fillId="29" borderId="61" xfId="45" applyFont="1" applyFill="1" applyBorder="1" applyAlignment="1">
      <alignment vertical="top"/>
    </xf>
    <xf numFmtId="188" fontId="1" fillId="0" borderId="10" xfId="45" applyNumberFormat="1" applyBorder="1" applyAlignment="1">
      <alignment horizontal="left" vertical="top"/>
    </xf>
    <xf numFmtId="0" fontId="1" fillId="0" borderId="60" xfId="45" applyBorder="1" applyAlignment="1">
      <alignment horizontal="left" vertical="top"/>
    </xf>
    <xf numFmtId="0" fontId="0" fillId="0" borderId="61" xfId="45" applyFont="1" applyBorder="1" applyAlignment="1">
      <alignment horizontal="left" vertical="top" wrapText="1"/>
    </xf>
    <xf numFmtId="0" fontId="25" fillId="25" borderId="54" xfId="46" applyFont="1" applyFill="1" applyBorder="1" applyAlignment="1">
      <alignment horizontal="center" vertical="center"/>
    </xf>
    <xf numFmtId="0" fontId="25" fillId="25" borderId="53" xfId="46" applyFont="1" applyFill="1" applyBorder="1" applyAlignment="1">
      <alignment horizontal="center" vertical="center"/>
    </xf>
    <xf numFmtId="0" fontId="1" fillId="0" borderId="39" xfId="46" applyFont="1" applyFill="1" applyBorder="1" applyAlignment="1" applyProtection="1">
      <alignment horizontal="left" vertical="center" wrapText="1"/>
      <protection locked="0"/>
    </xf>
    <xf numFmtId="0" fontId="1" fillId="0" borderId="21" xfId="46" applyFont="1" applyFill="1" applyBorder="1" applyAlignment="1" applyProtection="1">
      <alignment horizontal="left" vertical="center" wrapText="1"/>
      <protection locked="0"/>
    </xf>
    <xf numFmtId="0" fontId="0" fillId="0" borderId="21" xfId="46" applyFont="1" applyFill="1" applyBorder="1" applyAlignment="1" applyProtection="1">
      <alignment horizontal="left" vertical="center" wrapText="1"/>
      <protection locked="0"/>
    </xf>
    <xf numFmtId="0" fontId="1" fillId="0" borderId="22" xfId="46" applyFont="1" applyFill="1" applyBorder="1" applyAlignment="1" applyProtection="1">
      <alignment horizontal="left" vertical="center" wrapText="1"/>
      <protection locked="0"/>
    </xf>
    <xf numFmtId="0" fontId="25" fillId="25" borderId="54" xfId="46" applyFont="1" applyFill="1" applyBorder="1" applyAlignment="1">
      <alignment horizontal="center" vertical="center" wrapText="1"/>
    </xf>
    <xf numFmtId="183" fontId="1" fillId="28" borderId="62" xfId="46" applyNumberFormat="1" applyFont="1" applyFill="1" applyBorder="1" applyAlignment="1">
      <alignment vertical="top" wrapText="1"/>
    </xf>
    <xf numFmtId="183" fontId="1" fillId="25" borderId="63" xfId="46" applyNumberFormat="1" applyFont="1" applyFill="1" applyBorder="1" applyAlignment="1">
      <alignment vertical="top" wrapText="1"/>
    </xf>
    <xf numFmtId="178" fontId="1" fillId="0" borderId="30" xfId="46" applyNumberFormat="1" applyFont="1" applyFill="1" applyBorder="1" applyAlignment="1" applyProtection="1">
      <alignment vertical="center"/>
      <protection locked="0"/>
    </xf>
    <xf numFmtId="0" fontId="0" fillId="0" borderId="17" xfId="45" applyFont="1" applyBorder="1" applyAlignment="1">
      <alignment horizontal="left" vertical="top"/>
    </xf>
    <xf numFmtId="188" fontId="1" fillId="0" borderId="17" xfId="45" applyNumberFormat="1" applyBorder="1" applyAlignment="1">
      <alignment horizontal="left" vertical="top"/>
    </xf>
    <xf numFmtId="0" fontId="0" fillId="0" borderId="10" xfId="45" applyFont="1" applyBorder="1" applyAlignment="1">
      <alignment horizontal="left" vertical="top" wrapText="1"/>
    </xf>
    <xf numFmtId="0" fontId="0" fillId="0" borderId="28" xfId="0" applyBorder="1">
      <alignment vertical="center"/>
    </xf>
    <xf numFmtId="0" fontId="0" fillId="0" borderId="18" xfId="0" applyBorder="1">
      <alignment vertical="center"/>
    </xf>
    <xf numFmtId="0" fontId="0" fillId="0" borderId="10" xfId="0" applyBorder="1" applyAlignment="1">
      <alignment vertical="center" wrapText="1"/>
    </xf>
    <xf numFmtId="0" fontId="1" fillId="25" borderId="55" xfId="46" applyFont="1" applyFill="1" applyBorder="1" applyAlignment="1">
      <alignment horizontal="center" vertical="center" wrapText="1"/>
    </xf>
    <xf numFmtId="178" fontId="1" fillId="28" borderId="58" xfId="46" applyNumberFormat="1" applyFont="1" applyFill="1" applyBorder="1" applyAlignment="1">
      <alignment horizontal="right" vertical="center"/>
    </xf>
    <xf numFmtId="0" fontId="1" fillId="0" borderId="0" xfId="45" applyAlignment="1"/>
    <xf numFmtId="0" fontId="1" fillId="29" borderId="15" xfId="45" applyFont="1" applyFill="1" applyBorder="1" applyAlignment="1"/>
    <xf numFmtId="0" fontId="0" fillId="0" borderId="60" xfId="45" applyFont="1" applyBorder="1" applyAlignment="1">
      <alignment horizontal="left" vertical="top"/>
    </xf>
    <xf numFmtId="0" fontId="0" fillId="0" borderId="0" xfId="0" applyAlignment="1">
      <alignment vertical="center"/>
    </xf>
    <xf numFmtId="0" fontId="0" fillId="0" borderId="64" xfId="0" applyBorder="1">
      <alignment vertical="center"/>
    </xf>
    <xf numFmtId="0" fontId="0" fillId="0" borderId="65" xfId="0" applyBorder="1">
      <alignment vertical="center"/>
    </xf>
    <xf numFmtId="0" fontId="0" fillId="0" borderId="66" xfId="0" applyBorder="1">
      <alignment vertical="center"/>
    </xf>
    <xf numFmtId="9" fontId="0" fillId="0" borderId="65" xfId="0" applyNumberFormat="1" applyBorder="1">
      <alignment vertical="center"/>
    </xf>
    <xf numFmtId="9" fontId="0" fillId="0" borderId="66" xfId="0" applyNumberFormat="1" applyBorder="1">
      <alignment vertical="center"/>
    </xf>
    <xf numFmtId="0" fontId="0" fillId="0" borderId="67" xfId="0" applyBorder="1">
      <alignment vertical="center"/>
    </xf>
    <xf numFmtId="0" fontId="0" fillId="0" borderId="68" xfId="0" applyBorder="1">
      <alignment vertical="center"/>
    </xf>
    <xf numFmtId="0" fontId="0" fillId="30" borderId="69" xfId="0" applyFill="1" applyBorder="1">
      <alignment vertical="center"/>
    </xf>
    <xf numFmtId="0" fontId="0" fillId="30" borderId="70" xfId="0" applyFill="1" applyBorder="1">
      <alignment vertical="center"/>
    </xf>
    <xf numFmtId="9" fontId="0" fillId="0" borderId="71" xfId="0" applyNumberFormat="1" applyBorder="1">
      <alignment vertical="center"/>
    </xf>
    <xf numFmtId="9" fontId="0" fillId="0" borderId="72" xfId="0" applyNumberFormat="1" applyBorder="1">
      <alignment vertical="center"/>
    </xf>
    <xf numFmtId="0" fontId="0" fillId="31" borderId="69" xfId="0" applyFill="1" applyBorder="1">
      <alignment vertical="center"/>
    </xf>
    <xf numFmtId="0" fontId="0" fillId="31" borderId="70" xfId="0" applyFill="1" applyBorder="1">
      <alignment vertical="center"/>
    </xf>
    <xf numFmtId="0" fontId="0" fillId="0" borderId="73" xfId="0" applyBorder="1">
      <alignment vertical="center"/>
    </xf>
    <xf numFmtId="0" fontId="0" fillId="0" borderId="74" xfId="0" applyBorder="1">
      <alignment vertical="center"/>
    </xf>
    <xf numFmtId="0" fontId="0" fillId="0" borderId="72" xfId="0" applyBorder="1">
      <alignment vertical="center"/>
    </xf>
    <xf numFmtId="0" fontId="0" fillId="0" borderId="75" xfId="0" applyBorder="1">
      <alignment vertical="center"/>
    </xf>
    <xf numFmtId="0" fontId="0" fillId="0" borderId="76" xfId="0" applyBorder="1">
      <alignment vertical="center"/>
    </xf>
    <xf numFmtId="0" fontId="25" fillId="0" borderId="0" xfId="0" applyFont="1">
      <alignment vertical="center"/>
    </xf>
    <xf numFmtId="0" fontId="0" fillId="0" borderId="77" xfId="0" applyBorder="1">
      <alignment vertical="center"/>
    </xf>
    <xf numFmtId="0" fontId="0" fillId="0" borderId="78" xfId="0" applyBorder="1">
      <alignment vertical="center"/>
    </xf>
    <xf numFmtId="0" fontId="0" fillId="0" borderId="102" xfId="0" applyBorder="1">
      <alignment vertical="center"/>
    </xf>
    <xf numFmtId="0" fontId="34" fillId="0" borderId="0" xfId="0" applyFont="1">
      <alignment vertical="center"/>
    </xf>
    <xf numFmtId="9" fontId="45" fillId="0" borderId="10" xfId="0" applyNumberFormat="1" applyFont="1" applyBorder="1">
      <alignment vertical="center"/>
    </xf>
    <xf numFmtId="0" fontId="0" fillId="25" borderId="17" xfId="0" applyFill="1" applyBorder="1">
      <alignment vertical="center"/>
    </xf>
    <xf numFmtId="0" fontId="0" fillId="25" borderId="15" xfId="0" applyFill="1" applyBorder="1">
      <alignment vertical="center"/>
    </xf>
    <xf numFmtId="0" fontId="0" fillId="25" borderId="30" xfId="0" applyFill="1" applyBorder="1">
      <alignment vertical="center"/>
    </xf>
    <xf numFmtId="0" fontId="0" fillId="25" borderId="18" xfId="0" applyFill="1" applyBorder="1">
      <alignment vertical="center"/>
    </xf>
    <xf numFmtId="0" fontId="0" fillId="25" borderId="10" xfId="0" applyFill="1" applyBorder="1">
      <alignment vertical="center"/>
    </xf>
    <xf numFmtId="0" fontId="25" fillId="25" borderId="10" xfId="0" applyFont="1" applyFill="1" applyBorder="1">
      <alignment vertical="center"/>
    </xf>
    <xf numFmtId="0" fontId="46" fillId="0" borderId="65" xfId="0" applyFont="1" applyFill="1" applyBorder="1">
      <alignment vertical="center"/>
    </xf>
    <xf numFmtId="0" fontId="46" fillId="0" borderId="66" xfId="0" applyFont="1" applyFill="1" applyBorder="1">
      <alignment vertical="center"/>
    </xf>
    <xf numFmtId="0" fontId="0" fillId="0" borderId="68" xfId="0" applyFill="1" applyBorder="1">
      <alignment vertical="center"/>
    </xf>
    <xf numFmtId="0" fontId="0" fillId="0" borderId="79" xfId="0" applyBorder="1">
      <alignment vertical="center"/>
    </xf>
    <xf numFmtId="9" fontId="45" fillId="0" borderId="0" xfId="0" applyNumberFormat="1" applyFont="1" applyBorder="1">
      <alignment vertical="center"/>
    </xf>
    <xf numFmtId="0" fontId="47" fillId="0" borderId="0" xfId="0" applyFont="1">
      <alignment vertical="center"/>
    </xf>
    <xf numFmtId="0" fontId="0" fillId="32" borderId="69" xfId="0" applyFill="1" applyBorder="1">
      <alignment vertical="center"/>
    </xf>
    <xf numFmtId="0" fontId="0" fillId="32" borderId="80" xfId="0" applyFont="1" applyFill="1" applyBorder="1">
      <alignment vertical="center"/>
    </xf>
    <xf numFmtId="0" fontId="0" fillId="32" borderId="70" xfId="0" applyFont="1" applyFill="1" applyBorder="1">
      <alignment vertical="center"/>
    </xf>
    <xf numFmtId="0" fontId="48" fillId="0" borderId="0" xfId="0" applyFont="1" applyAlignment="1">
      <alignment horizontal="left" vertical="center"/>
    </xf>
    <xf numFmtId="0" fontId="0" fillId="25" borderId="17" xfId="0" applyFill="1" applyBorder="1" applyAlignment="1">
      <alignment horizontal="center" vertical="center"/>
    </xf>
    <xf numFmtId="0" fontId="0" fillId="25" borderId="18" xfId="0" applyFill="1" applyBorder="1" applyAlignment="1">
      <alignment horizontal="center" vertical="center"/>
    </xf>
    <xf numFmtId="0" fontId="0" fillId="0" borderId="64" xfId="0" applyBorder="1" applyAlignment="1">
      <alignment horizontal="center" vertical="center"/>
    </xf>
    <xf numFmtId="0" fontId="0" fillId="0" borderId="65" xfId="0" applyBorder="1" applyAlignment="1">
      <alignment horizontal="center" vertical="center"/>
    </xf>
    <xf numFmtId="0" fontId="0" fillId="0" borderId="78" xfId="0" applyBorder="1" applyAlignment="1">
      <alignment horizontal="center" vertical="center"/>
    </xf>
    <xf numFmtId="0" fontId="0" fillId="0" borderId="66" xfId="0" applyBorder="1" applyAlignment="1">
      <alignment horizontal="center" vertical="center"/>
    </xf>
    <xf numFmtId="0" fontId="0" fillId="0" borderId="0" xfId="0" quotePrefix="1">
      <alignment vertical="center"/>
    </xf>
    <xf numFmtId="0" fontId="39" fillId="0" borderId="0" xfId="0" applyFont="1">
      <alignment vertical="center"/>
    </xf>
    <xf numFmtId="178" fontId="1" fillId="28" borderId="56" xfId="46" applyNumberFormat="1" applyFont="1" applyFill="1" applyBorder="1" applyAlignment="1">
      <alignment horizontal="right" vertical="center"/>
    </xf>
    <xf numFmtId="186" fontId="1" fillId="28" borderId="18" xfId="46" applyNumberFormat="1" applyFont="1" applyFill="1" applyBorder="1" applyAlignment="1">
      <alignment horizontal="right" vertical="center"/>
    </xf>
    <xf numFmtId="0" fontId="1" fillId="29" borderId="24" xfId="45" applyFont="1" applyFill="1" applyBorder="1" applyAlignment="1"/>
    <xf numFmtId="0" fontId="1" fillId="29" borderId="15" xfId="45" applyFont="1" applyFill="1" applyBorder="1" applyAlignment="1">
      <alignment vertical="top"/>
    </xf>
    <xf numFmtId="0" fontId="1" fillId="29" borderId="81" xfId="45" applyFont="1" applyFill="1" applyBorder="1" applyAlignment="1">
      <alignment vertical="top"/>
    </xf>
    <xf numFmtId="0" fontId="1" fillId="0" borderId="81" xfId="45" applyBorder="1" applyAlignment="1">
      <alignment horizontal="left" vertical="top"/>
    </xf>
    <xf numFmtId="0" fontId="0" fillId="0" borderId="81" xfId="45" applyFont="1" applyBorder="1" applyAlignment="1">
      <alignment horizontal="left" vertical="top"/>
    </xf>
    <xf numFmtId="0" fontId="0" fillId="0" borderId="30" xfId="45" applyFont="1" applyBorder="1" applyAlignment="1">
      <alignment horizontal="left" vertical="top"/>
    </xf>
    <xf numFmtId="0" fontId="0" fillId="0" borderId="30" xfId="0" applyBorder="1" applyAlignment="1">
      <alignment vertical="center" wrapText="1"/>
    </xf>
    <xf numFmtId="0" fontId="0" fillId="0" borderId="30" xfId="0" applyBorder="1" applyAlignment="1">
      <alignment vertical="center"/>
    </xf>
    <xf numFmtId="0" fontId="0" fillId="0" borderId="82" xfId="45" applyFont="1" applyBorder="1" applyAlignment="1">
      <alignment horizontal="left" vertical="top"/>
    </xf>
    <xf numFmtId="0" fontId="0" fillId="0" borderId="83" xfId="45" applyFont="1" applyBorder="1" applyAlignment="1">
      <alignment horizontal="left" vertical="top"/>
    </xf>
    <xf numFmtId="0" fontId="0" fillId="0" borderId="82" xfId="0" applyBorder="1">
      <alignment vertical="center"/>
    </xf>
    <xf numFmtId="0" fontId="0" fillId="0" borderId="83" xfId="0" applyBorder="1">
      <alignment vertical="center"/>
    </xf>
    <xf numFmtId="0" fontId="46" fillId="0" borderId="0" xfId="0" applyFont="1">
      <alignment vertical="center"/>
    </xf>
    <xf numFmtId="0" fontId="0" fillId="0" borderId="0" xfId="0" applyAlignment="1">
      <alignment horizontal="right" vertical="center"/>
    </xf>
    <xf numFmtId="0" fontId="25" fillId="0" borderId="0" xfId="0" applyFont="1" applyBorder="1" applyAlignment="1">
      <alignment horizontal="left" vertical="center"/>
    </xf>
    <xf numFmtId="0" fontId="0" fillId="0" borderId="15" xfId="0" applyBorder="1" applyAlignment="1">
      <alignment vertical="center"/>
    </xf>
    <xf numFmtId="0" fontId="42" fillId="0" borderId="0" xfId="0" applyFont="1">
      <alignment vertical="center"/>
    </xf>
    <xf numFmtId="0" fontId="0" fillId="0" borderId="24" xfId="0" applyBorder="1" applyAlignment="1">
      <alignment vertical="center"/>
    </xf>
    <xf numFmtId="0" fontId="27" fillId="33" borderId="63" xfId="0" applyFont="1" applyFill="1" applyBorder="1" applyAlignment="1">
      <alignment vertical="center"/>
    </xf>
    <xf numFmtId="0" fontId="0" fillId="0" borderId="0" xfId="0" applyBorder="1">
      <alignment vertical="center"/>
    </xf>
    <xf numFmtId="0" fontId="0" fillId="0" borderId="0" xfId="0" applyAlignment="1">
      <alignment horizontal="left" vertical="center"/>
    </xf>
    <xf numFmtId="0" fontId="1" fillId="31" borderId="15" xfId="46" applyNumberFormat="1" applyFont="1" applyFill="1" applyBorder="1" applyAlignment="1">
      <alignment horizontal="left" vertical="top"/>
    </xf>
    <xf numFmtId="0" fontId="1" fillId="27" borderId="10" xfId="44" applyFont="1" applyFill="1" applyBorder="1" applyAlignment="1" applyProtection="1">
      <alignment horizontal="center" vertical="center"/>
    </xf>
    <xf numFmtId="188" fontId="46" fillId="0" borderId="10" xfId="45" applyNumberFormat="1" applyFont="1" applyBorder="1" applyAlignment="1">
      <alignment horizontal="left" vertical="top"/>
    </xf>
    <xf numFmtId="0" fontId="46" fillId="0" borderId="10" xfId="45" applyFont="1" applyBorder="1" applyAlignment="1">
      <alignment horizontal="left" vertical="top"/>
    </xf>
    <xf numFmtId="0" fontId="46" fillId="0" borderId="60" xfId="45" applyFont="1" applyBorder="1" applyAlignment="1">
      <alignment horizontal="left" vertical="top"/>
    </xf>
    <xf numFmtId="0" fontId="46" fillId="0" borderId="30" xfId="45" quotePrefix="1" applyFont="1" applyBorder="1" applyAlignment="1">
      <alignment horizontal="left" vertical="top"/>
    </xf>
    <xf numFmtId="0" fontId="46" fillId="0" borderId="10" xfId="45" applyFont="1" applyBorder="1" applyAlignment="1">
      <alignment horizontal="left" vertical="top" wrapText="1"/>
    </xf>
    <xf numFmtId="0" fontId="0" fillId="0" borderId="10" xfId="46" applyFont="1" applyFill="1" applyBorder="1" applyAlignment="1">
      <alignment horizontal="left" vertical="center" wrapText="1"/>
    </xf>
    <xf numFmtId="49" fontId="0" fillId="0" borderId="18" xfId="46" applyNumberFormat="1" applyFont="1" applyFill="1" applyBorder="1" applyAlignment="1" applyProtection="1">
      <alignment vertical="center"/>
      <protection locked="0"/>
    </xf>
    <xf numFmtId="49" fontId="0" fillId="0" borderId="10" xfId="46" applyNumberFormat="1" applyFont="1" applyFill="1" applyBorder="1" applyAlignment="1" applyProtection="1">
      <alignment vertical="center"/>
      <protection locked="0"/>
    </xf>
    <xf numFmtId="0" fontId="1" fillId="31" borderId="92" xfId="46" applyFont="1" applyFill="1" applyBorder="1" applyAlignment="1">
      <alignment horizontal="center" vertical="center" wrapText="1"/>
    </xf>
    <xf numFmtId="0" fontId="1" fillId="31" borderId="93" xfId="46" applyFont="1" applyFill="1" applyBorder="1" applyAlignment="1">
      <alignment horizontal="center" vertical="center" wrapText="1"/>
    </xf>
    <xf numFmtId="0" fontId="1" fillId="31" borderId="94" xfId="46" applyFont="1" applyFill="1" applyBorder="1" applyAlignment="1">
      <alignment horizontal="center" vertical="center" wrapText="1"/>
    </xf>
    <xf numFmtId="0" fontId="1" fillId="25" borderId="23" xfId="46" applyFont="1" applyFill="1" applyBorder="1" applyAlignment="1">
      <alignment horizontal="center" vertical="center" wrapText="1"/>
    </xf>
    <xf numFmtId="0" fontId="1" fillId="25" borderId="59" xfId="46" applyFont="1" applyFill="1" applyBorder="1" applyAlignment="1">
      <alignment horizontal="center" vertical="center" wrapText="1"/>
    </xf>
    <xf numFmtId="0" fontId="1" fillId="25" borderId="17" xfId="46" applyFont="1" applyFill="1" applyBorder="1" applyAlignment="1">
      <alignment horizontal="center" vertical="center"/>
    </xf>
    <xf numFmtId="0" fontId="1" fillId="25" borderId="35" xfId="46" applyFont="1" applyFill="1" applyBorder="1" applyAlignment="1">
      <alignment horizontal="center" vertical="center"/>
    </xf>
    <xf numFmtId="0" fontId="1" fillId="25" borderId="19" xfId="46" applyFont="1" applyFill="1" applyBorder="1" applyAlignment="1">
      <alignment horizontal="center" vertical="center"/>
    </xf>
    <xf numFmtId="0" fontId="1" fillId="25" borderId="52" xfId="46" applyFont="1" applyFill="1" applyBorder="1" applyAlignment="1">
      <alignment horizontal="center" vertical="center"/>
    </xf>
    <xf numFmtId="0" fontId="25" fillId="25" borderId="54" xfId="46" applyFont="1" applyFill="1" applyBorder="1" applyAlignment="1">
      <alignment horizontal="center" vertical="center"/>
    </xf>
    <xf numFmtId="0" fontId="25" fillId="25" borderId="53" xfId="46" applyFont="1" applyFill="1" applyBorder="1" applyAlignment="1">
      <alignment horizontal="center" vertical="center"/>
    </xf>
    <xf numFmtId="0" fontId="25" fillId="25" borderId="34" xfId="46" applyFont="1" applyFill="1" applyBorder="1" applyAlignment="1">
      <alignment horizontal="center" vertical="center"/>
    </xf>
    <xf numFmtId="0" fontId="1" fillId="25" borderId="10" xfId="46" applyFont="1" applyFill="1" applyBorder="1" applyAlignment="1">
      <alignment horizontal="center" vertical="center" wrapText="1"/>
    </xf>
    <xf numFmtId="0" fontId="1" fillId="25" borderId="56" xfId="46" applyFont="1" applyFill="1" applyBorder="1" applyAlignment="1">
      <alignment horizontal="center" vertical="center" wrapText="1"/>
    </xf>
    <xf numFmtId="0" fontId="1" fillId="25" borderId="15" xfId="46" applyFont="1" applyFill="1" applyBorder="1" applyAlignment="1">
      <alignment horizontal="center" vertical="center"/>
    </xf>
    <xf numFmtId="0" fontId="1" fillId="25" borderId="24" xfId="46" applyFont="1" applyFill="1" applyBorder="1" applyAlignment="1">
      <alignment horizontal="center" vertical="center"/>
    </xf>
    <xf numFmtId="0" fontId="1" fillId="25" borderId="17" xfId="46" applyFont="1" applyFill="1" applyBorder="1" applyAlignment="1">
      <alignment horizontal="center" vertical="center" wrapText="1"/>
    </xf>
    <xf numFmtId="0" fontId="1" fillId="25" borderId="25" xfId="46" applyFont="1" applyFill="1" applyBorder="1" applyAlignment="1">
      <alignment horizontal="center" vertical="center" wrapText="1"/>
    </xf>
    <xf numFmtId="0" fontId="1" fillId="25" borderId="101" xfId="46" applyFont="1" applyFill="1" applyBorder="1" applyAlignment="1">
      <alignment horizontal="center" vertical="center"/>
    </xf>
    <xf numFmtId="0" fontId="1" fillId="25" borderId="15" xfId="46" applyFont="1" applyFill="1" applyBorder="1" applyAlignment="1">
      <alignment horizontal="center" vertical="center" wrapText="1"/>
    </xf>
    <xf numFmtId="0" fontId="1" fillId="25" borderId="55" xfId="46" applyFont="1" applyFill="1" applyBorder="1" applyAlignment="1">
      <alignment horizontal="center" vertical="center" wrapText="1"/>
    </xf>
    <xf numFmtId="0" fontId="1" fillId="25" borderId="49" xfId="44" applyFont="1" applyFill="1" applyBorder="1" applyAlignment="1" applyProtection="1">
      <alignment horizontal="center" vertical="center"/>
    </xf>
    <xf numFmtId="0" fontId="1" fillId="25" borderId="57" xfId="44" applyFont="1" applyFill="1" applyBorder="1" applyAlignment="1" applyProtection="1">
      <alignment horizontal="center" vertical="center"/>
    </xf>
    <xf numFmtId="0" fontId="1" fillId="25" borderId="10" xfId="44" applyFont="1" applyFill="1" applyBorder="1" applyAlignment="1" applyProtection="1">
      <alignment horizontal="center" vertical="center"/>
    </xf>
    <xf numFmtId="0" fontId="1" fillId="25" borderId="56" xfId="44" applyFont="1" applyFill="1" applyBorder="1" applyAlignment="1" applyProtection="1">
      <alignment horizontal="center" vertical="center"/>
    </xf>
    <xf numFmtId="0" fontId="1" fillId="25" borderId="15" xfId="44" applyFont="1" applyFill="1" applyBorder="1" applyAlignment="1" applyProtection="1">
      <alignment horizontal="center" vertical="center"/>
    </xf>
    <xf numFmtId="0" fontId="1" fillId="25" borderId="55" xfId="44" applyFont="1" applyFill="1" applyBorder="1" applyAlignment="1" applyProtection="1">
      <alignment horizontal="center" vertical="center"/>
    </xf>
    <xf numFmtId="9" fontId="1" fillId="25" borderId="17" xfId="46" applyNumberFormat="1" applyFont="1" applyFill="1" applyBorder="1" applyAlignment="1">
      <alignment horizontal="center" vertical="center" wrapText="1"/>
    </xf>
    <xf numFmtId="9" fontId="1" fillId="25" borderId="28" xfId="46" applyNumberFormat="1" applyFont="1" applyFill="1" applyBorder="1" applyAlignment="1">
      <alignment horizontal="center" vertical="center"/>
    </xf>
    <xf numFmtId="9" fontId="1" fillId="25" borderId="35" xfId="46" applyNumberFormat="1" applyFont="1" applyFill="1" applyBorder="1" applyAlignment="1">
      <alignment horizontal="center" vertical="center"/>
    </xf>
    <xf numFmtId="9" fontId="1" fillId="25" borderId="28" xfId="46" applyNumberFormat="1" applyFont="1" applyFill="1" applyBorder="1" applyAlignment="1">
      <alignment horizontal="center" vertical="center" wrapText="1"/>
    </xf>
    <xf numFmtId="9" fontId="1" fillId="25" borderId="35" xfId="46" applyNumberFormat="1" applyFont="1" applyFill="1" applyBorder="1" applyAlignment="1">
      <alignment horizontal="center" vertical="center" wrapText="1"/>
    </xf>
    <xf numFmtId="0" fontId="1" fillId="25" borderId="28" xfId="46" applyFont="1" applyFill="1" applyBorder="1" applyAlignment="1">
      <alignment horizontal="center" vertical="center"/>
    </xf>
    <xf numFmtId="0" fontId="1" fillId="31" borderId="15" xfId="46" applyFont="1" applyFill="1" applyBorder="1" applyAlignment="1">
      <alignment horizontal="center" vertical="center" wrapText="1"/>
    </xf>
    <xf numFmtId="0" fontId="1" fillId="31" borderId="55" xfId="46" applyFont="1" applyFill="1" applyBorder="1" applyAlignment="1">
      <alignment horizontal="center" vertical="center"/>
    </xf>
    <xf numFmtId="0" fontId="1" fillId="25" borderId="10" xfId="46" applyFont="1" applyFill="1" applyBorder="1" applyAlignment="1">
      <alignment horizontal="center" vertical="center"/>
    </xf>
    <xf numFmtId="0" fontId="1" fillId="25" borderId="56" xfId="46" applyFont="1" applyFill="1" applyBorder="1" applyAlignment="1">
      <alignment horizontal="center" vertical="center"/>
    </xf>
    <xf numFmtId="0" fontId="1" fillId="25" borderId="21" xfId="44" applyFont="1" applyFill="1" applyBorder="1" applyAlignment="1" applyProtection="1">
      <alignment horizontal="center" vertical="center"/>
    </xf>
    <xf numFmtId="0" fontId="1" fillId="25" borderId="30" xfId="44" applyFont="1" applyFill="1" applyBorder="1" applyAlignment="1" applyProtection="1">
      <alignment horizontal="center" vertical="center"/>
    </xf>
    <xf numFmtId="0" fontId="1" fillId="25" borderId="32" xfId="44" applyFont="1" applyFill="1" applyBorder="1" applyAlignment="1" applyProtection="1">
      <alignment horizontal="center" vertical="center"/>
    </xf>
    <xf numFmtId="0" fontId="1" fillId="25" borderId="23" xfId="46" applyFont="1" applyFill="1" applyBorder="1" applyAlignment="1">
      <alignment horizontal="center" vertical="center"/>
    </xf>
    <xf numFmtId="0" fontId="1" fillId="25" borderId="47" xfId="46" applyFont="1" applyFill="1" applyBorder="1" applyAlignment="1">
      <alignment horizontal="center" vertical="center"/>
    </xf>
    <xf numFmtId="0" fontId="1" fillId="34" borderId="50" xfId="46" applyFont="1" applyFill="1" applyBorder="1" applyAlignment="1">
      <alignment horizontal="center" vertical="center" wrapText="1"/>
    </xf>
    <xf numFmtId="0" fontId="1" fillId="34" borderId="14" xfId="46" applyFont="1" applyFill="1" applyBorder="1" applyAlignment="1">
      <alignment horizontal="center" vertical="center" wrapText="1"/>
    </xf>
    <xf numFmtId="0" fontId="1" fillId="34" borderId="17" xfId="46" applyFont="1" applyFill="1" applyBorder="1" applyAlignment="1">
      <alignment horizontal="center" vertical="center" wrapText="1"/>
    </xf>
    <xf numFmtId="0" fontId="1" fillId="34" borderId="35" xfId="46" applyFont="1" applyFill="1" applyBorder="1" applyAlignment="1">
      <alignment horizontal="center" vertical="center" wrapText="1"/>
    </xf>
    <xf numFmtId="0" fontId="1" fillId="34" borderId="17" xfId="44" applyFont="1" applyFill="1" applyBorder="1" applyAlignment="1" applyProtection="1">
      <alignment horizontal="center" vertical="center"/>
    </xf>
    <xf numFmtId="0" fontId="1" fillId="34" borderId="35" xfId="44" applyFont="1" applyFill="1" applyBorder="1" applyAlignment="1" applyProtection="1">
      <alignment horizontal="center" vertical="center"/>
    </xf>
    <xf numFmtId="0" fontId="1" fillId="25" borderId="0" xfId="46" applyFont="1" applyFill="1" applyBorder="1" applyAlignment="1">
      <alignment horizontal="center" vertical="center" wrapText="1"/>
    </xf>
    <xf numFmtId="0" fontId="1" fillId="25" borderId="101" xfId="46" applyFont="1" applyFill="1" applyBorder="1" applyAlignment="1">
      <alignment horizontal="center" vertical="center" wrapText="1"/>
    </xf>
    <xf numFmtId="0" fontId="1" fillId="31" borderId="19" xfId="46" applyFont="1" applyFill="1" applyBorder="1" applyAlignment="1">
      <alignment horizontal="center" vertical="center" wrapText="1"/>
    </xf>
    <xf numFmtId="0" fontId="1" fillId="31" borderId="42" xfId="46" applyFont="1" applyFill="1" applyBorder="1" applyAlignment="1">
      <alignment horizontal="center" vertical="center" wrapText="1"/>
    </xf>
    <xf numFmtId="0" fontId="1" fillId="31" borderId="52" xfId="46" applyFont="1" applyFill="1" applyBorder="1" applyAlignment="1">
      <alignment horizontal="center" vertical="center" wrapText="1"/>
    </xf>
    <xf numFmtId="0" fontId="1" fillId="25" borderId="16" xfId="46" applyFont="1" applyFill="1" applyBorder="1" applyAlignment="1">
      <alignment horizontal="center" vertical="center" wrapText="1"/>
    </xf>
    <xf numFmtId="0" fontId="1" fillId="25" borderId="100" xfId="46" applyFont="1" applyFill="1" applyBorder="1" applyAlignment="1">
      <alignment horizontal="center" vertical="center" wrapText="1"/>
    </xf>
    <xf numFmtId="0" fontId="1" fillId="25" borderId="24" xfId="44" applyFont="1" applyFill="1" applyBorder="1" applyAlignment="1" applyProtection="1">
      <alignment horizontal="center" vertical="center"/>
    </xf>
    <xf numFmtId="0" fontId="1" fillId="25" borderId="25" xfId="46" applyFont="1" applyFill="1" applyBorder="1" applyAlignment="1">
      <alignment horizontal="center" vertical="center"/>
    </xf>
    <xf numFmtId="0" fontId="1" fillId="35" borderId="10" xfId="46" applyFont="1" applyFill="1" applyBorder="1" applyAlignment="1">
      <alignment horizontal="center" vertical="center" wrapText="1"/>
    </xf>
    <xf numFmtId="0" fontId="1" fillId="35" borderId="10" xfId="46" applyFont="1" applyFill="1" applyBorder="1" applyAlignment="1">
      <alignment horizontal="center" vertical="center"/>
    </xf>
    <xf numFmtId="0" fontId="1" fillId="35" borderId="56" xfId="46" applyFont="1" applyFill="1" applyBorder="1" applyAlignment="1">
      <alignment horizontal="center" vertical="center"/>
    </xf>
    <xf numFmtId="0" fontId="1" fillId="35" borderId="56" xfId="46" applyFont="1" applyFill="1" applyBorder="1" applyAlignment="1">
      <alignment horizontal="center" vertical="center" wrapText="1"/>
    </xf>
    <xf numFmtId="0" fontId="3" fillId="34" borderId="17" xfId="44" applyFont="1" applyFill="1" applyBorder="1" applyAlignment="1" applyProtection="1">
      <alignment horizontal="center" vertical="center" wrapText="1"/>
    </xf>
    <xf numFmtId="0" fontId="3" fillId="34" borderId="28" xfId="44" applyFont="1" applyFill="1" applyBorder="1" applyAlignment="1" applyProtection="1">
      <alignment horizontal="center" vertical="center" wrapText="1"/>
    </xf>
    <xf numFmtId="0" fontId="3" fillId="34" borderId="35" xfId="44" applyFont="1" applyFill="1" applyBorder="1" applyAlignment="1" applyProtection="1">
      <alignment horizontal="center" vertical="center" wrapText="1"/>
    </xf>
    <xf numFmtId="0" fontId="1" fillId="34" borderId="17" xfId="44" applyFont="1" applyFill="1" applyBorder="1" applyAlignment="1" applyProtection="1">
      <alignment horizontal="center" vertical="center" wrapText="1"/>
    </xf>
    <xf numFmtId="0" fontId="1" fillId="34" borderId="28" xfId="44" applyFont="1" applyFill="1" applyBorder="1" applyAlignment="1" applyProtection="1">
      <alignment horizontal="center" vertical="center" wrapText="1"/>
    </xf>
    <xf numFmtId="0" fontId="1" fillId="34" borderId="35" xfId="44" applyFont="1" applyFill="1" applyBorder="1" applyAlignment="1" applyProtection="1">
      <alignment horizontal="center" vertical="center" wrapText="1"/>
    </xf>
    <xf numFmtId="0" fontId="1" fillId="34" borderId="19" xfId="44" applyFont="1" applyFill="1" applyBorder="1" applyAlignment="1" applyProtection="1">
      <alignment horizontal="center" vertical="center" wrapText="1"/>
    </xf>
    <xf numFmtId="0" fontId="1" fillId="34" borderId="42" xfId="44" applyFont="1" applyFill="1" applyBorder="1" applyAlignment="1" applyProtection="1">
      <alignment horizontal="center" vertical="center" wrapText="1"/>
    </xf>
    <xf numFmtId="0" fontId="1" fillId="34" borderId="52" xfId="44" applyFont="1" applyFill="1" applyBorder="1" applyAlignment="1" applyProtection="1">
      <alignment horizontal="center" vertical="center" wrapText="1"/>
    </xf>
    <xf numFmtId="9" fontId="1" fillId="35" borderId="15" xfId="46" applyNumberFormat="1" applyFont="1" applyFill="1" applyBorder="1" applyAlignment="1">
      <alignment horizontal="center" vertical="center" wrapText="1"/>
    </xf>
    <xf numFmtId="9" fontId="1" fillId="35" borderId="15" xfId="46" applyNumberFormat="1" applyFont="1" applyFill="1" applyBorder="1" applyAlignment="1">
      <alignment horizontal="center" vertical="center"/>
    </xf>
    <xf numFmtId="9" fontId="1" fillId="35" borderId="55" xfId="46" applyNumberFormat="1" applyFont="1" applyFill="1" applyBorder="1" applyAlignment="1">
      <alignment horizontal="center" vertical="center"/>
    </xf>
    <xf numFmtId="0" fontId="1" fillId="25" borderId="49" xfId="46" applyFont="1" applyFill="1" applyBorder="1" applyAlignment="1">
      <alignment horizontal="center" vertical="center"/>
    </xf>
    <xf numFmtId="0" fontId="1" fillId="25" borderId="57" xfId="46" applyFont="1" applyFill="1" applyBorder="1" applyAlignment="1">
      <alignment horizontal="center" vertical="center"/>
    </xf>
    <xf numFmtId="0" fontId="1" fillId="35" borderId="15" xfId="46" applyFont="1" applyFill="1" applyBorder="1" applyAlignment="1">
      <alignment horizontal="center" vertical="center" wrapText="1"/>
    </xf>
    <xf numFmtId="0" fontId="1" fillId="35" borderId="55" xfId="46" applyFont="1" applyFill="1" applyBorder="1" applyAlignment="1">
      <alignment horizontal="center" vertical="center" wrapText="1"/>
    </xf>
    <xf numFmtId="0" fontId="1" fillId="25" borderId="99" xfId="46" applyFont="1" applyFill="1" applyBorder="1" applyAlignment="1">
      <alignment horizontal="center" vertical="center" wrapText="1"/>
    </xf>
    <xf numFmtId="0" fontId="1" fillId="25" borderId="88" xfId="46" applyFont="1" applyFill="1" applyBorder="1" applyAlignment="1">
      <alignment horizontal="center" vertical="center"/>
    </xf>
    <xf numFmtId="0" fontId="1" fillId="25" borderId="89" xfId="46" applyFont="1" applyFill="1" applyBorder="1" applyAlignment="1">
      <alignment horizontal="center" vertical="center"/>
    </xf>
    <xf numFmtId="0" fontId="1" fillId="25" borderId="84" xfId="44" applyFont="1" applyFill="1" applyBorder="1" applyAlignment="1" applyProtection="1">
      <alignment horizontal="center" vertical="center"/>
    </xf>
    <xf numFmtId="0" fontId="3" fillId="35" borderId="49" xfId="44" applyFont="1" applyFill="1" applyBorder="1" applyAlignment="1" applyProtection="1">
      <alignment horizontal="center" vertical="center"/>
    </xf>
    <xf numFmtId="0" fontId="3" fillId="35" borderId="57" xfId="44" applyFont="1" applyFill="1" applyBorder="1" applyAlignment="1" applyProtection="1">
      <alignment horizontal="center" vertical="center"/>
    </xf>
    <xf numFmtId="0" fontId="3" fillId="35" borderId="10" xfId="44" applyFont="1" applyFill="1" applyBorder="1" applyAlignment="1" applyProtection="1">
      <alignment horizontal="center" vertical="center"/>
    </xf>
    <xf numFmtId="0" fontId="3" fillId="35" borderId="56" xfId="44" applyFont="1" applyFill="1" applyBorder="1" applyAlignment="1" applyProtection="1">
      <alignment horizontal="center" vertical="center"/>
    </xf>
    <xf numFmtId="0" fontId="1" fillId="25" borderId="40" xfId="46" applyFont="1" applyFill="1" applyBorder="1" applyAlignment="1">
      <alignment horizontal="center" vertical="center" wrapText="1"/>
    </xf>
    <xf numFmtId="0" fontId="1" fillId="25" borderId="84" xfId="46" applyFont="1" applyFill="1" applyBorder="1" applyAlignment="1">
      <alignment horizontal="center" vertical="center" wrapText="1"/>
    </xf>
    <xf numFmtId="0" fontId="26" fillId="0" borderId="0" xfId="46" applyFont="1" applyAlignment="1">
      <alignment vertical="center"/>
    </xf>
    <xf numFmtId="0" fontId="1" fillId="34" borderId="54" xfId="46" applyFont="1" applyFill="1" applyBorder="1" applyAlignment="1">
      <alignment horizontal="center" vertical="center"/>
    </xf>
    <xf numFmtId="0" fontId="1" fillId="34" borderId="53" xfId="46" applyFont="1" applyFill="1" applyBorder="1" applyAlignment="1">
      <alignment horizontal="center" vertical="center"/>
    </xf>
    <xf numFmtId="0" fontId="1" fillId="34" borderId="34" xfId="46" applyFont="1" applyFill="1" applyBorder="1" applyAlignment="1">
      <alignment horizontal="center" vertical="center"/>
    </xf>
    <xf numFmtId="0" fontId="1" fillId="35" borderId="54" xfId="46" applyFont="1" applyFill="1" applyBorder="1" applyAlignment="1">
      <alignment horizontal="center" vertical="center"/>
    </xf>
    <xf numFmtId="0" fontId="1" fillId="35" borderId="53" xfId="46" applyFont="1" applyFill="1" applyBorder="1" applyAlignment="1">
      <alignment horizontal="center" vertical="center"/>
    </xf>
    <xf numFmtId="0" fontId="1" fillId="25" borderId="54" xfId="46" applyFont="1" applyFill="1" applyBorder="1" applyAlignment="1">
      <alignment horizontal="center" vertical="center"/>
    </xf>
    <xf numFmtId="0" fontId="1" fillId="25" borderId="53" xfId="46" applyFont="1" applyFill="1" applyBorder="1" applyAlignment="1">
      <alignment horizontal="center" vertical="center"/>
    </xf>
    <xf numFmtId="0" fontId="1" fillId="25" borderId="34" xfId="46" applyFont="1" applyFill="1" applyBorder="1" applyAlignment="1">
      <alignment horizontal="center" vertical="center"/>
    </xf>
    <xf numFmtId="0" fontId="1" fillId="25" borderId="85" xfId="46" applyFont="1" applyFill="1" applyBorder="1" applyAlignment="1">
      <alignment horizontal="center" vertical="center" wrapText="1"/>
    </xf>
    <xf numFmtId="0" fontId="1" fillId="25" borderId="86" xfId="46" applyFont="1" applyFill="1" applyBorder="1" applyAlignment="1">
      <alignment horizontal="center" vertical="center" wrapText="1"/>
    </xf>
    <xf numFmtId="0" fontId="1" fillId="25" borderId="87" xfId="46" applyFont="1" applyFill="1" applyBorder="1" applyAlignment="1">
      <alignment horizontal="center" vertical="center" wrapText="1"/>
    </xf>
    <xf numFmtId="0" fontId="1" fillId="34" borderId="85" xfId="46" applyFont="1" applyFill="1" applyBorder="1" applyAlignment="1">
      <alignment horizontal="center" vertical="center" wrapText="1"/>
    </xf>
    <xf numFmtId="0" fontId="1" fillId="34" borderId="95" xfId="46" applyFont="1" applyFill="1" applyBorder="1" applyAlignment="1">
      <alignment horizontal="center" vertical="center" wrapText="1"/>
    </xf>
    <xf numFmtId="0" fontId="1" fillId="34" borderId="39" xfId="46" applyFont="1" applyFill="1" applyBorder="1" applyAlignment="1">
      <alignment horizontal="center" vertical="center" wrapText="1"/>
    </xf>
    <xf numFmtId="0" fontId="1" fillId="34" borderId="40" xfId="46" applyFont="1" applyFill="1" applyBorder="1" applyAlignment="1">
      <alignment horizontal="center" vertical="center" wrapText="1"/>
    </xf>
    <xf numFmtId="0" fontId="1" fillId="34" borderId="96" xfId="44" applyFont="1" applyFill="1" applyBorder="1" applyAlignment="1" applyProtection="1">
      <alignment horizontal="center" vertical="center" wrapText="1"/>
    </xf>
    <xf numFmtId="0" fontId="1" fillId="34" borderId="88" xfId="44" applyFont="1" applyFill="1" applyBorder="1" applyAlignment="1" applyProtection="1">
      <alignment horizontal="center" vertical="center" wrapText="1"/>
    </xf>
    <xf numFmtId="0" fontId="1" fillId="34" borderId="97" xfId="44" applyFont="1" applyFill="1" applyBorder="1" applyAlignment="1" applyProtection="1">
      <alignment horizontal="center" vertical="center" wrapText="1"/>
    </xf>
    <xf numFmtId="0" fontId="3" fillId="34" borderId="37" xfId="44" applyFont="1" applyFill="1" applyBorder="1" applyAlignment="1" applyProtection="1">
      <alignment horizontal="center" vertical="center"/>
    </xf>
    <xf numFmtId="0" fontId="3" fillId="34" borderId="0" xfId="44" applyFont="1" applyFill="1" applyBorder="1" applyAlignment="1" applyProtection="1">
      <alignment horizontal="center" vertical="center"/>
    </xf>
    <xf numFmtId="0" fontId="3" fillId="34" borderId="98" xfId="44" applyFont="1" applyFill="1" applyBorder="1" applyAlignment="1" applyProtection="1">
      <alignment horizontal="center" vertical="center"/>
    </xf>
    <xf numFmtId="0" fontId="1" fillId="25" borderId="85" xfId="46" applyFont="1" applyFill="1" applyBorder="1" applyAlignment="1">
      <alignment horizontal="center" vertical="center"/>
    </xf>
    <xf numFmtId="0" fontId="1" fillId="25" borderId="90" xfId="46" applyFont="1" applyFill="1" applyBorder="1" applyAlignment="1">
      <alignment horizontal="center" vertical="center"/>
    </xf>
    <xf numFmtId="0" fontId="1" fillId="25" borderId="91" xfId="46" applyFont="1" applyFill="1" applyBorder="1" applyAlignment="1">
      <alignment horizontal="center" vertical="center"/>
    </xf>
    <xf numFmtId="0" fontId="1" fillId="34" borderId="31" xfId="44" applyFont="1" applyFill="1" applyBorder="1" applyAlignment="1" applyProtection="1">
      <alignment horizontal="center" vertical="center"/>
    </xf>
    <xf numFmtId="0" fontId="1" fillId="34" borderId="40" xfId="44" applyFont="1" applyFill="1" applyBorder="1" applyAlignment="1" applyProtection="1">
      <alignment horizontal="center" vertical="center"/>
    </xf>
    <xf numFmtId="0" fontId="1" fillId="34" borderId="18" xfId="44" applyFont="1" applyFill="1" applyBorder="1" applyAlignment="1" applyProtection="1">
      <alignment horizontal="center" vertical="center" wrapText="1"/>
    </xf>
    <xf numFmtId="0" fontId="1" fillId="34" borderId="10" xfId="44" applyFont="1" applyFill="1" applyBorder="1" applyAlignment="1" applyProtection="1">
      <alignment horizontal="center" vertical="center" wrapText="1"/>
    </xf>
    <xf numFmtId="0" fontId="1" fillId="34" borderId="56" xfId="44" applyFont="1" applyFill="1" applyBorder="1" applyAlignment="1" applyProtection="1">
      <alignment horizontal="center" vertical="center" wrapText="1"/>
    </xf>
    <xf numFmtId="0" fontId="1" fillId="34" borderId="10" xfId="44" applyFont="1" applyFill="1" applyBorder="1" applyAlignment="1" applyProtection="1">
      <alignment horizontal="center" vertical="center"/>
    </xf>
    <xf numFmtId="0" fontId="1" fillId="34" borderId="56" xfId="44" applyFont="1" applyFill="1" applyBorder="1" applyAlignment="1" applyProtection="1">
      <alignment horizontal="center" vertical="center"/>
    </xf>
    <xf numFmtId="0" fontId="3" fillId="34" borderId="10" xfId="44" applyFont="1" applyFill="1" applyBorder="1" applyAlignment="1" applyProtection="1">
      <alignment horizontal="center" vertical="center" wrapText="1"/>
    </xf>
    <xf numFmtId="0" fontId="3" fillId="34" borderId="10" xfId="44" applyFont="1" applyFill="1" applyBorder="1" applyAlignment="1" applyProtection="1">
      <alignment horizontal="center" vertical="center"/>
    </xf>
    <xf numFmtId="0" fontId="3" fillId="34" borderId="56" xfId="44" applyFont="1" applyFill="1" applyBorder="1" applyAlignment="1" applyProtection="1">
      <alignment horizontal="center" vertical="center"/>
    </xf>
    <xf numFmtId="0" fontId="3" fillId="35" borderId="18" xfId="44" applyFont="1" applyFill="1" applyBorder="1" applyAlignment="1" applyProtection="1">
      <alignment horizontal="center" vertical="center"/>
    </xf>
    <xf numFmtId="0" fontId="1" fillId="35" borderId="37" xfId="46" applyFont="1" applyFill="1" applyBorder="1" applyAlignment="1">
      <alignment horizontal="center" vertical="center"/>
    </xf>
    <xf numFmtId="0" fontId="1" fillId="35" borderId="0" xfId="46" applyFont="1" applyFill="1" applyBorder="1" applyAlignment="1">
      <alignment horizontal="center" vertical="center"/>
    </xf>
    <xf numFmtId="0" fontId="1" fillId="35" borderId="46" xfId="46" applyFont="1" applyFill="1" applyBorder="1" applyAlignment="1">
      <alignment horizontal="center" vertical="center"/>
    </xf>
    <xf numFmtId="0" fontId="3" fillId="35" borderId="37" xfId="46" applyFont="1" applyFill="1" applyBorder="1" applyAlignment="1">
      <alignment horizontal="center" vertical="center"/>
    </xf>
    <xf numFmtId="0" fontId="3" fillId="35" borderId="0" xfId="46" applyFont="1" applyFill="1" applyBorder="1" applyAlignment="1">
      <alignment horizontal="center" vertical="center"/>
    </xf>
    <xf numFmtId="0" fontId="0" fillId="25" borderId="10" xfId="0" applyFill="1" applyBorder="1" applyAlignment="1">
      <alignment horizontal="center" vertical="center"/>
    </xf>
    <xf numFmtId="0" fontId="0" fillId="25" borderId="15" xfId="0" applyFill="1" applyBorder="1" applyAlignment="1">
      <alignment horizontal="center" vertical="center"/>
    </xf>
    <xf numFmtId="0" fontId="0" fillId="25" borderId="24" xfId="0" applyFill="1" applyBorder="1" applyAlignment="1">
      <alignment horizontal="center" vertical="center"/>
    </xf>
    <xf numFmtId="0" fontId="0" fillId="25" borderId="30" xfId="0" applyFill="1" applyBorder="1" applyAlignment="1">
      <alignment horizontal="center" vertical="center"/>
    </xf>
    <xf numFmtId="0" fontId="0" fillId="0" borderId="17" xfId="45" applyFont="1" applyBorder="1" applyAlignment="1">
      <alignment horizontal="left" vertical="top"/>
    </xf>
    <xf numFmtId="0" fontId="0" fillId="0" borderId="28" xfId="45" applyFont="1" applyBorder="1" applyAlignment="1">
      <alignment horizontal="left" vertical="top"/>
    </xf>
    <xf numFmtId="0" fontId="0" fillId="0" borderId="18" xfId="45" applyFont="1" applyBorder="1" applyAlignment="1">
      <alignment horizontal="left" vertical="top"/>
    </xf>
    <xf numFmtId="188" fontId="1" fillId="0" borderId="17" xfId="45" applyNumberFormat="1" applyBorder="1" applyAlignment="1">
      <alignment horizontal="left" vertical="top"/>
    </xf>
    <xf numFmtId="188" fontId="1" fillId="0" borderId="28" xfId="45" applyNumberFormat="1" applyBorder="1" applyAlignment="1">
      <alignment horizontal="left" vertical="top"/>
    </xf>
    <xf numFmtId="188" fontId="1" fillId="0" borderId="18" xfId="45" applyNumberFormat="1" applyBorder="1" applyAlignment="1">
      <alignment horizontal="left" vertical="top"/>
    </xf>
    <xf numFmtId="0" fontId="0" fillId="0" borderId="17" xfId="0" applyBorder="1" applyAlignment="1">
      <alignment horizontal="left" vertical="center" wrapText="1"/>
    </xf>
    <xf numFmtId="0" fontId="0" fillId="0" borderId="18" xfId="0" applyBorder="1" applyAlignment="1">
      <alignment horizontal="left" vertical="center"/>
    </xf>
    <xf numFmtId="0" fontId="27" fillId="33" borderId="54" xfId="0" applyFont="1" applyFill="1" applyBorder="1" applyAlignment="1">
      <alignment horizontal="left" vertical="center"/>
    </xf>
    <xf numFmtId="0" fontId="27" fillId="33" borderId="53" xfId="0" applyFont="1" applyFill="1" applyBorder="1" applyAlignment="1">
      <alignment horizontal="left" vertical="center"/>
    </xf>
    <xf numFmtId="0" fontId="27" fillId="33" borderId="34" xfId="0" applyFont="1" applyFill="1" applyBorder="1" applyAlignment="1">
      <alignment horizontal="left" vertical="center"/>
    </xf>
    <xf numFmtId="0" fontId="1" fillId="27" borderId="0" xfId="44" applyFont="1" applyFill="1" applyBorder="1" applyAlignment="1" applyProtection="1">
      <alignment horizontal="center" vertical="center"/>
    </xf>
    <xf numFmtId="178" fontId="1" fillId="28" borderId="0" xfId="46" applyNumberFormat="1" applyFont="1" applyFill="1" applyBorder="1" applyAlignment="1">
      <alignment vertical="top" wrapText="1"/>
    </xf>
    <xf numFmtId="0" fontId="1" fillId="34" borderId="15" xfId="44" applyFont="1" applyFill="1" applyBorder="1" applyAlignment="1" applyProtection="1">
      <alignment horizontal="center" vertical="center"/>
    </xf>
    <xf numFmtId="0" fontId="1" fillId="34" borderId="24" xfId="44" applyFont="1" applyFill="1" applyBorder="1" applyAlignment="1" applyProtection="1">
      <alignment horizontal="center" vertical="center"/>
    </xf>
    <xf numFmtId="0" fontId="1" fillId="34" borderId="30" xfId="44" applyFont="1" applyFill="1" applyBorder="1" applyAlignment="1" applyProtection="1">
      <alignment horizontal="center" vertical="center"/>
    </xf>
    <xf numFmtId="0" fontId="0" fillId="34" borderId="17" xfId="44" applyFont="1" applyFill="1" applyBorder="1" applyAlignment="1" applyProtection="1">
      <alignment horizontal="center" vertical="center"/>
    </xf>
    <xf numFmtId="0" fontId="3" fillId="35" borderId="99" xfId="44" applyFont="1" applyFill="1" applyBorder="1" applyAlignment="1" applyProtection="1">
      <alignment horizontal="center" vertical="center"/>
    </xf>
    <xf numFmtId="0" fontId="3" fillId="35" borderId="88" xfId="44" applyFont="1" applyFill="1" applyBorder="1" applyAlignment="1" applyProtection="1">
      <alignment horizontal="center" vertical="center"/>
    </xf>
    <xf numFmtId="0" fontId="3" fillId="35" borderId="97" xfId="44" applyFont="1" applyFill="1" applyBorder="1" applyAlignment="1" applyProtection="1">
      <alignment horizontal="center" vertical="center"/>
    </xf>
  </cellXfs>
  <cellStyles count="48">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桁区切り" xfId="34" builtinId="6"/>
    <cellStyle name="桁区切り 2" xfId="35" xr:uid="{00000000-0005-0000-0000-000022000000}"/>
    <cellStyle name="見出し 1" xfId="36" builtinId="16" customBuiltin="1"/>
    <cellStyle name="見出し 2" xfId="37" builtinId="17" customBuiltin="1"/>
    <cellStyle name="見出し 3" xfId="38" builtinId="18" customBuiltin="1"/>
    <cellStyle name="見出し 4" xfId="39" builtinId="19" customBuiltin="1"/>
    <cellStyle name="集計" xfId="40" builtinId="25" customBuiltin="1"/>
    <cellStyle name="出力" xfId="41" builtinId="21" customBuiltin="1"/>
    <cellStyle name="説明文" xfId="42" builtinId="53" customBuiltin="1"/>
    <cellStyle name="入力" xfId="43" builtinId="20" customBuiltin="1"/>
    <cellStyle name="標準" xfId="0" builtinId="0"/>
    <cellStyle name="標準 2" xfId="44" xr:uid="{00000000-0005-0000-0000-00002C000000}"/>
    <cellStyle name="標準 2 2" xfId="45" xr:uid="{00000000-0005-0000-0000-00002D000000}"/>
    <cellStyle name="標準_単体プロセス管理表（原紙）" xfId="46" xr:uid="{00000000-0005-0000-0000-00002E000000}"/>
    <cellStyle name="良い" xfId="47" builtinId="26" customBuiltin="1"/>
  </cellStyles>
  <dxfs count="6">
    <dxf>
      <fill>
        <patternFill>
          <bgColor rgb="FFFFC000"/>
        </patternFill>
      </fill>
    </dxf>
    <dxf>
      <fill>
        <patternFill>
          <bgColor rgb="FFFF0000"/>
        </patternFill>
      </fill>
    </dxf>
    <dxf>
      <fill>
        <patternFill>
          <bgColor rgb="FFFF0000"/>
        </patternFill>
      </fill>
    </dxf>
    <dxf>
      <fill>
        <patternFill>
          <bgColor rgb="FFFFC000"/>
        </patternFill>
      </fill>
    </dxf>
    <dxf>
      <font>
        <b/>
        <i val="0"/>
        <color rgb="FFFF0000"/>
      </font>
    </dxf>
    <dxf>
      <font>
        <b/>
        <i val="0"/>
        <color rgb="FFFF0000"/>
      </font>
    </dxf>
  </dxfs>
  <tableStyles count="0" defaultTableStyle="TableStyleMedium2" defaultPivotStyle="PivotStyleLight16"/>
  <colors>
    <mruColors>
      <color rgb="FFFFFF99"/>
      <color rgb="FF33CCFF"/>
      <color rgb="FF33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6</xdr:col>
      <xdr:colOff>9525</xdr:colOff>
      <xdr:row>35</xdr:row>
      <xdr:rowOff>95250</xdr:rowOff>
    </xdr:from>
    <xdr:to>
      <xdr:col>6</xdr:col>
      <xdr:colOff>904875</xdr:colOff>
      <xdr:row>35</xdr:row>
      <xdr:rowOff>95250</xdr:rowOff>
    </xdr:to>
    <xdr:cxnSp macro="">
      <xdr:nvCxnSpPr>
        <xdr:cNvPr id="8" name="直線矢印コネクタ 7">
          <a:extLst>
            <a:ext uri="{FF2B5EF4-FFF2-40B4-BE49-F238E27FC236}">
              <a16:creationId xmlns:a16="http://schemas.microsoft.com/office/drawing/2014/main" id="{00000000-0008-0000-0300-000008000000}"/>
            </a:ext>
          </a:extLst>
        </xdr:cNvPr>
        <xdr:cNvCxnSpPr/>
      </xdr:nvCxnSpPr>
      <xdr:spPr>
        <a:xfrm>
          <a:off x="3781425" y="4086225"/>
          <a:ext cx="895350" cy="0"/>
        </a:xfrm>
        <a:prstGeom prst="straightConnector1">
          <a:avLst/>
        </a:prstGeom>
        <a:ln w="19050">
          <a:solidFill>
            <a:srgbClr val="FF0000"/>
          </a:solidFill>
          <a:prstDash val="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36</xdr:row>
      <xdr:rowOff>85725</xdr:rowOff>
    </xdr:from>
    <xdr:to>
      <xdr:col>6</xdr:col>
      <xdr:colOff>914400</xdr:colOff>
      <xdr:row>36</xdr:row>
      <xdr:rowOff>95250</xdr:rowOff>
    </xdr:to>
    <xdr:cxnSp macro="">
      <xdr:nvCxnSpPr>
        <xdr:cNvPr id="9" name="直線矢印コネクタ 8">
          <a:extLst>
            <a:ext uri="{FF2B5EF4-FFF2-40B4-BE49-F238E27FC236}">
              <a16:creationId xmlns:a16="http://schemas.microsoft.com/office/drawing/2014/main" id="{00000000-0008-0000-0300-000009000000}"/>
            </a:ext>
          </a:extLst>
        </xdr:cNvPr>
        <xdr:cNvCxnSpPr/>
      </xdr:nvCxnSpPr>
      <xdr:spPr>
        <a:xfrm flipV="1">
          <a:off x="1924050" y="4257675"/>
          <a:ext cx="2762250" cy="9525"/>
        </a:xfrm>
        <a:prstGeom prst="straightConnector1">
          <a:avLst/>
        </a:prstGeom>
        <a:ln w="19050">
          <a:solidFill>
            <a:srgbClr val="FF0000"/>
          </a:solidFill>
          <a:prstDash val="dash"/>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22412</xdr:colOff>
      <xdr:row>18</xdr:row>
      <xdr:rowOff>22412</xdr:rowOff>
    </xdr:from>
    <xdr:to>
      <xdr:col>11</xdr:col>
      <xdr:colOff>22412</xdr:colOff>
      <xdr:row>21</xdr:row>
      <xdr:rowOff>11206</xdr:rowOff>
    </xdr:to>
    <xdr:sp macro="" textlink="">
      <xdr:nvSpPr>
        <xdr:cNvPr id="23" name="正方形/長方形 22">
          <a:extLst>
            <a:ext uri="{FF2B5EF4-FFF2-40B4-BE49-F238E27FC236}">
              <a16:creationId xmlns:a16="http://schemas.microsoft.com/office/drawing/2014/main" id="{00000000-0008-0000-0300-000017000000}"/>
            </a:ext>
          </a:extLst>
        </xdr:cNvPr>
        <xdr:cNvSpPr/>
      </xdr:nvSpPr>
      <xdr:spPr>
        <a:xfrm>
          <a:off x="123265" y="2980765"/>
          <a:ext cx="8516471" cy="493059"/>
        </a:xfrm>
        <a:prstGeom prst="rect">
          <a:avLst/>
        </a:prstGeom>
        <a:noFill/>
        <a:ln w="317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3</xdr:col>
      <xdr:colOff>549088</xdr:colOff>
      <xdr:row>21</xdr:row>
      <xdr:rowOff>123264</xdr:rowOff>
    </xdr:from>
    <xdr:to>
      <xdr:col>6</xdr:col>
      <xdr:colOff>728382</xdr:colOff>
      <xdr:row>23</xdr:row>
      <xdr:rowOff>89647</xdr:rowOff>
    </xdr:to>
    <xdr:sp macro="" textlink="">
      <xdr:nvSpPr>
        <xdr:cNvPr id="24" name="角丸四角形吹き出し 23">
          <a:extLst>
            <a:ext uri="{FF2B5EF4-FFF2-40B4-BE49-F238E27FC236}">
              <a16:creationId xmlns:a16="http://schemas.microsoft.com/office/drawing/2014/main" id="{00000000-0008-0000-0300-000018000000}"/>
            </a:ext>
          </a:extLst>
        </xdr:cNvPr>
        <xdr:cNvSpPr/>
      </xdr:nvSpPr>
      <xdr:spPr>
        <a:xfrm>
          <a:off x="1815353" y="2723029"/>
          <a:ext cx="2935941" cy="324971"/>
        </a:xfrm>
        <a:prstGeom prst="wedgeRoundRectCallout">
          <a:avLst>
            <a:gd name="adj1" fmla="val 9509"/>
            <a:gd name="adj2" fmla="val -99569"/>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項番</a:t>
          </a:r>
          <a:r>
            <a:rPr kumimoji="1" lang="en-US" altLang="ja-JP" sz="1100">
              <a:solidFill>
                <a:sysClr val="windowText" lastClr="000000"/>
              </a:solidFill>
            </a:rPr>
            <a:t>3</a:t>
          </a:r>
          <a:r>
            <a:rPr kumimoji="1" lang="ja-JP" altLang="en-US" sz="1100">
              <a:solidFill>
                <a:sysClr val="windowText" lastClr="000000"/>
              </a:solidFill>
            </a:rPr>
            <a:t>～</a:t>
          </a:r>
          <a:r>
            <a:rPr kumimoji="1" lang="en-US" altLang="ja-JP" sz="1100">
              <a:solidFill>
                <a:sysClr val="windowText" lastClr="000000"/>
              </a:solidFill>
            </a:rPr>
            <a:t>5</a:t>
          </a:r>
          <a:r>
            <a:rPr kumimoji="1" lang="ja-JP" altLang="en-US" sz="1100">
              <a:solidFill>
                <a:sysClr val="windowText" lastClr="000000"/>
              </a:solidFill>
            </a:rPr>
            <a:t>が、消化率の母数に入っていない。</a:t>
          </a:r>
        </a:p>
      </xdr:txBody>
    </xdr:sp>
    <xdr:clientData/>
  </xdr:twoCellAnchor>
  <xdr:twoCellAnchor>
    <xdr:from>
      <xdr:col>2</xdr:col>
      <xdr:colOff>190500</xdr:colOff>
      <xdr:row>37</xdr:row>
      <xdr:rowOff>123265</xdr:rowOff>
    </xdr:from>
    <xdr:to>
      <xdr:col>6</xdr:col>
      <xdr:colOff>795619</xdr:colOff>
      <xdr:row>39</xdr:row>
      <xdr:rowOff>89648</xdr:rowOff>
    </xdr:to>
    <xdr:sp macro="" textlink="">
      <xdr:nvSpPr>
        <xdr:cNvPr id="25" name="角丸四角形吹き出し 24">
          <a:extLst>
            <a:ext uri="{FF2B5EF4-FFF2-40B4-BE49-F238E27FC236}">
              <a16:creationId xmlns:a16="http://schemas.microsoft.com/office/drawing/2014/main" id="{00000000-0008-0000-0300-000019000000}"/>
            </a:ext>
          </a:extLst>
        </xdr:cNvPr>
        <xdr:cNvSpPr/>
      </xdr:nvSpPr>
      <xdr:spPr>
        <a:xfrm>
          <a:off x="560294" y="5546912"/>
          <a:ext cx="4258237" cy="324971"/>
        </a:xfrm>
        <a:prstGeom prst="wedgeRoundRectCallout">
          <a:avLst>
            <a:gd name="adj1" fmla="val 53784"/>
            <a:gd name="adj2" fmla="val -85776"/>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PCL</a:t>
          </a:r>
          <a:r>
            <a:rPr kumimoji="1" lang="ja-JP" altLang="en-US" sz="1100">
              <a:solidFill>
                <a:sysClr val="windowText" lastClr="000000"/>
              </a:solidFill>
            </a:rPr>
            <a:t>作成完了前のﾌﾟﾛｸﾞﾗﾑは</a:t>
          </a:r>
          <a:r>
            <a:rPr kumimoji="1" lang="en-US" altLang="ja-JP" sz="1100">
              <a:solidFill>
                <a:sysClr val="windowText" lastClr="000000"/>
              </a:solidFill>
            </a:rPr>
            <a:t>PCL</a:t>
          </a:r>
          <a:r>
            <a:rPr kumimoji="1" lang="ja-JP" altLang="en-US" sz="1100">
              <a:solidFill>
                <a:sysClr val="windowText" lastClr="000000"/>
              </a:solidFill>
            </a:rPr>
            <a:t>予定件数を進捗率の母数に追加。</a:t>
          </a:r>
        </a:p>
      </xdr:txBody>
    </xdr:sp>
    <xdr:clientData/>
  </xdr:twoCellAnchor>
  <xdr:twoCellAnchor>
    <xdr:from>
      <xdr:col>9</xdr:col>
      <xdr:colOff>739586</xdr:colOff>
      <xdr:row>4</xdr:row>
      <xdr:rowOff>56031</xdr:rowOff>
    </xdr:from>
    <xdr:to>
      <xdr:col>13</xdr:col>
      <xdr:colOff>661145</xdr:colOff>
      <xdr:row>11</xdr:row>
      <xdr:rowOff>89646</xdr:rowOff>
    </xdr:to>
    <xdr:sp macro="" textlink="">
      <xdr:nvSpPr>
        <xdr:cNvPr id="2" name="正方形/長方形 1">
          <a:extLst>
            <a:ext uri="{FF2B5EF4-FFF2-40B4-BE49-F238E27FC236}">
              <a16:creationId xmlns:a16="http://schemas.microsoft.com/office/drawing/2014/main" id="{00000000-0008-0000-0300-000002000000}"/>
            </a:ext>
          </a:extLst>
        </xdr:cNvPr>
        <xdr:cNvSpPr/>
      </xdr:nvSpPr>
      <xdr:spPr>
        <a:xfrm>
          <a:off x="7519145" y="784413"/>
          <a:ext cx="3361765" cy="1423145"/>
        </a:xfrm>
        <a:prstGeom prst="rect">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kumimoji="1" lang="en-US" altLang="ja-JP" sz="1400">
              <a:solidFill>
                <a:sysClr val="windowText" lastClr="000000"/>
              </a:solidFill>
              <a:effectLst/>
              <a:latin typeface="+mn-lt"/>
              <a:ea typeface="+mn-ea"/>
              <a:cs typeface="+mn-cs"/>
            </a:rPr>
            <a:t>※V2.0(UT</a:t>
          </a:r>
          <a:r>
            <a:rPr kumimoji="1" lang="ja-JP" altLang="en-US" sz="1400">
              <a:solidFill>
                <a:sysClr val="windowText" lastClr="000000"/>
              </a:solidFill>
              <a:effectLst/>
              <a:latin typeface="+mn-lt"/>
              <a:ea typeface="+mn-ea"/>
              <a:cs typeface="+mn-cs"/>
            </a:rPr>
            <a:t>シート</a:t>
          </a:r>
          <a:r>
            <a:rPr kumimoji="1" lang="en-US" altLang="ja-JP" sz="1400">
              <a:solidFill>
                <a:sysClr val="windowText" lastClr="000000"/>
              </a:solidFill>
              <a:effectLst/>
              <a:latin typeface="+mn-lt"/>
              <a:ea typeface="+mn-ea"/>
              <a:cs typeface="+mn-cs"/>
            </a:rPr>
            <a:t>)</a:t>
          </a:r>
          <a:r>
            <a:rPr kumimoji="1" lang="ja-JP" altLang="ja-JP" sz="1400">
              <a:solidFill>
                <a:sysClr val="windowText" lastClr="000000"/>
              </a:solidFill>
              <a:effectLst/>
              <a:latin typeface="+mn-lt"/>
              <a:ea typeface="+mn-ea"/>
              <a:cs typeface="+mn-cs"/>
            </a:rPr>
            <a:t>を使用</a:t>
          </a:r>
          <a:r>
            <a:rPr kumimoji="1" lang="ja-JP" altLang="en-US" sz="1400">
              <a:solidFill>
                <a:sysClr val="windowText" lastClr="000000"/>
              </a:solidFill>
              <a:effectLst/>
              <a:latin typeface="+mn-lt"/>
              <a:ea typeface="+mn-ea"/>
              <a:cs typeface="+mn-cs"/>
            </a:rPr>
            <a:t>しプロジェクト作業</a:t>
          </a:r>
          <a:r>
            <a:rPr kumimoji="1" lang="ja-JP" altLang="ja-JP" sz="1400">
              <a:solidFill>
                <a:sysClr val="windowText" lastClr="000000"/>
              </a:solidFill>
              <a:effectLst/>
              <a:latin typeface="+mn-lt"/>
              <a:ea typeface="+mn-ea"/>
              <a:cs typeface="+mn-cs"/>
            </a:rPr>
            <a:t>中の場合</a:t>
          </a:r>
          <a:r>
            <a:rPr kumimoji="1" lang="ja-JP" altLang="en-US" sz="1400">
              <a:solidFill>
                <a:sysClr val="windowText" lastClr="000000"/>
              </a:solidFill>
              <a:effectLst/>
              <a:latin typeface="+mn-lt"/>
              <a:ea typeface="+mn-ea"/>
              <a:cs typeface="+mn-cs"/>
            </a:rPr>
            <a:t>、２項に記載の手順で、</a:t>
          </a:r>
          <a:r>
            <a:rPr kumimoji="1" lang="en-US" altLang="ja-JP" sz="1400">
              <a:solidFill>
                <a:sysClr val="windowText" lastClr="000000"/>
              </a:solidFill>
              <a:effectLst/>
              <a:latin typeface="+mn-lt"/>
              <a:ea typeface="+mn-ea"/>
              <a:cs typeface="+mn-cs"/>
            </a:rPr>
            <a:t>V2.1</a:t>
          </a:r>
          <a:r>
            <a:rPr kumimoji="1" lang="ja-JP" altLang="ja-JP" sz="1400">
              <a:solidFill>
                <a:sysClr val="windowText" lastClr="000000"/>
              </a:solidFill>
              <a:effectLst/>
              <a:latin typeface="+mn-lt"/>
              <a:ea typeface="+mn-ea"/>
              <a:cs typeface="+mn-cs"/>
            </a:rPr>
            <a:t>のシートに自動転記</a:t>
          </a:r>
          <a:r>
            <a:rPr kumimoji="1" lang="ja-JP" altLang="en-US" sz="1400">
              <a:solidFill>
                <a:sysClr val="windowText" lastClr="000000"/>
              </a:solidFill>
              <a:effectLst/>
              <a:latin typeface="+mn-lt"/>
              <a:ea typeface="+mn-ea"/>
              <a:cs typeface="+mn-cs"/>
            </a:rPr>
            <a:t>出来ます。</a:t>
          </a:r>
          <a:endParaRPr kumimoji="1" lang="en-US" altLang="ja-JP" sz="1400">
            <a:solidFill>
              <a:sysClr val="windowText" lastClr="000000"/>
            </a:solidFill>
            <a:effectLst/>
            <a:latin typeface="+mn-lt"/>
            <a:ea typeface="+mn-ea"/>
            <a:cs typeface="+mn-cs"/>
          </a:endParaRPr>
        </a:p>
        <a:p>
          <a:r>
            <a:rPr kumimoji="1" lang="ja-JP" altLang="en-US" sz="1200">
              <a:solidFill>
                <a:srgbClr val="FF0000"/>
              </a:solidFill>
            </a:rPr>
            <a:t>（ただし、書式を個別にカスタマイズしている場合は、自動転記不可）</a:t>
          </a:r>
        </a:p>
      </xdr:txBody>
    </xdr:sp>
    <xdr:clientData/>
  </xdr:twoCellAnchor>
  <mc:AlternateContent xmlns:mc="http://schemas.openxmlformats.org/markup-compatibility/2006">
    <mc:Choice xmlns:a14="http://schemas.microsoft.com/office/drawing/2010/main" Requires="a14">
      <xdr:twoCellAnchor>
        <xdr:from>
          <xdr:col>3</xdr:col>
          <xdr:colOff>60960</xdr:colOff>
          <xdr:row>92</xdr:row>
          <xdr:rowOff>99060</xdr:rowOff>
        </xdr:from>
        <xdr:to>
          <xdr:col>4</xdr:col>
          <xdr:colOff>213360</xdr:colOff>
          <xdr:row>94</xdr:row>
          <xdr:rowOff>83820</xdr:rowOff>
        </xdr:to>
        <xdr:sp macro="" textlink="">
          <xdr:nvSpPr>
            <xdr:cNvPr id="42293" name="ボタン 309" hidden="1">
              <a:extLst>
                <a:ext uri="{63B3BB69-23CF-44E3-9099-C40C66FF867C}">
                  <a14:compatExt spid="_x0000_s42293"/>
                </a:ext>
                <a:ext uri="{FF2B5EF4-FFF2-40B4-BE49-F238E27FC236}">
                  <a16:creationId xmlns:a16="http://schemas.microsoft.com/office/drawing/2014/main" id="{00000000-0008-0000-0300-000035A5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転記処理実行</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21.122.166\hj_&#12489;&#12461;&#12517;\Documents%20and%20Settings\user\&#12487;&#12473;&#12463;&#12488;&#12483;&#12503;\work\01_EXH\03_&#26908;&#26619;\01_HR\&#21172;&#20685;&#32773;&#21517;&#31807;\PCL\&#21172;&#20685;&#32773;&#21517;&#31807;_&#24115;&#31080;\&#12304;PCL&#12305;__&#21172;&#21517;&#24115;&#31080;&#24467;&#26989;&#21729;&#22522;&#26412;&#12487;&#12540;&#12479;&#21462;&#24471;AP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来歴"/>
      <sheetName val="品質チェックシート"/>
      <sheetName val="テストケース一覧"/>
      <sheetName val="チェックリスト"/>
      <sheetName val="PCL1"/>
      <sheetName val="PCL2"/>
      <sheetName val="PCL3"/>
      <sheetName val="PCL4"/>
      <sheetName val="PCL5"/>
      <sheetName val="PCL6"/>
      <sheetName val="自動発番"/>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U76"/>
  <sheetViews>
    <sheetView showGridLines="0" tabSelected="1" view="pageBreakPreview" zoomScaleNormal="85" zoomScaleSheetLayoutView="100" workbookViewId="0">
      <pane xSplit="6" ySplit="12" topLeftCell="O13" activePane="bottomRight" state="frozen"/>
      <selection activeCell="B13" sqref="B13"/>
      <selection pane="topRight" activeCell="B13" sqref="B13"/>
      <selection pane="bottomLeft" activeCell="B13" sqref="B13"/>
      <selection pane="bottomRight" activeCell="AH21" sqref="AH21:AI32"/>
    </sheetView>
  </sheetViews>
  <sheetFormatPr defaultColWidth="9" defaultRowHeight="13.2" x14ac:dyDescent="0.2"/>
  <cols>
    <col min="1" max="1" width="5.88671875" style="3" customWidth="1"/>
    <col min="2" max="2" width="11.21875" style="3" bestFit="1" customWidth="1"/>
    <col min="3" max="3" width="22.6640625" style="3" customWidth="1"/>
    <col min="4" max="4" width="27.21875" style="3" customWidth="1"/>
    <col min="5" max="5" width="9.44140625" style="3" bestFit="1" customWidth="1"/>
    <col min="6" max="6" width="9.88671875" style="3" bestFit="1" customWidth="1"/>
    <col min="7" max="7" width="9.44140625" style="3" customWidth="1"/>
    <col min="8" max="8" width="11.88671875" style="3" customWidth="1"/>
    <col min="9" max="9" width="13" style="3" bestFit="1" customWidth="1"/>
    <col min="10" max="10" width="8" style="3" bestFit="1" customWidth="1"/>
    <col min="11" max="12" width="7.88671875" style="3" customWidth="1"/>
    <col min="13" max="13" width="11.6640625" style="3" customWidth="1"/>
    <col min="14" max="14" width="12" style="3" customWidth="1"/>
    <col min="15" max="15" width="5.77734375" style="3" bestFit="1" customWidth="1"/>
    <col min="16" max="16" width="5.6640625" style="3" customWidth="1"/>
    <col min="17" max="17" width="6.77734375" style="3" bestFit="1" customWidth="1"/>
    <col min="18" max="19" width="6.88671875" style="3" hidden="1" customWidth="1"/>
    <col min="20" max="20" width="5.6640625" style="3" hidden="1" customWidth="1"/>
    <col min="21" max="23" width="7.44140625" style="3" hidden="1" customWidth="1"/>
    <col min="24" max="24" width="9.33203125" style="3" hidden="1" customWidth="1"/>
    <col min="25" max="25" width="9.21875" style="3" hidden="1" customWidth="1"/>
    <col min="26" max="26" width="7.88671875" style="3" hidden="1" customWidth="1"/>
    <col min="27" max="27" width="9" style="3" hidden="1" customWidth="1"/>
    <col min="28" max="28" width="11.33203125" style="3" hidden="1" customWidth="1"/>
    <col min="29" max="29" width="17.77734375" style="3" hidden="1" customWidth="1"/>
    <col min="30" max="30" width="7.109375" style="3" hidden="1" customWidth="1"/>
    <col min="31" max="31" width="5.6640625" style="3" bestFit="1" customWidth="1"/>
    <col min="32" max="32" width="7.21875" style="3" bestFit="1" customWidth="1"/>
    <col min="33" max="33" width="5.6640625" style="3" customWidth="1"/>
    <col min="34" max="35" width="7.21875" style="3" bestFit="1" customWidth="1"/>
    <col min="36" max="36" width="6.44140625" style="3" hidden="1" customWidth="1"/>
    <col min="37" max="38" width="5.6640625" style="3" hidden="1" customWidth="1"/>
    <col min="39" max="39" width="6.44140625" style="3" hidden="1" customWidth="1"/>
    <col min="40" max="40" width="9.21875" style="3" hidden="1" customWidth="1"/>
    <col min="41" max="41" width="6.44140625" style="3" hidden="1" customWidth="1"/>
    <col min="42" max="43" width="5.6640625" style="3" hidden="1" customWidth="1"/>
    <col min="44" max="44" width="6.44140625" style="3" hidden="1" customWidth="1"/>
    <col min="45" max="45" width="9.21875" style="3" hidden="1" customWidth="1"/>
    <col min="46" max="46" width="7.77734375" style="4" hidden="1" customWidth="1"/>
    <col min="47" max="47" width="6.44140625" style="3" hidden="1" customWidth="1"/>
    <col min="48" max="49" width="5.6640625" style="3" hidden="1" customWidth="1"/>
    <col min="50" max="50" width="6.44140625" style="3" hidden="1" customWidth="1"/>
    <col min="51" max="51" width="9" style="3" hidden="1" customWidth="1"/>
    <col min="52" max="55" width="5.6640625" style="4" customWidth="1"/>
    <col min="56" max="58" width="5.6640625" style="5" hidden="1" customWidth="1"/>
    <col min="59" max="59" width="6.33203125" style="5" hidden="1" customWidth="1"/>
    <col min="60" max="60" width="14.21875" style="5" hidden="1" customWidth="1"/>
    <col min="61" max="61" width="5.77734375" style="3" hidden="1" customWidth="1"/>
    <col min="62" max="63" width="5.6640625" style="3" hidden="1" customWidth="1"/>
    <col min="64" max="64" width="7.6640625" style="3" hidden="1" customWidth="1"/>
    <col min="65" max="65" width="5.6640625" style="3" hidden="1" customWidth="1"/>
    <col min="66" max="66" width="7" style="3" hidden="1" customWidth="1"/>
    <col min="67" max="67" width="7.44140625" style="4" hidden="1" customWidth="1"/>
    <col min="68" max="68" width="13.77734375" style="6" hidden="1" customWidth="1"/>
    <col min="69" max="69" width="7.44140625" style="4" hidden="1" customWidth="1"/>
    <col min="70" max="70" width="7" style="3" hidden="1" customWidth="1"/>
    <col min="71" max="71" width="28" style="3" hidden="1" customWidth="1"/>
    <col min="72" max="72" width="14.21875" style="5" hidden="1" customWidth="1"/>
    <col min="73" max="74" width="7.6640625" style="4" customWidth="1"/>
    <col min="75" max="75" width="5.44140625" style="4" customWidth="1"/>
    <col min="76" max="76" width="6.21875" style="4" customWidth="1"/>
    <col min="77" max="77" width="11.21875" style="3" hidden="1" customWidth="1"/>
    <col min="78" max="78" width="11.33203125" style="3" hidden="1" customWidth="1"/>
    <col min="79" max="81" width="5.6640625" style="3" hidden="1" customWidth="1"/>
    <col min="82" max="82" width="7.77734375" style="3" hidden="1" customWidth="1"/>
    <col min="83" max="83" width="12.109375" style="3" hidden="1" customWidth="1"/>
    <col min="84" max="84" width="8.33203125" style="3" hidden="1" customWidth="1"/>
    <col min="85" max="85" width="6.77734375" style="3" hidden="1" customWidth="1"/>
    <col min="86" max="86" width="25.77734375" style="3" hidden="1" customWidth="1"/>
    <col min="87" max="88" width="5.44140625" style="3" hidden="1" customWidth="1"/>
    <col min="89" max="89" width="25.77734375" style="3" customWidth="1"/>
    <col min="90" max="91" width="11.21875" style="3" customWidth="1"/>
    <col min="92" max="92" width="1.6640625" style="3" customWidth="1"/>
    <col min="93" max="95" width="9" style="3" customWidth="1"/>
    <col min="96" max="16384" width="9" style="1"/>
  </cols>
  <sheetData>
    <row r="1" spans="1:255" s="118" customFormat="1" ht="23.25" customHeight="1" x14ac:dyDescent="0.2">
      <c r="A1" s="458" t="s">
        <v>259</v>
      </c>
      <c r="B1" s="458"/>
      <c r="C1" s="458"/>
      <c r="D1" s="458"/>
      <c r="G1" s="115"/>
      <c r="H1" s="115"/>
      <c r="I1" s="115"/>
      <c r="J1" s="115"/>
      <c r="K1" s="115"/>
      <c r="L1" s="115"/>
      <c r="Q1" s="115"/>
      <c r="R1" s="115"/>
      <c r="S1" s="115"/>
      <c r="T1" s="116"/>
      <c r="U1" s="8"/>
      <c r="V1" s="8"/>
      <c r="W1" s="8"/>
      <c r="X1" s="8"/>
      <c r="Y1" s="8"/>
      <c r="Z1" s="8"/>
      <c r="AA1" s="8"/>
      <c r="AB1" s="8"/>
      <c r="AC1" s="85"/>
      <c r="AD1" s="8"/>
      <c r="AE1" s="8"/>
      <c r="AF1" s="8"/>
      <c r="AG1" s="8"/>
      <c r="AH1" s="8"/>
      <c r="AI1" s="8"/>
      <c r="AJ1" s="115"/>
      <c r="AK1" s="115"/>
      <c r="AL1" s="115"/>
      <c r="AM1" s="115"/>
      <c r="AN1" s="115"/>
      <c r="AO1" s="115"/>
      <c r="AP1" s="115"/>
      <c r="AQ1" s="115"/>
      <c r="AR1" s="115"/>
      <c r="AS1" s="115"/>
      <c r="AT1" s="117"/>
      <c r="AU1" s="143"/>
      <c r="AV1" s="115"/>
      <c r="AW1" s="115"/>
      <c r="AX1" s="115"/>
      <c r="AY1" s="115"/>
      <c r="AZ1" s="146" t="s">
        <v>64</v>
      </c>
      <c r="BA1" s="50" t="s">
        <v>15</v>
      </c>
      <c r="BB1" s="50"/>
      <c r="BC1" s="50"/>
      <c r="BD1" s="50"/>
      <c r="BE1" s="50"/>
      <c r="BG1" s="146" t="s">
        <v>64</v>
      </c>
      <c r="BH1" s="148" t="s">
        <v>130</v>
      </c>
      <c r="BI1" s="148"/>
      <c r="BJ1" s="148"/>
      <c r="BL1" s="146" t="s">
        <v>64</v>
      </c>
      <c r="BM1" s="50" t="s">
        <v>17</v>
      </c>
      <c r="BN1" s="50"/>
      <c r="BO1" s="50"/>
      <c r="BP1" s="50"/>
      <c r="BQ1" s="50"/>
      <c r="BR1" s="50"/>
      <c r="BS1" s="90"/>
      <c r="BT1" s="90"/>
      <c r="BV1" s="117"/>
      <c r="BW1" s="117"/>
      <c r="BX1" s="117"/>
      <c r="BY1" s="115"/>
      <c r="BZ1" s="115"/>
      <c r="CA1" s="115"/>
      <c r="CB1" s="115"/>
      <c r="CC1" s="115"/>
      <c r="CD1" s="115"/>
      <c r="CE1" s="115"/>
      <c r="CF1" s="115"/>
      <c r="CG1" s="115"/>
      <c r="CH1" s="115"/>
      <c r="CI1" s="115"/>
      <c r="CJ1" s="115"/>
      <c r="CK1" s="115"/>
      <c r="CL1" s="115"/>
      <c r="CM1" s="115"/>
      <c r="CN1" s="115"/>
      <c r="CO1" s="115"/>
      <c r="CP1" s="115"/>
      <c r="CQ1" s="115"/>
      <c r="CR1" s="115"/>
      <c r="CS1" s="115"/>
      <c r="CT1" s="115"/>
      <c r="CU1" s="115"/>
      <c r="CV1" s="115"/>
      <c r="CW1" s="115"/>
      <c r="CX1" s="115"/>
      <c r="CY1" s="115"/>
      <c r="CZ1" s="115"/>
      <c r="DA1" s="115"/>
      <c r="DB1" s="115"/>
      <c r="DC1" s="115"/>
      <c r="DD1" s="115"/>
      <c r="DE1" s="115"/>
      <c r="DF1" s="115"/>
      <c r="DG1" s="115"/>
      <c r="DH1" s="115"/>
      <c r="DI1" s="115"/>
      <c r="DJ1" s="115"/>
      <c r="DK1" s="115"/>
      <c r="DL1" s="115"/>
      <c r="DM1" s="115"/>
      <c r="DN1" s="115"/>
      <c r="DO1" s="115"/>
      <c r="DP1" s="115"/>
      <c r="DQ1" s="115"/>
      <c r="DR1" s="115"/>
      <c r="DS1" s="115"/>
      <c r="DT1" s="115"/>
      <c r="DU1" s="115"/>
      <c r="DV1" s="115"/>
      <c r="DW1" s="115"/>
      <c r="DX1" s="115"/>
      <c r="DY1" s="115"/>
      <c r="DZ1" s="115"/>
      <c r="EA1" s="115"/>
      <c r="EB1" s="115"/>
      <c r="EC1" s="115"/>
      <c r="ED1" s="115"/>
      <c r="EE1" s="115"/>
      <c r="EF1" s="115"/>
      <c r="EG1" s="115"/>
      <c r="EH1" s="115"/>
      <c r="EI1" s="115"/>
      <c r="EJ1" s="115"/>
      <c r="EK1" s="115"/>
      <c r="EL1" s="115"/>
      <c r="EM1" s="115"/>
      <c r="EN1" s="115"/>
      <c r="EO1" s="115"/>
      <c r="EP1" s="115"/>
      <c r="EQ1" s="115"/>
      <c r="ER1" s="115"/>
      <c r="ES1" s="115"/>
      <c r="ET1" s="115"/>
      <c r="EU1" s="115"/>
      <c r="EV1" s="115"/>
      <c r="EW1" s="115"/>
      <c r="EX1" s="115"/>
      <c r="EY1" s="115"/>
      <c r="EZ1" s="115"/>
      <c r="FA1" s="115"/>
      <c r="FB1" s="115"/>
      <c r="FC1" s="115"/>
      <c r="FD1" s="115"/>
      <c r="FE1" s="115"/>
      <c r="FF1" s="115"/>
      <c r="FG1" s="115"/>
      <c r="FH1" s="115"/>
      <c r="FI1" s="115"/>
      <c r="FJ1" s="115"/>
      <c r="FK1" s="115"/>
      <c r="FL1" s="115"/>
      <c r="FM1" s="115"/>
      <c r="FN1" s="115"/>
      <c r="FO1" s="115"/>
      <c r="FP1" s="115"/>
      <c r="FQ1" s="115"/>
      <c r="FR1" s="115"/>
      <c r="FS1" s="115"/>
      <c r="FT1" s="115"/>
      <c r="FU1" s="115"/>
      <c r="FV1" s="115"/>
      <c r="FW1" s="115"/>
      <c r="FX1" s="115"/>
      <c r="FY1" s="115"/>
      <c r="FZ1" s="115"/>
      <c r="GA1" s="115"/>
      <c r="GB1" s="115"/>
      <c r="GC1" s="115"/>
      <c r="GD1" s="115"/>
      <c r="GE1" s="115"/>
      <c r="GF1" s="115"/>
      <c r="GG1" s="115"/>
      <c r="GH1" s="115"/>
      <c r="GI1" s="115"/>
      <c r="GJ1" s="115"/>
      <c r="GK1" s="115"/>
      <c r="GL1" s="115"/>
      <c r="GM1" s="115"/>
      <c r="GN1" s="115"/>
      <c r="GO1" s="115"/>
      <c r="GP1" s="115"/>
      <c r="GQ1" s="115"/>
      <c r="GR1" s="115"/>
      <c r="GS1" s="115"/>
      <c r="GT1" s="115"/>
      <c r="GU1" s="115"/>
      <c r="GV1" s="115"/>
      <c r="GW1" s="115"/>
      <c r="GX1" s="115"/>
      <c r="GY1" s="115"/>
      <c r="GZ1" s="115"/>
      <c r="HA1" s="115"/>
      <c r="HB1" s="115"/>
      <c r="HC1" s="115"/>
      <c r="HD1" s="115"/>
      <c r="HE1" s="115"/>
      <c r="HF1" s="115"/>
      <c r="HG1" s="115"/>
      <c r="HH1" s="115"/>
      <c r="HI1" s="115"/>
      <c r="HJ1" s="115"/>
      <c r="HK1" s="115"/>
      <c r="HL1" s="115"/>
      <c r="HM1" s="115"/>
      <c r="HN1" s="115"/>
      <c r="HO1" s="115"/>
      <c r="HP1" s="115"/>
      <c r="HQ1" s="115"/>
      <c r="HR1" s="115"/>
      <c r="HS1" s="115"/>
      <c r="HT1" s="115"/>
      <c r="HU1" s="115"/>
      <c r="HV1" s="115"/>
      <c r="HW1" s="115"/>
      <c r="HX1" s="115"/>
      <c r="HY1" s="115"/>
      <c r="HZ1" s="115"/>
      <c r="IA1" s="115"/>
      <c r="IB1" s="115"/>
      <c r="IC1" s="115"/>
      <c r="ID1" s="115"/>
      <c r="IE1" s="115"/>
      <c r="IF1" s="115"/>
      <c r="IG1" s="115"/>
      <c r="IH1" s="115"/>
      <c r="II1" s="115"/>
      <c r="IJ1" s="115"/>
      <c r="IK1" s="115"/>
      <c r="IL1" s="115"/>
      <c r="IM1" s="115"/>
      <c r="IN1" s="115"/>
      <c r="IO1" s="115"/>
      <c r="IP1" s="115"/>
      <c r="IQ1" s="115"/>
      <c r="IR1" s="115"/>
      <c r="IS1" s="115"/>
      <c r="IT1" s="115"/>
      <c r="IU1" s="115"/>
    </row>
    <row r="2" spans="1:255" ht="14.25" customHeight="1" x14ac:dyDescent="0.2">
      <c r="D2" s="174" t="s">
        <v>28</v>
      </c>
      <c r="E2" s="100"/>
      <c r="G2" s="50" t="s">
        <v>102</v>
      </c>
      <c r="H2" s="50"/>
      <c r="I2" s="250" t="s">
        <v>79</v>
      </c>
      <c r="K2" s="50" t="s">
        <v>76</v>
      </c>
      <c r="L2" s="50"/>
      <c r="M2" s="50"/>
      <c r="N2" s="50"/>
      <c r="O2" s="50"/>
      <c r="P2" s="118"/>
      <c r="Q2" s="115"/>
      <c r="R2" s="115"/>
      <c r="S2" s="115"/>
      <c r="U2" s="7"/>
      <c r="V2" s="7"/>
      <c r="W2" s="7"/>
      <c r="X2" s="8"/>
      <c r="Y2" s="8"/>
      <c r="Z2" s="8"/>
      <c r="AA2" s="8"/>
      <c r="AB2" s="8"/>
      <c r="AC2" s="85"/>
      <c r="AD2" s="8"/>
      <c r="AE2" s="8"/>
      <c r="AF2" s="8"/>
      <c r="AG2" s="8"/>
      <c r="AH2" s="8"/>
      <c r="AI2" s="8"/>
      <c r="AZ2" s="147" t="s">
        <v>65</v>
      </c>
      <c r="BA2" s="179" t="s">
        <v>14</v>
      </c>
      <c r="BB2" s="76"/>
      <c r="BC2" s="76"/>
      <c r="BD2" s="76"/>
      <c r="BE2" s="33">
        <v>90</v>
      </c>
      <c r="BG2" s="147" t="s">
        <v>67</v>
      </c>
      <c r="BH2" s="179" t="s">
        <v>32</v>
      </c>
      <c r="BI2" s="177"/>
      <c r="BJ2" s="9">
        <v>0.6</v>
      </c>
      <c r="BL2" s="147" t="s">
        <v>71</v>
      </c>
      <c r="BM2" s="179" t="s">
        <v>29</v>
      </c>
      <c r="BN2" s="76"/>
      <c r="BO2" s="76"/>
      <c r="BP2" s="76"/>
      <c r="BQ2" s="76"/>
      <c r="BR2" s="34">
        <v>0.2</v>
      </c>
      <c r="BS2" s="90"/>
      <c r="BT2" s="90"/>
      <c r="BU2" s="1"/>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c r="IS2" s="3"/>
      <c r="IT2" s="3"/>
      <c r="IU2" s="3"/>
    </row>
    <row r="3" spans="1:255" ht="14.25" customHeight="1" x14ac:dyDescent="0.2">
      <c r="D3" s="205" t="s">
        <v>26</v>
      </c>
      <c r="E3" s="56" t="s">
        <v>13</v>
      </c>
      <c r="G3" s="163" t="s">
        <v>39</v>
      </c>
      <c r="H3" s="144"/>
      <c r="I3" s="51">
        <v>0.8</v>
      </c>
      <c r="K3" s="206" t="s">
        <v>92</v>
      </c>
      <c r="L3" s="206" t="s">
        <v>93</v>
      </c>
      <c r="M3" s="362" t="s">
        <v>261</v>
      </c>
      <c r="N3" s="362" t="s">
        <v>262</v>
      </c>
      <c r="O3" s="514"/>
      <c r="P3" s="118"/>
      <c r="Q3" s="115"/>
      <c r="R3" s="115"/>
      <c r="S3" s="115"/>
      <c r="T3" s="7"/>
      <c r="U3" s="7"/>
      <c r="V3" s="7"/>
      <c r="W3" s="7"/>
      <c r="X3" s="8"/>
      <c r="Y3" s="8"/>
      <c r="Z3" s="8"/>
      <c r="AA3" s="8"/>
      <c r="AB3" s="8"/>
      <c r="AC3" s="85"/>
      <c r="AD3" s="8"/>
      <c r="AE3" s="8"/>
      <c r="AF3" s="8"/>
      <c r="AG3" s="8"/>
      <c r="AH3" s="8"/>
      <c r="AI3" s="8"/>
      <c r="AZ3" s="147" t="s">
        <v>66</v>
      </c>
      <c r="BA3" s="179" t="s">
        <v>16</v>
      </c>
      <c r="BB3" s="76"/>
      <c r="BC3" s="76"/>
      <c r="BD3" s="76"/>
      <c r="BE3" s="33">
        <v>12</v>
      </c>
      <c r="BG3" s="147" t="s">
        <v>68</v>
      </c>
      <c r="BH3" s="179" t="s">
        <v>33</v>
      </c>
      <c r="BI3" s="177"/>
      <c r="BJ3" s="9">
        <v>0.15</v>
      </c>
      <c r="BL3" s="147" t="s">
        <v>72</v>
      </c>
      <c r="BM3" s="179" t="s">
        <v>31</v>
      </c>
      <c r="BN3" s="76"/>
      <c r="BO3" s="76"/>
      <c r="BP3" s="76"/>
      <c r="BQ3" s="76"/>
      <c r="BR3" s="34">
        <v>0</v>
      </c>
      <c r="BS3" s="90"/>
      <c r="BT3" s="90"/>
      <c r="BU3" s="1"/>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row>
    <row r="4" spans="1:255" ht="14.25" customHeight="1" x14ac:dyDescent="0.2">
      <c r="D4" s="205" t="s">
        <v>27</v>
      </c>
      <c r="E4" s="57">
        <f>IF(ISERROR($I$3*U73+$I$4*AD73)=TRUE,0,($I$3*U73+$I$4*AD73))</f>
        <v>0.50802919708029204</v>
      </c>
      <c r="G4" s="163" t="s">
        <v>80</v>
      </c>
      <c r="H4" s="144"/>
      <c r="I4" s="51">
        <v>0.2</v>
      </c>
      <c r="K4" s="155">
        <f>$K73</f>
        <v>56050</v>
      </c>
      <c r="L4" s="155">
        <f>$L73</f>
        <v>0</v>
      </c>
      <c r="M4" s="155">
        <f>$AS73</f>
        <v>5497</v>
      </c>
      <c r="N4" s="155">
        <f>$AY73</f>
        <v>0</v>
      </c>
      <c r="O4" s="515"/>
      <c r="P4" s="118"/>
      <c r="Q4" s="115"/>
      <c r="R4" s="115"/>
      <c r="S4" s="115"/>
      <c r="T4" s="7"/>
      <c r="U4" s="7"/>
      <c r="V4" s="7"/>
      <c r="W4" s="7"/>
      <c r="X4" s="7"/>
      <c r="Y4" s="7"/>
      <c r="Z4" s="7"/>
      <c r="AA4" s="7"/>
      <c r="AB4" s="7"/>
      <c r="AD4" s="7"/>
      <c r="AE4" s="7"/>
      <c r="AF4" s="7"/>
      <c r="AG4" s="7"/>
      <c r="AH4" s="7"/>
      <c r="AI4" s="7"/>
      <c r="BC4" s="5"/>
      <c r="BG4" s="147" t="s">
        <v>69</v>
      </c>
      <c r="BH4" s="179" t="s">
        <v>34</v>
      </c>
      <c r="BI4" s="177"/>
      <c r="BJ4" s="9">
        <v>0.1</v>
      </c>
      <c r="BL4" s="147" t="s">
        <v>73</v>
      </c>
      <c r="BM4" s="179" t="s">
        <v>30</v>
      </c>
      <c r="BN4" s="76"/>
      <c r="BO4" s="76"/>
      <c r="BP4" s="76"/>
      <c r="BQ4" s="76"/>
      <c r="BR4" s="34">
        <v>0.2</v>
      </c>
      <c r="BS4" s="90"/>
      <c r="BT4" s="90"/>
      <c r="BU4" s="1"/>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c r="IS4" s="3"/>
      <c r="IT4" s="3"/>
      <c r="IU4" s="3"/>
    </row>
    <row r="5" spans="1:255" ht="14.25" customHeight="1" x14ac:dyDescent="0.2">
      <c r="D5" s="361" t="s">
        <v>260</v>
      </c>
      <c r="E5" s="58">
        <f>BZ73</f>
        <v>0</v>
      </c>
      <c r="K5" s="207" t="s">
        <v>97</v>
      </c>
      <c r="L5" s="155">
        <f>$L$4-$K$4</f>
        <v>-56050</v>
      </c>
      <c r="M5" s="155">
        <f>$M$4-$L$4</f>
        <v>5497</v>
      </c>
      <c r="N5" s="155">
        <f>$N$4-$M$4</f>
        <v>-5497</v>
      </c>
      <c r="O5" s="515"/>
      <c r="P5" s="118"/>
      <c r="Q5" s="115"/>
      <c r="R5" s="115"/>
      <c r="S5" s="115"/>
      <c r="T5" s="7"/>
      <c r="U5" s="7"/>
      <c r="V5" s="7"/>
      <c r="W5" s="7"/>
      <c r="X5" s="7"/>
      <c r="Y5" s="7"/>
      <c r="Z5" s="7"/>
      <c r="AA5" s="7"/>
      <c r="AB5" s="7"/>
      <c r="AD5" s="7"/>
      <c r="AH5" s="7"/>
      <c r="AI5" s="7"/>
      <c r="BC5" s="5"/>
      <c r="BG5" s="147" t="s">
        <v>70</v>
      </c>
      <c r="BH5" s="179" t="s">
        <v>52</v>
      </c>
      <c r="BI5" s="177"/>
      <c r="BJ5" s="9">
        <v>0.15</v>
      </c>
      <c r="BL5" s="147" t="s">
        <v>74</v>
      </c>
      <c r="BM5" s="179" t="s">
        <v>81</v>
      </c>
      <c r="BN5" s="76"/>
      <c r="BO5" s="76"/>
      <c r="BP5" s="76"/>
      <c r="BQ5" s="76"/>
      <c r="BR5" s="34">
        <v>0.2</v>
      </c>
      <c r="BS5" s="90"/>
      <c r="BT5" s="90"/>
      <c r="BU5" s="1"/>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c r="IR5" s="3"/>
      <c r="IS5" s="3"/>
      <c r="IT5" s="3"/>
      <c r="IU5" s="3"/>
    </row>
    <row r="6" spans="1:255" ht="14.25" customHeight="1" x14ac:dyDescent="0.2">
      <c r="A6" s="7"/>
      <c r="B6" s="91"/>
      <c r="C6" s="91"/>
      <c r="D6" s="91"/>
      <c r="E6" s="162"/>
      <c r="F6" s="91"/>
      <c r="M6" s="7"/>
      <c r="N6" s="7"/>
      <c r="O6" s="7"/>
      <c r="P6" s="118"/>
      <c r="Q6" s="115"/>
      <c r="R6" s="115"/>
      <c r="S6" s="115"/>
      <c r="T6" s="7"/>
      <c r="U6" s="7"/>
      <c r="V6" s="7"/>
      <c r="W6" s="7"/>
      <c r="X6" s="7"/>
      <c r="Y6" s="7"/>
      <c r="Z6" s="7"/>
      <c r="AA6" s="7"/>
      <c r="AB6" s="7"/>
      <c r="AZ6" s="176" t="s">
        <v>18</v>
      </c>
      <c r="BC6" s="5"/>
      <c r="BD6" s="52"/>
      <c r="BE6" s="52"/>
      <c r="BG6" s="52"/>
      <c r="BH6" s="52"/>
      <c r="BI6" s="13"/>
      <c r="BJ6" s="14"/>
      <c r="BK6" s="15"/>
      <c r="BO6" s="3"/>
      <c r="BP6" s="3"/>
      <c r="BQ6" s="3"/>
      <c r="BT6" s="52"/>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c r="HF6" s="3"/>
      <c r="HG6" s="3"/>
      <c r="HH6" s="3"/>
      <c r="HI6" s="3"/>
      <c r="HJ6" s="3"/>
      <c r="HK6" s="3"/>
      <c r="HL6" s="3"/>
      <c r="HM6" s="3"/>
      <c r="HN6" s="3"/>
      <c r="HO6" s="3"/>
      <c r="HP6" s="3"/>
      <c r="HQ6" s="3"/>
      <c r="HR6" s="3"/>
      <c r="HS6" s="3"/>
      <c r="HT6" s="3"/>
      <c r="HU6" s="3"/>
      <c r="HV6" s="3"/>
      <c r="HW6" s="3"/>
      <c r="HX6" s="3"/>
      <c r="HY6" s="3"/>
      <c r="HZ6" s="3"/>
      <c r="IA6" s="3"/>
      <c r="IB6" s="3"/>
      <c r="IC6" s="3"/>
      <c r="ID6" s="3"/>
      <c r="IE6" s="3"/>
      <c r="IF6" s="3"/>
      <c r="IG6" s="3"/>
      <c r="IH6" s="3"/>
      <c r="II6" s="3"/>
      <c r="IJ6" s="3"/>
      <c r="IK6" s="3"/>
      <c r="IL6" s="3"/>
      <c r="IM6" s="3"/>
      <c r="IN6" s="3"/>
      <c r="IO6" s="3"/>
      <c r="IP6" s="3"/>
      <c r="IQ6" s="3"/>
      <c r="IR6" s="3"/>
      <c r="IS6" s="3"/>
      <c r="IT6" s="3"/>
      <c r="IU6" s="3"/>
    </row>
    <row r="7" spans="1:255" ht="14.25" customHeight="1" thickBot="1" x14ac:dyDescent="0.25">
      <c r="A7" s="397" t="s">
        <v>42</v>
      </c>
      <c r="B7" s="451"/>
      <c r="C7" s="46">
        <v>43812</v>
      </c>
      <c r="D7" s="91"/>
      <c r="E7" s="91"/>
      <c r="G7" s="7"/>
      <c r="H7" s="7"/>
      <c r="I7" s="7"/>
      <c r="J7" s="7"/>
      <c r="K7" s="7"/>
      <c r="L7" s="7"/>
      <c r="M7" s="8"/>
      <c r="N7" s="8"/>
      <c r="O7" s="8"/>
      <c r="P7" s="8"/>
      <c r="Q7" s="8"/>
      <c r="R7" s="8"/>
      <c r="S7" s="8"/>
      <c r="T7" s="8"/>
      <c r="U7" s="8"/>
      <c r="V7" s="8"/>
      <c r="W7" s="8"/>
      <c r="X7" s="8"/>
      <c r="Y7" s="8"/>
      <c r="Z7" s="8"/>
      <c r="AA7" s="8"/>
      <c r="AB7" s="8"/>
      <c r="AC7" s="85"/>
      <c r="AD7" s="85"/>
      <c r="AE7" s="85"/>
      <c r="AF7" s="85"/>
      <c r="AG7" s="85"/>
      <c r="AH7" s="85"/>
      <c r="AI7" s="85"/>
      <c r="AJ7" s="85"/>
      <c r="AK7" s="85"/>
      <c r="AL7" s="10"/>
      <c r="AM7" s="10"/>
      <c r="AN7" s="8"/>
      <c r="AO7" s="11"/>
      <c r="AP7" s="10"/>
      <c r="AQ7" s="10"/>
      <c r="AR7" s="10"/>
      <c r="AS7" s="10"/>
      <c r="AT7" s="10"/>
      <c r="AU7" s="10"/>
      <c r="AV7" s="10"/>
      <c r="AW7" s="10"/>
      <c r="AX7" s="10"/>
      <c r="AY7" s="10"/>
      <c r="AZ7" s="10"/>
      <c r="BA7" s="10"/>
      <c r="BB7" s="10"/>
      <c r="BC7" s="10"/>
      <c r="BD7" s="12"/>
      <c r="BE7" s="12"/>
      <c r="BF7" s="12"/>
      <c r="BG7" s="12"/>
      <c r="BH7" s="12"/>
      <c r="BI7" s="13"/>
      <c r="BJ7" s="14"/>
      <c r="BK7" s="15"/>
      <c r="BL7" s="14"/>
      <c r="BM7" s="16"/>
      <c r="BN7" s="16"/>
      <c r="BO7" s="16"/>
      <c r="BP7" s="16"/>
      <c r="BQ7" s="16"/>
      <c r="BR7" s="16"/>
      <c r="BS7" s="16"/>
      <c r="BT7" s="16"/>
      <c r="BU7" s="16"/>
      <c r="BV7" s="10"/>
      <c r="BW7" s="10"/>
      <c r="BX7" s="10"/>
      <c r="BY7" s="16"/>
      <c r="BZ7" s="16"/>
      <c r="CA7" s="16"/>
      <c r="CB7" s="16"/>
      <c r="CC7" s="16"/>
      <c r="CD7" s="16"/>
      <c r="CE7" s="18"/>
      <c r="CF7" s="16"/>
      <c r="CG7" s="17"/>
      <c r="CH7" s="89"/>
      <c r="CI7" s="10"/>
      <c r="CJ7" s="10"/>
      <c r="CK7" s="84"/>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c r="DT7" s="10"/>
      <c r="DU7" s="10"/>
      <c r="DV7" s="10"/>
      <c r="DW7" s="10"/>
      <c r="DX7" s="10"/>
      <c r="DY7" s="10"/>
      <c r="DZ7" s="10"/>
      <c r="EA7" s="10"/>
      <c r="EB7" s="10"/>
      <c r="EC7" s="10"/>
      <c r="ED7" s="10"/>
      <c r="EE7" s="10"/>
      <c r="EF7" s="10"/>
      <c r="EG7" s="10"/>
      <c r="EH7" s="10"/>
      <c r="EI7" s="10"/>
      <c r="EJ7" s="10"/>
      <c r="EK7" s="10"/>
      <c r="EL7" s="10"/>
      <c r="EM7" s="10"/>
      <c r="EN7" s="10"/>
      <c r="EO7" s="10"/>
      <c r="EP7" s="10"/>
      <c r="EQ7" s="10"/>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P7" s="10"/>
      <c r="HQ7" s="10"/>
      <c r="HR7" s="10"/>
      <c r="HS7" s="10"/>
      <c r="HT7" s="10"/>
      <c r="HU7" s="10"/>
      <c r="HV7" s="10"/>
      <c r="HW7" s="10"/>
      <c r="HX7" s="10"/>
      <c r="HY7" s="10"/>
      <c r="HZ7" s="10"/>
      <c r="IA7" s="10"/>
      <c r="IB7" s="10"/>
      <c r="IC7" s="10"/>
      <c r="ID7" s="10"/>
      <c r="IE7" s="10"/>
      <c r="IF7" s="10"/>
      <c r="IG7" s="10"/>
      <c r="IH7" s="10"/>
      <c r="II7" s="10"/>
      <c r="IJ7" s="10"/>
      <c r="IK7" s="10"/>
      <c r="IL7" s="10"/>
      <c r="IM7" s="10"/>
      <c r="IN7" s="10"/>
      <c r="IO7" s="10"/>
      <c r="IP7" s="10"/>
      <c r="IQ7" s="10"/>
      <c r="IR7" s="10"/>
      <c r="IS7" s="10"/>
      <c r="IT7" s="10"/>
      <c r="IU7" s="10"/>
    </row>
    <row r="8" spans="1:255" ht="15.75" customHeight="1" thickBot="1" x14ac:dyDescent="0.25">
      <c r="A8" s="19"/>
      <c r="B8" s="20"/>
      <c r="C8" s="20"/>
      <c r="D8" s="20"/>
      <c r="E8" s="20"/>
      <c r="F8" s="21"/>
      <c r="G8" s="21"/>
      <c r="H8" s="21"/>
      <c r="I8" s="98"/>
      <c r="J8" s="22"/>
      <c r="K8" s="459" t="s">
        <v>12</v>
      </c>
      <c r="L8" s="460"/>
      <c r="M8" s="460"/>
      <c r="N8" s="460"/>
      <c r="O8" s="460"/>
      <c r="P8" s="460"/>
      <c r="Q8" s="460"/>
      <c r="R8" s="460"/>
      <c r="S8" s="460"/>
      <c r="T8" s="460"/>
      <c r="U8" s="460"/>
      <c r="V8" s="460"/>
      <c r="W8" s="460"/>
      <c r="X8" s="460"/>
      <c r="Y8" s="460"/>
      <c r="Z8" s="460"/>
      <c r="AA8" s="460"/>
      <c r="AB8" s="460"/>
      <c r="AC8" s="460"/>
      <c r="AD8" s="461"/>
      <c r="AE8" s="462" t="s">
        <v>257</v>
      </c>
      <c r="AF8" s="463"/>
      <c r="AG8" s="463"/>
      <c r="AH8" s="463"/>
      <c r="AI8" s="463"/>
      <c r="AJ8" s="463"/>
      <c r="AK8" s="463"/>
      <c r="AL8" s="463"/>
      <c r="AM8" s="463"/>
      <c r="AN8" s="463"/>
      <c r="AO8" s="463"/>
      <c r="AP8" s="463"/>
      <c r="AQ8" s="463"/>
      <c r="AR8" s="463"/>
      <c r="AS8" s="463"/>
      <c r="AT8" s="463"/>
      <c r="AU8" s="464" t="s">
        <v>258</v>
      </c>
      <c r="AV8" s="465"/>
      <c r="AW8" s="465"/>
      <c r="AX8" s="465"/>
      <c r="AY8" s="465"/>
      <c r="AZ8" s="465"/>
      <c r="BA8" s="465"/>
      <c r="BB8" s="465"/>
      <c r="BC8" s="465"/>
      <c r="BD8" s="465"/>
      <c r="BE8" s="465"/>
      <c r="BF8" s="465"/>
      <c r="BG8" s="465"/>
      <c r="BH8" s="465"/>
      <c r="BI8" s="465"/>
      <c r="BJ8" s="465"/>
      <c r="BK8" s="465"/>
      <c r="BL8" s="465"/>
      <c r="BM8" s="465"/>
      <c r="BN8" s="465"/>
      <c r="BO8" s="465"/>
      <c r="BP8" s="465"/>
      <c r="BQ8" s="465"/>
      <c r="BR8" s="465"/>
      <c r="BS8" s="465"/>
      <c r="BT8" s="465"/>
      <c r="BU8" s="465"/>
      <c r="BV8" s="465"/>
      <c r="BW8" s="465"/>
      <c r="BX8" s="465"/>
      <c r="BY8" s="465"/>
      <c r="BZ8" s="465"/>
      <c r="CA8" s="465"/>
      <c r="CB8" s="465"/>
      <c r="CC8" s="465"/>
      <c r="CD8" s="465"/>
      <c r="CE8" s="465"/>
      <c r="CF8" s="465"/>
      <c r="CG8" s="465"/>
      <c r="CH8" s="465"/>
      <c r="CI8" s="465"/>
      <c r="CJ8" s="466"/>
      <c r="CK8" s="467" t="s">
        <v>1</v>
      </c>
      <c r="CL8" s="371" t="s">
        <v>152</v>
      </c>
      <c r="CM8" s="371" t="s">
        <v>153</v>
      </c>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c r="DT8" s="10"/>
      <c r="DU8" s="10"/>
      <c r="DV8" s="10"/>
      <c r="DW8" s="10"/>
      <c r="DX8" s="10"/>
      <c r="DY8" s="10"/>
      <c r="DZ8" s="10"/>
      <c r="EA8" s="10"/>
      <c r="EB8" s="10"/>
      <c r="EC8" s="10"/>
      <c r="ED8" s="10"/>
      <c r="EE8" s="10"/>
      <c r="EF8" s="10"/>
      <c r="EG8" s="10"/>
      <c r="EH8" s="10"/>
      <c r="EI8" s="10"/>
      <c r="EJ8" s="10"/>
      <c r="EK8" s="10"/>
      <c r="EL8" s="10"/>
      <c r="EM8" s="10"/>
      <c r="EN8" s="10"/>
      <c r="EO8" s="10"/>
      <c r="EP8" s="10"/>
      <c r="EQ8" s="10"/>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P8" s="10"/>
      <c r="HQ8" s="10"/>
      <c r="HR8" s="10"/>
      <c r="HS8" s="10"/>
      <c r="HT8" s="10"/>
      <c r="HU8" s="10"/>
      <c r="HV8" s="10"/>
      <c r="HW8" s="10"/>
      <c r="HX8" s="10"/>
      <c r="HY8" s="10"/>
      <c r="HZ8" s="10"/>
      <c r="IA8" s="10"/>
      <c r="IB8" s="10"/>
      <c r="IC8" s="10"/>
      <c r="ID8" s="10"/>
      <c r="IE8" s="10"/>
      <c r="IF8" s="10"/>
      <c r="IG8" s="10"/>
      <c r="IH8" s="10"/>
      <c r="II8" s="10"/>
      <c r="IJ8" s="10"/>
      <c r="IK8" s="10"/>
      <c r="IL8" s="10"/>
      <c r="IM8" s="10"/>
      <c r="IN8" s="10"/>
      <c r="IO8" s="10"/>
      <c r="IP8" s="10"/>
      <c r="IQ8" s="10"/>
      <c r="IR8" s="10"/>
      <c r="IS8" s="10"/>
      <c r="IT8" s="10"/>
      <c r="IU8" s="10"/>
    </row>
    <row r="9" spans="1:255" ht="15.75" customHeight="1" x14ac:dyDescent="0.2">
      <c r="A9" s="119"/>
      <c r="B9" s="253"/>
      <c r="C9" s="253"/>
      <c r="D9" s="253"/>
      <c r="E9" s="253"/>
      <c r="F9" s="251"/>
      <c r="G9" s="251"/>
      <c r="H9" s="251"/>
      <c r="I9" s="99"/>
      <c r="J9" s="120"/>
      <c r="K9" s="470" t="s">
        <v>101</v>
      </c>
      <c r="L9" s="471"/>
      <c r="M9" s="474" t="s">
        <v>22</v>
      </c>
      <c r="N9" s="475"/>
      <c r="O9" s="475"/>
      <c r="P9" s="475"/>
      <c r="Q9" s="475"/>
      <c r="R9" s="475"/>
      <c r="S9" s="475"/>
      <c r="T9" s="475"/>
      <c r="U9" s="476"/>
      <c r="V9" s="477" t="s">
        <v>11</v>
      </c>
      <c r="W9" s="478"/>
      <c r="X9" s="478"/>
      <c r="Y9" s="478"/>
      <c r="Z9" s="478"/>
      <c r="AA9" s="478"/>
      <c r="AB9" s="478"/>
      <c r="AC9" s="478"/>
      <c r="AD9" s="479"/>
      <c r="AE9" s="520" t="s">
        <v>6</v>
      </c>
      <c r="AF9" s="521"/>
      <c r="AG9" s="522"/>
      <c r="AH9" s="493" t="s">
        <v>7</v>
      </c>
      <c r="AI9" s="493"/>
      <c r="AJ9" s="494" t="s">
        <v>43</v>
      </c>
      <c r="AK9" s="495"/>
      <c r="AL9" s="495"/>
      <c r="AM9" s="495"/>
      <c r="AN9" s="496"/>
      <c r="AO9" s="497" t="s">
        <v>63</v>
      </c>
      <c r="AP9" s="498"/>
      <c r="AQ9" s="498"/>
      <c r="AR9" s="498"/>
      <c r="AS9" s="498"/>
      <c r="AT9" s="498"/>
      <c r="AU9" s="448" t="s">
        <v>263</v>
      </c>
      <c r="AV9" s="449"/>
      <c r="AW9" s="449"/>
      <c r="AX9" s="449"/>
      <c r="AY9" s="450"/>
      <c r="AZ9" s="449" t="s">
        <v>24</v>
      </c>
      <c r="BA9" s="449"/>
      <c r="BB9" s="449"/>
      <c r="BC9" s="449"/>
      <c r="BD9" s="449"/>
      <c r="BE9" s="449"/>
      <c r="BF9" s="449"/>
      <c r="BG9" s="449"/>
      <c r="BH9" s="449"/>
      <c r="BI9" s="449"/>
      <c r="BJ9" s="449"/>
      <c r="BK9" s="449"/>
      <c r="BL9" s="449"/>
      <c r="BM9" s="449"/>
      <c r="BN9" s="449"/>
      <c r="BO9" s="449"/>
      <c r="BP9" s="449"/>
      <c r="BQ9" s="449"/>
      <c r="BR9" s="449"/>
      <c r="BS9" s="449"/>
      <c r="BT9" s="450"/>
      <c r="BU9" s="480" t="s">
        <v>25</v>
      </c>
      <c r="BV9" s="481"/>
      <c r="BW9" s="481"/>
      <c r="BX9" s="481"/>
      <c r="BY9" s="481"/>
      <c r="BZ9" s="481"/>
      <c r="CA9" s="481"/>
      <c r="CB9" s="481"/>
      <c r="CC9" s="481"/>
      <c r="CD9" s="481"/>
      <c r="CE9" s="481"/>
      <c r="CF9" s="481"/>
      <c r="CG9" s="481"/>
      <c r="CH9" s="481"/>
      <c r="CI9" s="481"/>
      <c r="CJ9" s="482"/>
      <c r="CK9" s="468"/>
      <c r="CL9" s="372"/>
      <c r="CM9" s="37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EE9" s="2"/>
      <c r="EF9" s="2"/>
      <c r="EG9" s="2"/>
      <c r="EH9" s="2"/>
      <c r="EI9" s="2"/>
      <c r="EJ9" s="2"/>
      <c r="EK9" s="2"/>
      <c r="EL9" s="2"/>
      <c r="EM9" s="2"/>
      <c r="EN9" s="2"/>
      <c r="EO9" s="2"/>
      <c r="EP9" s="2"/>
      <c r="EQ9" s="2"/>
      <c r="ER9" s="2"/>
      <c r="ES9" s="2"/>
      <c r="ET9" s="2"/>
      <c r="EU9" s="2"/>
      <c r="EV9" s="2"/>
      <c r="EW9" s="2"/>
      <c r="EX9" s="2"/>
      <c r="EY9" s="2"/>
      <c r="EZ9" s="2"/>
      <c r="FA9" s="2"/>
      <c r="FB9" s="2"/>
      <c r="FC9" s="2"/>
      <c r="FD9" s="2"/>
      <c r="FE9" s="2"/>
      <c r="FF9" s="2"/>
      <c r="FG9" s="2"/>
      <c r="FH9" s="2"/>
      <c r="FI9" s="2"/>
      <c r="FJ9" s="2"/>
      <c r="FK9" s="2"/>
      <c r="FL9" s="2"/>
      <c r="FM9" s="2"/>
      <c r="FN9" s="2"/>
      <c r="FO9" s="2"/>
      <c r="FP9" s="2"/>
      <c r="FQ9" s="2"/>
      <c r="FR9" s="2"/>
      <c r="FS9" s="2"/>
      <c r="FT9" s="2"/>
      <c r="FU9" s="2"/>
      <c r="FV9" s="2"/>
      <c r="FW9" s="2"/>
      <c r="FX9" s="2"/>
      <c r="FY9" s="2"/>
      <c r="FZ9" s="2"/>
      <c r="GA9" s="2"/>
      <c r="GB9" s="2"/>
      <c r="GC9" s="2"/>
      <c r="GD9" s="2"/>
      <c r="GE9" s="2"/>
      <c r="GF9" s="2"/>
      <c r="GG9" s="2"/>
      <c r="GH9" s="2"/>
      <c r="GI9" s="2"/>
      <c r="GJ9" s="2"/>
      <c r="GK9" s="2"/>
      <c r="GL9" s="2"/>
      <c r="GM9" s="2"/>
      <c r="GN9" s="2"/>
      <c r="GO9" s="2"/>
      <c r="GP9" s="2"/>
      <c r="GQ9" s="2"/>
      <c r="GR9" s="2"/>
      <c r="GS9" s="2"/>
      <c r="GT9" s="2"/>
      <c r="GU9" s="2"/>
      <c r="GV9" s="2"/>
      <c r="GW9" s="2"/>
      <c r="GX9" s="2"/>
      <c r="GY9" s="2"/>
      <c r="GZ9" s="2"/>
      <c r="HA9" s="2"/>
      <c r="HB9" s="2"/>
      <c r="HC9" s="2"/>
      <c r="HD9" s="2"/>
      <c r="HE9" s="2"/>
      <c r="HF9" s="2"/>
      <c r="HG9" s="2"/>
      <c r="HH9" s="2"/>
      <c r="HI9" s="2"/>
      <c r="HJ9" s="2"/>
      <c r="HK9" s="2"/>
      <c r="HL9" s="2"/>
      <c r="HM9" s="2"/>
      <c r="HN9" s="2"/>
      <c r="HO9" s="2"/>
      <c r="HP9" s="2"/>
      <c r="HQ9" s="2"/>
      <c r="HR9" s="2"/>
      <c r="HS9" s="2"/>
      <c r="HT9" s="2"/>
      <c r="HU9" s="2"/>
      <c r="HV9" s="2"/>
      <c r="HW9" s="2"/>
      <c r="HX9" s="2"/>
      <c r="HY9" s="2"/>
      <c r="HZ9" s="2"/>
      <c r="IA9" s="2"/>
      <c r="IB9" s="2"/>
      <c r="IC9" s="2"/>
      <c r="ID9" s="2"/>
      <c r="IE9" s="2"/>
      <c r="IF9" s="2"/>
      <c r="IG9" s="2"/>
      <c r="IH9" s="2"/>
      <c r="II9" s="2"/>
      <c r="IJ9" s="2"/>
      <c r="IK9" s="2"/>
      <c r="IL9" s="2"/>
      <c r="IM9" s="2"/>
      <c r="IN9" s="2"/>
      <c r="IO9" s="2"/>
      <c r="IP9" s="2"/>
      <c r="IQ9" s="2"/>
      <c r="IR9" s="2"/>
      <c r="IS9" s="2"/>
      <c r="IT9" s="2"/>
      <c r="IU9" s="2"/>
    </row>
    <row r="10" spans="1:255" ht="13.5" customHeight="1" x14ac:dyDescent="0.2">
      <c r="A10" s="119"/>
      <c r="B10" s="253"/>
      <c r="C10" s="253"/>
      <c r="D10" s="253"/>
      <c r="E10" s="253"/>
      <c r="F10" s="251"/>
      <c r="G10" s="251"/>
      <c r="H10" s="251"/>
      <c r="I10" s="99"/>
      <c r="J10" s="120"/>
      <c r="K10" s="472"/>
      <c r="L10" s="473"/>
      <c r="M10" s="516" t="s">
        <v>6</v>
      </c>
      <c r="N10" s="517"/>
      <c r="O10" s="518"/>
      <c r="P10" s="483" t="s">
        <v>7</v>
      </c>
      <c r="Q10" s="484"/>
      <c r="R10" s="485" t="s">
        <v>89</v>
      </c>
      <c r="S10" s="485" t="s">
        <v>132</v>
      </c>
      <c r="T10" s="485" t="s">
        <v>133</v>
      </c>
      <c r="U10" s="485" t="s">
        <v>134</v>
      </c>
      <c r="V10" s="490" t="s">
        <v>8</v>
      </c>
      <c r="W10" s="490" t="s">
        <v>78</v>
      </c>
      <c r="X10" s="432" t="s">
        <v>88</v>
      </c>
      <c r="Y10" s="432" t="s">
        <v>87</v>
      </c>
      <c r="Z10" s="432" t="s">
        <v>86</v>
      </c>
      <c r="AA10" s="435" t="s">
        <v>135</v>
      </c>
      <c r="AB10" s="435" t="s">
        <v>136</v>
      </c>
      <c r="AC10" s="435" t="s">
        <v>21</v>
      </c>
      <c r="AD10" s="438" t="s">
        <v>77</v>
      </c>
      <c r="AE10" s="452" t="s">
        <v>9</v>
      </c>
      <c r="AF10" s="454" t="s">
        <v>10</v>
      </c>
      <c r="AG10" s="454" t="s">
        <v>336</v>
      </c>
      <c r="AH10" s="454" t="s">
        <v>9</v>
      </c>
      <c r="AI10" s="454" t="s">
        <v>10</v>
      </c>
      <c r="AJ10" s="429" t="s">
        <v>23</v>
      </c>
      <c r="AK10" s="428" t="s">
        <v>82</v>
      </c>
      <c r="AL10" s="428" t="s">
        <v>90</v>
      </c>
      <c r="AM10" s="428"/>
      <c r="AN10" s="446" t="s">
        <v>137</v>
      </c>
      <c r="AO10" s="429" t="s">
        <v>23</v>
      </c>
      <c r="AP10" s="428" t="s">
        <v>82</v>
      </c>
      <c r="AQ10" s="428" t="s">
        <v>90</v>
      </c>
      <c r="AR10" s="428"/>
      <c r="AS10" s="428" t="s">
        <v>138</v>
      </c>
      <c r="AT10" s="441" t="s">
        <v>139</v>
      </c>
      <c r="AU10" s="444" t="s">
        <v>23</v>
      </c>
      <c r="AV10" s="383" t="s">
        <v>82</v>
      </c>
      <c r="AW10" s="383" t="s">
        <v>90</v>
      </c>
      <c r="AX10" s="383"/>
      <c r="AY10" s="424" t="s">
        <v>140</v>
      </c>
      <c r="AZ10" s="426" t="s">
        <v>6</v>
      </c>
      <c r="BA10" s="409"/>
      <c r="BB10" s="396" t="s">
        <v>7</v>
      </c>
      <c r="BC10" s="409"/>
      <c r="BD10" s="411" t="s">
        <v>94</v>
      </c>
      <c r="BE10" s="427"/>
      <c r="BF10" s="427"/>
      <c r="BG10" s="427"/>
      <c r="BH10" s="427"/>
      <c r="BI10" s="411" t="s">
        <v>95</v>
      </c>
      <c r="BJ10" s="427"/>
      <c r="BK10" s="427"/>
      <c r="BL10" s="427"/>
      <c r="BM10" s="386"/>
      <c r="BN10" s="386"/>
      <c r="BO10" s="398" t="s">
        <v>142</v>
      </c>
      <c r="BP10" s="383" t="s">
        <v>143</v>
      </c>
      <c r="BQ10" s="398" t="s">
        <v>144</v>
      </c>
      <c r="BR10" s="376" t="s">
        <v>20</v>
      </c>
      <c r="BS10" s="388" t="s">
        <v>21</v>
      </c>
      <c r="BT10" s="421" t="s">
        <v>155</v>
      </c>
      <c r="BU10" s="408" t="s">
        <v>6</v>
      </c>
      <c r="BV10" s="409"/>
      <c r="BW10" s="396" t="s">
        <v>7</v>
      </c>
      <c r="BX10" s="410"/>
      <c r="BY10" s="406" t="s">
        <v>4</v>
      </c>
      <c r="BZ10" s="406"/>
      <c r="CA10" s="406"/>
      <c r="CB10" s="406"/>
      <c r="CC10" s="406"/>
      <c r="CD10" s="376"/>
      <c r="CE10" s="376"/>
      <c r="CF10" s="406"/>
      <c r="CG10" s="406"/>
      <c r="CH10" s="385"/>
      <c r="CI10" s="411" t="s">
        <v>5</v>
      </c>
      <c r="CJ10" s="412"/>
      <c r="CK10" s="468"/>
      <c r="CL10" s="372"/>
      <c r="CM10" s="37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EE10" s="2"/>
      <c r="EF10" s="2"/>
      <c r="EG10" s="2"/>
      <c r="EH10" s="2"/>
      <c r="EI10" s="2"/>
      <c r="EJ10" s="2"/>
      <c r="EK10" s="2"/>
      <c r="EL10" s="2"/>
      <c r="EM10" s="2"/>
      <c r="EN10" s="2"/>
      <c r="EO10" s="2"/>
      <c r="EP10" s="2"/>
      <c r="EQ10" s="2"/>
      <c r="ER10" s="2"/>
      <c r="ES10" s="2"/>
      <c r="ET10" s="2"/>
      <c r="EU10" s="2"/>
      <c r="EV10" s="2"/>
      <c r="EW10" s="2"/>
      <c r="EX10" s="2"/>
      <c r="EY10" s="2"/>
      <c r="EZ10" s="2"/>
      <c r="FA10" s="2"/>
      <c r="FB10" s="2"/>
      <c r="FC10" s="2"/>
      <c r="FD10" s="2"/>
      <c r="FE10" s="2"/>
      <c r="FF10" s="2"/>
      <c r="FG10" s="2"/>
      <c r="FH10" s="2"/>
      <c r="FI10" s="2"/>
      <c r="FJ10" s="2"/>
      <c r="FK10" s="2"/>
      <c r="FL10" s="2"/>
      <c r="FM10" s="2"/>
      <c r="FN10" s="2"/>
      <c r="FO10" s="2"/>
      <c r="FP10" s="2"/>
      <c r="FQ10" s="2"/>
      <c r="FR10" s="2"/>
      <c r="FS10" s="2"/>
      <c r="FT10" s="2"/>
      <c r="FU10" s="2"/>
      <c r="FV10" s="2"/>
      <c r="FW10" s="2"/>
      <c r="FX10" s="2"/>
      <c r="FY10" s="2"/>
      <c r="FZ10" s="2"/>
      <c r="GA10" s="2"/>
      <c r="GB10" s="2"/>
      <c r="GC10" s="2"/>
      <c r="GD10" s="2"/>
      <c r="GE10" s="2"/>
      <c r="GF10" s="2"/>
      <c r="GG10" s="2"/>
      <c r="GH10" s="2"/>
      <c r="GI10" s="2"/>
      <c r="GJ10" s="2"/>
      <c r="GK10" s="2"/>
      <c r="GL10" s="2"/>
      <c r="GM10" s="2"/>
      <c r="GN10" s="2"/>
      <c r="GO10" s="2"/>
      <c r="GP10" s="2"/>
      <c r="GQ10" s="2"/>
      <c r="GR10" s="2"/>
      <c r="GS10" s="2"/>
      <c r="GT10" s="2"/>
      <c r="GU10" s="2"/>
      <c r="GV10" s="2"/>
      <c r="GW10" s="2"/>
      <c r="GX10" s="2"/>
      <c r="GY10" s="2"/>
      <c r="GZ10" s="2"/>
      <c r="HA10" s="2"/>
      <c r="HB10" s="2"/>
      <c r="HC10" s="2"/>
      <c r="HD10" s="2"/>
      <c r="HE10" s="2"/>
      <c r="HF10" s="2"/>
      <c r="HG10" s="2"/>
      <c r="HH10" s="2"/>
      <c r="HI10" s="2"/>
      <c r="HJ10" s="2"/>
      <c r="HK10" s="2"/>
      <c r="HL10" s="2"/>
      <c r="HM10" s="2"/>
      <c r="HN10" s="2"/>
      <c r="HO10" s="2"/>
      <c r="HP10" s="2"/>
      <c r="HQ10" s="2"/>
      <c r="HR10" s="2"/>
      <c r="HS10" s="2"/>
      <c r="HT10" s="2"/>
      <c r="HU10" s="2"/>
      <c r="HV10" s="2"/>
      <c r="HW10" s="2"/>
      <c r="HX10" s="2"/>
      <c r="HY10" s="2"/>
      <c r="HZ10" s="2"/>
      <c r="IA10" s="2"/>
      <c r="IB10" s="2"/>
      <c r="IC10" s="2"/>
      <c r="ID10" s="2"/>
      <c r="IE10" s="2"/>
      <c r="IF10" s="2"/>
      <c r="IG10" s="2"/>
      <c r="IH10" s="2"/>
      <c r="II10" s="2"/>
      <c r="IJ10" s="2"/>
      <c r="IK10" s="2"/>
      <c r="IL10" s="2"/>
      <c r="IM10" s="2"/>
      <c r="IN10" s="2"/>
      <c r="IO10" s="2"/>
      <c r="IP10" s="2"/>
      <c r="IQ10" s="2"/>
      <c r="IR10" s="2"/>
      <c r="IS10" s="2"/>
      <c r="IT10" s="2"/>
      <c r="IU10" s="2"/>
    </row>
    <row r="11" spans="1:255" ht="14.25" customHeight="1" x14ac:dyDescent="0.2">
      <c r="A11" s="119"/>
      <c r="B11" s="253"/>
      <c r="C11" s="253"/>
      <c r="D11" s="253"/>
      <c r="E11" s="253"/>
      <c r="F11" s="251"/>
      <c r="G11" s="251"/>
      <c r="H11" s="251"/>
      <c r="I11" s="99"/>
      <c r="J11" s="120"/>
      <c r="K11" s="413" t="s">
        <v>131</v>
      </c>
      <c r="L11" s="415" t="s">
        <v>93</v>
      </c>
      <c r="M11" s="417" t="s">
        <v>9</v>
      </c>
      <c r="N11" s="417" t="s">
        <v>10</v>
      </c>
      <c r="O11" s="519" t="s">
        <v>333</v>
      </c>
      <c r="P11" s="417" t="s">
        <v>9</v>
      </c>
      <c r="Q11" s="417" t="s">
        <v>10</v>
      </c>
      <c r="R11" s="486"/>
      <c r="S11" s="486"/>
      <c r="T11" s="488"/>
      <c r="U11" s="488"/>
      <c r="V11" s="491"/>
      <c r="W11" s="491"/>
      <c r="X11" s="433"/>
      <c r="Y11" s="433"/>
      <c r="Z11" s="433"/>
      <c r="AA11" s="436"/>
      <c r="AB11" s="436"/>
      <c r="AC11" s="436"/>
      <c r="AD11" s="439"/>
      <c r="AE11" s="452"/>
      <c r="AF11" s="454"/>
      <c r="AG11" s="454"/>
      <c r="AH11" s="454"/>
      <c r="AI11" s="454"/>
      <c r="AJ11" s="429"/>
      <c r="AK11" s="429"/>
      <c r="AL11" s="428" t="s">
        <v>62</v>
      </c>
      <c r="AM11" s="429" t="s">
        <v>91</v>
      </c>
      <c r="AN11" s="446"/>
      <c r="AO11" s="429"/>
      <c r="AP11" s="429"/>
      <c r="AQ11" s="428" t="s">
        <v>62</v>
      </c>
      <c r="AR11" s="429" t="s">
        <v>91</v>
      </c>
      <c r="AS11" s="428"/>
      <c r="AT11" s="442"/>
      <c r="AU11" s="444"/>
      <c r="AV11" s="406"/>
      <c r="AW11" s="383" t="s">
        <v>62</v>
      </c>
      <c r="AX11" s="406" t="s">
        <v>91</v>
      </c>
      <c r="AY11" s="424"/>
      <c r="AZ11" s="409" t="s">
        <v>9</v>
      </c>
      <c r="BA11" s="394" t="s">
        <v>10</v>
      </c>
      <c r="BB11" s="394" t="s">
        <v>9</v>
      </c>
      <c r="BC11" s="396" t="s">
        <v>10</v>
      </c>
      <c r="BD11" s="406" t="s">
        <v>2</v>
      </c>
      <c r="BE11" s="383" t="s">
        <v>59</v>
      </c>
      <c r="BF11" s="383" t="s">
        <v>60</v>
      </c>
      <c r="BG11" s="383" t="s">
        <v>75</v>
      </c>
      <c r="BH11" s="404" t="s">
        <v>151</v>
      </c>
      <c r="BI11" s="406" t="s">
        <v>2</v>
      </c>
      <c r="BJ11" s="383" t="s">
        <v>59</v>
      </c>
      <c r="BK11" s="383" t="s">
        <v>60</v>
      </c>
      <c r="BL11" s="383" t="s">
        <v>75</v>
      </c>
      <c r="BM11" s="456" t="s">
        <v>141</v>
      </c>
      <c r="BN11" s="390" t="s">
        <v>61</v>
      </c>
      <c r="BO11" s="399"/>
      <c r="BP11" s="383"/>
      <c r="BQ11" s="401"/>
      <c r="BR11" s="403"/>
      <c r="BS11" s="419"/>
      <c r="BT11" s="422"/>
      <c r="BU11" s="392" t="s">
        <v>9</v>
      </c>
      <c r="BV11" s="394" t="s">
        <v>10</v>
      </c>
      <c r="BW11" s="396" t="s">
        <v>9</v>
      </c>
      <c r="BX11" s="394" t="s">
        <v>10</v>
      </c>
      <c r="BY11" s="374" t="s">
        <v>145</v>
      </c>
      <c r="BZ11" s="383" t="s">
        <v>146</v>
      </c>
      <c r="CA11" s="385" t="s">
        <v>44</v>
      </c>
      <c r="CB11" s="386"/>
      <c r="CC11" s="386"/>
      <c r="CD11" s="387" t="s">
        <v>148</v>
      </c>
      <c r="CE11" s="383" t="s">
        <v>149</v>
      </c>
      <c r="CF11" s="388" t="s">
        <v>150</v>
      </c>
      <c r="CG11" s="376" t="s">
        <v>20</v>
      </c>
      <c r="CH11" s="374" t="s">
        <v>21</v>
      </c>
      <c r="CI11" s="376" t="s">
        <v>37</v>
      </c>
      <c r="CJ11" s="378" t="s">
        <v>38</v>
      </c>
      <c r="CK11" s="468"/>
      <c r="CL11" s="372"/>
      <c r="CM11" s="37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EE11" s="2"/>
      <c r="EF11" s="2"/>
      <c r="EG11" s="2"/>
      <c r="EH11" s="2"/>
      <c r="EI11" s="2"/>
      <c r="EJ11" s="2"/>
      <c r="EK11" s="2"/>
      <c r="EL11" s="2"/>
      <c r="EM11" s="2"/>
      <c r="EN11" s="2"/>
      <c r="EO11" s="2"/>
      <c r="EP11" s="2"/>
      <c r="EQ11" s="2"/>
      <c r="ER11" s="2"/>
      <c r="ES11" s="2"/>
      <c r="ET11" s="2"/>
      <c r="EU11" s="2"/>
      <c r="EV11" s="2"/>
      <c r="EW11" s="2"/>
      <c r="EX11" s="2"/>
      <c r="EY11" s="2"/>
      <c r="EZ11" s="2"/>
      <c r="FA11" s="2"/>
      <c r="FB11" s="2"/>
      <c r="FC11" s="2"/>
      <c r="FD11" s="2"/>
      <c r="FE11" s="2"/>
      <c r="FF11" s="2"/>
      <c r="FG11" s="2"/>
      <c r="FH11" s="2"/>
      <c r="FI11" s="2"/>
      <c r="FJ11" s="2"/>
      <c r="FK11" s="2"/>
      <c r="FL11" s="2"/>
      <c r="FM11" s="2"/>
      <c r="FN11" s="2"/>
      <c r="FO11" s="2"/>
      <c r="FP11" s="2"/>
      <c r="FQ11" s="2"/>
      <c r="FR11" s="2"/>
      <c r="FS11" s="2"/>
      <c r="FT11" s="2"/>
      <c r="FU11" s="2"/>
      <c r="FV11" s="2"/>
      <c r="FW11" s="2"/>
      <c r="FX11" s="2"/>
      <c r="FY11" s="2"/>
      <c r="FZ11" s="2"/>
      <c r="GA11" s="2"/>
      <c r="GB11" s="2"/>
      <c r="GC11" s="2"/>
      <c r="GD11" s="2"/>
      <c r="GE11" s="2"/>
      <c r="GF11" s="2"/>
      <c r="GG11" s="2"/>
      <c r="GH11" s="2"/>
      <c r="GI11" s="2"/>
      <c r="GJ11" s="2"/>
      <c r="GK11" s="2"/>
      <c r="GL11" s="2"/>
      <c r="GM11" s="2"/>
      <c r="GN11" s="2"/>
      <c r="GO11" s="2"/>
      <c r="GP11" s="2"/>
      <c r="GQ11" s="2"/>
      <c r="GR11" s="2"/>
      <c r="GS11" s="2"/>
      <c r="GT11" s="2"/>
      <c r="GU11" s="2"/>
      <c r="GV11" s="2"/>
      <c r="GW11" s="2"/>
      <c r="GX11" s="2"/>
      <c r="GY11" s="2"/>
      <c r="GZ11" s="2"/>
      <c r="HA11" s="2"/>
      <c r="HB11" s="2"/>
      <c r="HC11" s="2"/>
      <c r="HD11" s="2"/>
      <c r="HE11" s="2"/>
      <c r="HF11" s="2"/>
      <c r="HG11" s="2"/>
      <c r="HH11" s="2"/>
      <c r="HI11" s="2"/>
      <c r="HJ11" s="2"/>
      <c r="HK11" s="2"/>
      <c r="HL11" s="2"/>
      <c r="HM11" s="2"/>
      <c r="HN11" s="2"/>
      <c r="HO11" s="2"/>
      <c r="HP11" s="2"/>
      <c r="HQ11" s="2"/>
      <c r="HR11" s="2"/>
      <c r="HS11" s="2"/>
      <c r="HT11" s="2"/>
      <c r="HU11" s="2"/>
      <c r="HV11" s="2"/>
      <c r="HW11" s="2"/>
      <c r="HX11" s="2"/>
      <c r="HY11" s="2"/>
      <c r="HZ11" s="2"/>
      <c r="IA11" s="2"/>
      <c r="IB11" s="2"/>
      <c r="IC11" s="2"/>
      <c r="ID11" s="2"/>
      <c r="IE11" s="2"/>
      <c r="IF11" s="2"/>
      <c r="IG11" s="2"/>
      <c r="IH11" s="2"/>
      <c r="II11" s="2"/>
      <c r="IJ11" s="2"/>
      <c r="IK11" s="2"/>
      <c r="IL11" s="2"/>
      <c r="IM11" s="2"/>
      <c r="IN11" s="2"/>
      <c r="IO11" s="2"/>
      <c r="IP11" s="2"/>
      <c r="IQ11" s="2"/>
      <c r="IR11" s="2"/>
      <c r="IS11" s="2"/>
      <c r="IT11" s="2"/>
      <c r="IU11" s="2"/>
    </row>
    <row r="12" spans="1:255" ht="48" customHeight="1" thickBot="1" x14ac:dyDescent="0.25">
      <c r="A12" s="23" t="s">
        <v>3</v>
      </c>
      <c r="B12" s="95" t="s">
        <v>54</v>
      </c>
      <c r="C12" s="96" t="s">
        <v>55</v>
      </c>
      <c r="D12" s="96" t="s">
        <v>56</v>
      </c>
      <c r="E12" s="254" t="s">
        <v>57</v>
      </c>
      <c r="F12" s="248" t="s">
        <v>58</v>
      </c>
      <c r="G12" s="248" t="s">
        <v>36</v>
      </c>
      <c r="H12" s="254" t="s">
        <v>85</v>
      </c>
      <c r="I12" s="249" t="s">
        <v>83</v>
      </c>
      <c r="J12" s="252" t="s">
        <v>0</v>
      </c>
      <c r="K12" s="414"/>
      <c r="L12" s="416"/>
      <c r="M12" s="418"/>
      <c r="N12" s="418"/>
      <c r="O12" s="418"/>
      <c r="P12" s="418"/>
      <c r="Q12" s="418"/>
      <c r="R12" s="487"/>
      <c r="S12" s="487"/>
      <c r="T12" s="489"/>
      <c r="U12" s="489"/>
      <c r="V12" s="492"/>
      <c r="W12" s="492"/>
      <c r="X12" s="434"/>
      <c r="Y12" s="434"/>
      <c r="Z12" s="434"/>
      <c r="AA12" s="437"/>
      <c r="AB12" s="437"/>
      <c r="AC12" s="437"/>
      <c r="AD12" s="440"/>
      <c r="AE12" s="453"/>
      <c r="AF12" s="455"/>
      <c r="AG12" s="455"/>
      <c r="AH12" s="455"/>
      <c r="AI12" s="455"/>
      <c r="AJ12" s="430"/>
      <c r="AK12" s="430"/>
      <c r="AL12" s="431"/>
      <c r="AM12" s="430"/>
      <c r="AN12" s="447"/>
      <c r="AO12" s="430"/>
      <c r="AP12" s="430"/>
      <c r="AQ12" s="431"/>
      <c r="AR12" s="430"/>
      <c r="AS12" s="431"/>
      <c r="AT12" s="443"/>
      <c r="AU12" s="445"/>
      <c r="AV12" s="407"/>
      <c r="AW12" s="384"/>
      <c r="AX12" s="407"/>
      <c r="AY12" s="425"/>
      <c r="AZ12" s="451"/>
      <c r="BA12" s="395"/>
      <c r="BB12" s="395"/>
      <c r="BC12" s="397"/>
      <c r="BD12" s="407"/>
      <c r="BE12" s="384"/>
      <c r="BF12" s="384"/>
      <c r="BG12" s="407"/>
      <c r="BH12" s="405"/>
      <c r="BI12" s="407"/>
      <c r="BJ12" s="384"/>
      <c r="BK12" s="384"/>
      <c r="BL12" s="384"/>
      <c r="BM12" s="457"/>
      <c r="BN12" s="391"/>
      <c r="BO12" s="400"/>
      <c r="BP12" s="384"/>
      <c r="BQ12" s="402"/>
      <c r="BR12" s="377"/>
      <c r="BS12" s="420"/>
      <c r="BT12" s="423"/>
      <c r="BU12" s="393"/>
      <c r="BV12" s="395"/>
      <c r="BW12" s="397"/>
      <c r="BX12" s="395"/>
      <c r="BY12" s="375"/>
      <c r="BZ12" s="384"/>
      <c r="CA12" s="247" t="s">
        <v>40</v>
      </c>
      <c r="CB12" s="247" t="s">
        <v>41</v>
      </c>
      <c r="CC12" s="284" t="s">
        <v>147</v>
      </c>
      <c r="CD12" s="377"/>
      <c r="CE12" s="384"/>
      <c r="CF12" s="389"/>
      <c r="CG12" s="377"/>
      <c r="CH12" s="375"/>
      <c r="CI12" s="377"/>
      <c r="CJ12" s="379"/>
      <c r="CK12" s="469"/>
      <c r="CL12" s="373"/>
      <c r="CM12" s="373"/>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row>
    <row r="13" spans="1:255" x14ac:dyDescent="0.2">
      <c r="A13" s="256">
        <f>IF($E13="","",ROW()-12)</f>
        <v>1</v>
      </c>
      <c r="B13" s="92" t="s">
        <v>270</v>
      </c>
      <c r="C13" s="92" t="s">
        <v>289</v>
      </c>
      <c r="D13" s="92" t="s">
        <v>271</v>
      </c>
      <c r="E13" s="97" t="s">
        <v>301</v>
      </c>
      <c r="F13" s="369" t="s">
        <v>293</v>
      </c>
      <c r="G13" s="94" t="s">
        <v>269</v>
      </c>
      <c r="H13" s="94" t="s">
        <v>96</v>
      </c>
      <c r="I13" s="178" t="s">
        <v>84</v>
      </c>
      <c r="J13" s="35" t="s">
        <v>332</v>
      </c>
      <c r="K13" s="215">
        <v>50</v>
      </c>
      <c r="L13" s="216"/>
      <c r="M13" s="112">
        <v>43770</v>
      </c>
      <c r="N13" s="107">
        <v>43826</v>
      </c>
      <c r="O13" s="107"/>
      <c r="P13" s="112">
        <v>43770</v>
      </c>
      <c r="Q13" s="107">
        <v>43826</v>
      </c>
      <c r="R13" s="223">
        <v>9</v>
      </c>
      <c r="S13" s="223">
        <v>9</v>
      </c>
      <c r="T13" s="223">
        <v>9</v>
      </c>
      <c r="U13" s="59">
        <f>IF(ISERROR(T13/S13)=TRUE,"",T13/S13)</f>
        <v>1</v>
      </c>
      <c r="V13" s="109"/>
      <c r="W13" s="107"/>
      <c r="X13" s="226"/>
      <c r="Y13" s="108"/>
      <c r="Z13" s="110"/>
      <c r="AA13" s="226"/>
      <c r="AB13" s="209">
        <f>IF(ISERROR(AA13/$T13)=TRUE,"",(AA13/$T13)*100)</f>
        <v>0</v>
      </c>
      <c r="AC13" s="111"/>
      <c r="AD13" s="156"/>
      <c r="AE13" s="112">
        <v>43770</v>
      </c>
      <c r="AF13" s="107">
        <v>43826</v>
      </c>
      <c r="AG13" s="112"/>
      <c r="AH13" s="112">
        <v>43770</v>
      </c>
      <c r="AI13" s="107">
        <v>43826</v>
      </c>
      <c r="AJ13" s="229"/>
      <c r="AK13" s="230"/>
      <c r="AL13" s="230"/>
      <c r="AM13" s="231">
        <v>50</v>
      </c>
      <c r="AN13" s="232">
        <f>IF(AND($AJ13="",$AK13="",$AM13=""),"",AJ13*0.06+AK13*2+AM13)</f>
        <v>50</v>
      </c>
      <c r="AO13" s="237">
        <v>0</v>
      </c>
      <c r="AP13" s="234">
        <v>0</v>
      </c>
      <c r="AQ13" s="230"/>
      <c r="AR13" s="231">
        <v>70</v>
      </c>
      <c r="AS13" s="232">
        <f>IF(AND($AO13="",$AP13="",$AQ13="",$AR13=""),"",AO13*0.06+AP13*2+AR13)</f>
        <v>70</v>
      </c>
      <c r="AT13" s="149">
        <f>IF(OR($AN13="",$AO13="",$AP13="",$AR13=""),"",$AS13/$AN13)</f>
        <v>1.4</v>
      </c>
      <c r="AU13" s="164"/>
      <c r="AV13" s="122"/>
      <c r="AW13" s="122"/>
      <c r="AX13" s="123"/>
      <c r="AY13" s="197" t="str">
        <f>IF(AND(AU13="",AV13="",AW13="",AX13=""),"",AU13*0.06+AV13*2+AX13)</f>
        <v/>
      </c>
      <c r="AZ13" s="106">
        <v>43471</v>
      </c>
      <c r="BA13" s="107">
        <v>43471</v>
      </c>
      <c r="BB13" s="107"/>
      <c r="BC13" s="107"/>
      <c r="BD13" s="113">
        <f>IF($BH13="","",$BH13*$BJ$2)</f>
        <v>4.2</v>
      </c>
      <c r="BE13" s="113">
        <f t="shared" ref="BE13:BE73" si="0">IF($BH13="","",$BH13*$BJ$3)</f>
        <v>1.05</v>
      </c>
      <c r="BF13" s="113">
        <f t="shared" ref="BF13:BF73" si="1">IF($BH13="","",$BH13*$BJ$4)</f>
        <v>0.70000000000000007</v>
      </c>
      <c r="BG13" s="113">
        <f t="shared" ref="BG13:BG73" si="2">IF($BH13="","",$BH13*$BJ$5)</f>
        <v>1.05</v>
      </c>
      <c r="BH13" s="285">
        <f>IF($AI13="",IF($AN13="",IF($K13="","",ROUNDUP($K13/1000*$BE$2,0)),ROUNDUP($AN13/1000*$BE$2,0)),IF($AS13="","",ROUNDUP($AS13/1000*$BE$2,0)))</f>
        <v>7</v>
      </c>
      <c r="BI13" s="134"/>
      <c r="BJ13" s="137"/>
      <c r="BK13" s="135"/>
      <c r="BL13" s="137"/>
      <c r="BM13" s="145" t="str">
        <f>IF(AND(BI13="",BJ13="",BK13="",BL13=""),"",SUM(BI13:BL13))</f>
        <v/>
      </c>
      <c r="BN13" s="137"/>
      <c r="BO13" s="59" t="str">
        <f>IF(BM13="","",BM13/BH13)</f>
        <v/>
      </c>
      <c r="BP13" s="339" t="str">
        <f>IF(AND($BI13="",$BJ13="",$BK13="",$BL13=""),"",$BM13*1000/$CM13)</f>
        <v/>
      </c>
      <c r="BQ13" s="59" t="str">
        <f>IF(BP13="","",BP13/BE$2)</f>
        <v/>
      </c>
      <c r="BR13" s="67" t="str">
        <f>IF(BQ13="","",IF(BQ13&lt;1-$BR$3,"過少",IF(BQ13&gt;1+$BR$2,"超過","良好")))</f>
        <v/>
      </c>
      <c r="BS13" s="168"/>
      <c r="BT13" s="169">
        <f>IF($AI13="",IF($AN13="",IF($K13="","",ROUNDUP($K13/1000*$BE$3,0)),ROUNDUP($AN13/1000*$BE$3,0)),IF($AS13="","",ROUNDUP($AS13/1000*$BE$3,0)))</f>
        <v>1</v>
      </c>
      <c r="BU13" s="106">
        <v>43472</v>
      </c>
      <c r="BV13" s="107">
        <v>43472</v>
      </c>
      <c r="BW13" s="107"/>
      <c r="BX13" s="112"/>
      <c r="BY13" s="121"/>
      <c r="BZ13" s="69" t="str">
        <f>IF(BC13="","",IF(BM13="",0,IF(ISERROR(BY13/BM13)=TRUE,"",(BY13/BM13))))</f>
        <v/>
      </c>
      <c r="CA13" s="214"/>
      <c r="CB13" s="214"/>
      <c r="CC13" s="152" t="str">
        <f>IF(AND(CA13="",CB13=""),"",SUM(CA13:CB13))</f>
        <v/>
      </c>
      <c r="CD13" s="202" t="str">
        <f>IF(AND(CA13="",CB13=""),"",IF(ISERROR(CC13/BT13),0,(CC13/BT13)))</f>
        <v/>
      </c>
      <c r="CE13" s="154" t="str">
        <f>IF(AND(CA13="",CB13=""),"",(CC13*1000/$CM13))</f>
        <v/>
      </c>
      <c r="CF13" s="114" t="str">
        <f>IF(CE13="","",CE13/BE$3)</f>
        <v/>
      </c>
      <c r="CG13" s="74" t="str">
        <f>IF(CF13="","",IF(CF13&lt;1-$BR$5,"不足",IF(CF13&gt;1+$BR$4,"超過","良好")))</f>
        <v/>
      </c>
      <c r="CH13" s="168"/>
      <c r="CI13" s="31"/>
      <c r="CJ13" s="170"/>
      <c r="CK13" s="270"/>
      <c r="CL13" s="275">
        <f>IF(BC13="",BH13,BM13)</f>
        <v>7</v>
      </c>
      <c r="CM13" s="275" t="str">
        <f>IF($BX13="",IF(AND($BI13="",$BJ13="",$BK13="",$BL13=""),"",IF($AS13="",$K13,$AS13)),IF(AND($BI13="",$BJ13="",$BK13="",$BL13=""),"",$AY13))</f>
        <v/>
      </c>
      <c r="CO13" s="3">
        <v>1</v>
      </c>
      <c r="CP13" s="3">
        <v>0.5</v>
      </c>
      <c r="CQ13" s="3">
        <v>1</v>
      </c>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c r="HF13" s="3"/>
      <c r="HG13" s="3"/>
      <c r="HH13" s="3"/>
      <c r="HI13" s="3"/>
      <c r="HJ13" s="3"/>
      <c r="HK13" s="3"/>
      <c r="HL13" s="3"/>
      <c r="HM13" s="3"/>
      <c r="HN13" s="3"/>
      <c r="HO13" s="3"/>
      <c r="HP13" s="3"/>
      <c r="HQ13" s="3"/>
      <c r="HR13" s="3"/>
      <c r="HS13" s="3"/>
      <c r="HT13" s="3"/>
      <c r="HU13" s="3"/>
      <c r="HV13" s="3"/>
      <c r="HW13" s="3"/>
      <c r="HX13" s="3"/>
      <c r="HY13" s="3"/>
      <c r="HZ13" s="3"/>
      <c r="IA13" s="3"/>
      <c r="IB13" s="3"/>
      <c r="IC13" s="3"/>
      <c r="ID13" s="3"/>
      <c r="IE13" s="3"/>
      <c r="IF13" s="3"/>
      <c r="IG13" s="3"/>
      <c r="IH13" s="3"/>
      <c r="II13" s="3"/>
      <c r="IJ13" s="3"/>
      <c r="IK13" s="3"/>
      <c r="IL13" s="3"/>
      <c r="IM13" s="3"/>
      <c r="IN13" s="3"/>
      <c r="IO13" s="3"/>
      <c r="IP13" s="3"/>
      <c r="IQ13" s="3"/>
      <c r="IR13" s="3"/>
      <c r="IS13" s="3"/>
      <c r="IT13" s="3"/>
      <c r="IU13" s="3"/>
    </row>
    <row r="14" spans="1:255" x14ac:dyDescent="0.2">
      <c r="A14" s="256">
        <f t="shared" ref="A14:A72" si="3">IF($E14="","",ROW()-12)</f>
        <v>2</v>
      </c>
      <c r="B14" s="92" t="s">
        <v>270</v>
      </c>
      <c r="C14" s="93" t="s">
        <v>285</v>
      </c>
      <c r="D14" s="93" t="s">
        <v>291</v>
      </c>
      <c r="E14" s="49" t="s">
        <v>302</v>
      </c>
      <c r="F14" s="370" t="s">
        <v>292</v>
      </c>
      <c r="G14" s="94" t="s">
        <v>269</v>
      </c>
      <c r="H14" s="94" t="s">
        <v>96</v>
      </c>
      <c r="I14" s="178" t="s">
        <v>84</v>
      </c>
      <c r="J14" s="35" t="s">
        <v>332</v>
      </c>
      <c r="K14" s="217">
        <v>50</v>
      </c>
      <c r="L14" s="218"/>
      <c r="M14" s="112">
        <v>43770</v>
      </c>
      <c r="N14" s="107">
        <v>43826</v>
      </c>
      <c r="O14" s="107"/>
      <c r="P14" s="112">
        <v>43770</v>
      </c>
      <c r="Q14" s="107">
        <v>43826</v>
      </c>
      <c r="R14" s="224">
        <v>9</v>
      </c>
      <c r="S14" s="224">
        <v>9</v>
      </c>
      <c r="T14" s="224">
        <v>9</v>
      </c>
      <c r="U14" s="59">
        <f>IF(ISERROR(T14/S14)=TRUE,"",T14/S14)</f>
        <v>1</v>
      </c>
      <c r="V14" s="40"/>
      <c r="W14" s="37"/>
      <c r="X14" s="227"/>
      <c r="Y14" s="101"/>
      <c r="Z14" s="103"/>
      <c r="AA14" s="227"/>
      <c r="AB14" s="210">
        <f t="shared" ref="AB14:AB73" si="4">IF(ISERROR(AA14/$T14)=TRUE,"",(AA14/$T14)*100)</f>
        <v>0</v>
      </c>
      <c r="AC14" s="86"/>
      <c r="AD14" s="157"/>
      <c r="AE14" s="112">
        <v>43770</v>
      </c>
      <c r="AF14" s="107">
        <v>43826</v>
      </c>
      <c r="AG14" s="112"/>
      <c r="AH14" s="112">
        <v>43770</v>
      </c>
      <c r="AI14" s="107">
        <v>43826</v>
      </c>
      <c r="AJ14" s="233"/>
      <c r="AK14" s="234"/>
      <c r="AL14" s="234"/>
      <c r="AM14" s="235">
        <v>50</v>
      </c>
      <c r="AN14" s="236">
        <f t="shared" ref="AN14:AN72" si="5">IF(AND($AJ14="",$AK14="",$AM14=""),"",AJ14*0.06+AK14*2+AM14)</f>
        <v>50</v>
      </c>
      <c r="AO14" s="237">
        <v>0</v>
      </c>
      <c r="AP14" s="234">
        <v>0</v>
      </c>
      <c r="AQ14" s="234"/>
      <c r="AR14" s="235">
        <v>85</v>
      </c>
      <c r="AS14" s="236">
        <f t="shared" ref="AS14:AS73" si="6">IF(AND($AO14="",$AP14="",$AQ14="",$AR14=""),"",AO14*0.06+AP14*2+AR14)</f>
        <v>85</v>
      </c>
      <c r="AT14" s="150">
        <f>IF(OR($AN14="",$AO14="",$AP14="",$AR14=""),"",$AS14/$AN14)</f>
        <v>1.7</v>
      </c>
      <c r="AU14" s="165"/>
      <c r="AV14" s="125"/>
      <c r="AW14" s="125"/>
      <c r="AX14" s="126"/>
      <c r="AY14" s="198" t="str">
        <f t="shared" ref="AY14:AY72" si="7">IF(AND(AU14="",AV14="",AW14="",AX14=""),"",AU14*0.06+AV14*2+AX14)</f>
        <v/>
      </c>
      <c r="AZ14" s="106">
        <v>43472</v>
      </c>
      <c r="BA14" s="107">
        <v>43472</v>
      </c>
      <c r="BB14" s="37"/>
      <c r="BC14" s="37"/>
      <c r="BD14" s="61">
        <f t="shared" ref="BD14:BD73" si="8">IF($BH14="","",$BH14*$BJ$2)</f>
        <v>4.8</v>
      </c>
      <c r="BE14" s="61">
        <f t="shared" si="0"/>
        <v>1.2</v>
      </c>
      <c r="BF14" s="61">
        <f t="shared" si="1"/>
        <v>0.8</v>
      </c>
      <c r="BG14" s="61">
        <f t="shared" si="2"/>
        <v>1.2</v>
      </c>
      <c r="BH14" s="61">
        <f t="shared" ref="BH14:BH72" si="9">IF($AI14="",IF($AN14="",IF($K14="","",ROUNDUP($K14/1000*$BE$2,0)),ROUNDUP($AN14/1000*$BE$2,0)),IF($AS14="","",ROUNDUP($AS14/1000*$BE$2,0)))</f>
        <v>8</v>
      </c>
      <c r="BI14" s="277"/>
      <c r="BJ14" s="127"/>
      <c r="BK14" s="138"/>
      <c r="BL14" s="127"/>
      <c r="BM14" s="145" t="str">
        <f t="shared" ref="BM14:BM72" si="10">IF(AND(BI14="",BJ14="",BK14="",BL14=""),"",SUM(BI14:BL14))</f>
        <v/>
      </c>
      <c r="BN14" s="137"/>
      <c r="BO14" s="63" t="str">
        <f t="shared" ref="BO14:BO72" si="11">IF(BM14="","",BM14/BH14)</f>
        <v/>
      </c>
      <c r="BP14" s="339" t="str">
        <f t="shared" ref="BP14:BP72" si="12">IF(AND($BI14="",$BJ14="",$BK14="",$BL14=""),"",$BM14*1000/$CM14)</f>
        <v/>
      </c>
      <c r="BQ14" s="63" t="str">
        <f>IF(BP14="","",BP14/BE$2)</f>
        <v/>
      </c>
      <c r="BR14" s="65" t="str">
        <f t="shared" ref="BR14:BR73" si="13">IF(BQ14="","",IF(BQ14&lt;1-$BR$3,"過少",IF(BQ14&gt;1+$BR$2,"超過","良好")))</f>
        <v/>
      </c>
      <c r="BS14" s="161"/>
      <c r="BT14" s="169">
        <f t="shared" ref="BT14:BT72" si="14">IF($AI14="",IF($AN14="",IF($K14="","",ROUNDUP($K14/1000*$BE$3,0)),ROUNDUP($AN14/1000*$BE$3,0)),IF($AS14="","",ROUNDUP($AS14/1000*$BE$3,0)))</f>
        <v>2</v>
      </c>
      <c r="BU14" s="106">
        <v>43472</v>
      </c>
      <c r="BV14" s="107">
        <v>43472</v>
      </c>
      <c r="BW14" s="37"/>
      <c r="BX14" s="48"/>
      <c r="BY14" s="124"/>
      <c r="BZ14" s="69" t="str">
        <f t="shared" ref="BZ14:BZ72" si="15">IF(BC14="","",IF(BM14="",0,IF(ISERROR(BY14/BM14)=TRUE,"",(BY14/BM14))))</f>
        <v/>
      </c>
      <c r="CA14" s="129"/>
      <c r="CB14" s="129"/>
      <c r="CC14" s="153" t="str">
        <f t="shared" ref="CC14:CC73" si="16">IF(AND(CA14="",CB14=""),"",SUM(CA14:CB14))</f>
        <v/>
      </c>
      <c r="CD14" s="203" t="str">
        <f t="shared" ref="CD14:CD73" si="17">IF(AND(CA14="",CB14=""),"",IF(ISERROR(CC14/BT14),0,(CC14/BT14)))</f>
        <v/>
      </c>
      <c r="CE14" s="154" t="str">
        <f t="shared" ref="CE14:CE72" si="18">IF(AND(CA14="",CB14=""),"",(CC14*1000/$CM14))</f>
        <v/>
      </c>
      <c r="CF14" s="70" t="str">
        <f t="shared" ref="CF14:CF73" si="19">IF(CE14="","",CE14/BE$3)</f>
        <v/>
      </c>
      <c r="CG14" s="71" t="str">
        <f>IF(CF14="","",IF(CF14&lt;1-$BR$5,"不足",IF(CF14&gt;1+$BR$4,"超過","良好")))</f>
        <v/>
      </c>
      <c r="CH14" s="160"/>
      <c r="CI14" s="28"/>
      <c r="CJ14" s="171"/>
      <c r="CK14" s="271"/>
      <c r="CL14" s="275">
        <f t="shared" ref="CL14:CL72" si="20">IF(BC14="",BH14,BM14)</f>
        <v>8</v>
      </c>
      <c r="CM14" s="275" t="str">
        <f t="shared" ref="CM14:CM72" si="21">IF($BX14="",IF(AND($BI14="",$BJ14="",$BK14="",$BL14=""),"",IF($AS14="",$K14,$AS14)),IF(AND($BI14="",$BJ14="",$BK14="",$BL14=""),"",$AY14))</f>
        <v/>
      </c>
      <c r="CO14" s="3">
        <v>1</v>
      </c>
      <c r="CP14" s="3">
        <v>0.5</v>
      </c>
      <c r="CQ14" s="3">
        <v>1</v>
      </c>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c r="HF14" s="3"/>
      <c r="HG14" s="3"/>
      <c r="HH14" s="3"/>
      <c r="HI14" s="3"/>
      <c r="HJ14" s="3"/>
      <c r="HK14" s="3"/>
      <c r="HL14" s="3"/>
      <c r="HM14" s="3"/>
      <c r="HN14" s="3"/>
      <c r="HO14" s="3"/>
      <c r="HP14" s="3"/>
      <c r="HQ14" s="3"/>
      <c r="HR14" s="3"/>
      <c r="HS14" s="3"/>
      <c r="HT14" s="3"/>
      <c r="HU14" s="3"/>
      <c r="HV14" s="3"/>
      <c r="HW14" s="3"/>
      <c r="HX14" s="3"/>
      <c r="HY14" s="3"/>
      <c r="HZ14" s="3"/>
      <c r="IA14" s="3"/>
      <c r="IB14" s="3"/>
      <c r="IC14" s="3"/>
      <c r="ID14" s="3"/>
      <c r="IE14" s="3"/>
      <c r="IF14" s="3"/>
      <c r="IG14" s="3"/>
      <c r="IH14" s="3"/>
      <c r="II14" s="3"/>
      <c r="IJ14" s="3"/>
      <c r="IK14" s="3"/>
      <c r="IL14" s="3"/>
      <c r="IM14" s="3"/>
      <c r="IN14" s="3"/>
      <c r="IO14" s="3"/>
      <c r="IP14" s="3"/>
      <c r="IQ14" s="3"/>
      <c r="IR14" s="3"/>
      <c r="IS14" s="3"/>
      <c r="IT14" s="3"/>
      <c r="IU14" s="3"/>
    </row>
    <row r="15" spans="1:255" x14ac:dyDescent="0.2">
      <c r="A15" s="256">
        <f t="shared" si="3"/>
        <v>3</v>
      </c>
      <c r="B15" s="92" t="s">
        <v>270</v>
      </c>
      <c r="C15" s="93" t="s">
        <v>285</v>
      </c>
      <c r="D15" s="93" t="s">
        <v>272</v>
      </c>
      <c r="E15" s="49" t="s">
        <v>303</v>
      </c>
      <c r="F15" s="370" t="s">
        <v>292</v>
      </c>
      <c r="G15" s="94" t="s">
        <v>269</v>
      </c>
      <c r="H15" s="94" t="s">
        <v>96</v>
      </c>
      <c r="I15" s="178" t="s">
        <v>84</v>
      </c>
      <c r="J15" s="35" t="s">
        <v>332</v>
      </c>
      <c r="K15" s="217">
        <v>2000</v>
      </c>
      <c r="L15" s="218"/>
      <c r="M15" s="112">
        <v>43770</v>
      </c>
      <c r="N15" s="107">
        <v>43826</v>
      </c>
      <c r="O15" s="107"/>
      <c r="P15" s="112">
        <v>43770</v>
      </c>
      <c r="Q15" s="107">
        <v>43826</v>
      </c>
      <c r="R15" s="224">
        <v>18</v>
      </c>
      <c r="S15" s="224">
        <v>18</v>
      </c>
      <c r="T15" s="224">
        <v>18</v>
      </c>
      <c r="U15" s="59">
        <f>IF(ISERROR(T15/S15)=TRUE,"",T15/S15)</f>
        <v>1</v>
      </c>
      <c r="V15" s="40"/>
      <c r="W15" s="37"/>
      <c r="X15" s="227"/>
      <c r="Y15" s="101"/>
      <c r="Z15" s="103"/>
      <c r="AA15" s="227"/>
      <c r="AB15" s="210">
        <f t="shared" si="4"/>
        <v>0</v>
      </c>
      <c r="AC15" s="86"/>
      <c r="AD15" s="157"/>
      <c r="AE15" s="36">
        <v>43472</v>
      </c>
      <c r="AF15" s="37">
        <v>43474</v>
      </c>
      <c r="AG15" s="107" t="s">
        <v>334</v>
      </c>
      <c r="AH15" s="37"/>
      <c r="AI15" s="48"/>
      <c r="AJ15" s="233"/>
      <c r="AK15" s="234"/>
      <c r="AL15" s="234"/>
      <c r="AM15" s="235">
        <v>2000</v>
      </c>
      <c r="AN15" s="236">
        <f t="shared" si="5"/>
        <v>2000</v>
      </c>
      <c r="AO15" s="237">
        <v>0</v>
      </c>
      <c r="AP15" s="234">
        <v>0</v>
      </c>
      <c r="AQ15" s="234"/>
      <c r="AR15" s="235"/>
      <c r="AS15" s="236">
        <f t="shared" si="6"/>
        <v>0</v>
      </c>
      <c r="AT15" s="150" t="str">
        <f t="shared" ref="AT15:AT72" si="22">IF(OR($AN15="",$AO15="",$AP15="",$AR15=""),"",$AS15/$AN15)</f>
        <v/>
      </c>
      <c r="AU15" s="165"/>
      <c r="AV15" s="125"/>
      <c r="AW15" s="125"/>
      <c r="AX15" s="126"/>
      <c r="AY15" s="198" t="str">
        <f t="shared" si="7"/>
        <v/>
      </c>
      <c r="AZ15" s="40">
        <v>43506</v>
      </c>
      <c r="BA15" s="40">
        <v>43508</v>
      </c>
      <c r="BB15" s="37"/>
      <c r="BC15" s="37"/>
      <c r="BD15" s="61">
        <f>IF($BH15="","",$BH15*$BJ$2)</f>
        <v>108</v>
      </c>
      <c r="BE15" s="61">
        <f t="shared" si="0"/>
        <v>27</v>
      </c>
      <c r="BF15" s="61">
        <f t="shared" si="1"/>
        <v>18</v>
      </c>
      <c r="BG15" s="61">
        <f t="shared" si="2"/>
        <v>27</v>
      </c>
      <c r="BH15" s="61">
        <f t="shared" si="9"/>
        <v>180</v>
      </c>
      <c r="BI15" s="277"/>
      <c r="BJ15" s="127"/>
      <c r="BK15" s="138"/>
      <c r="BL15" s="127"/>
      <c r="BM15" s="145" t="str">
        <f t="shared" si="10"/>
        <v/>
      </c>
      <c r="BN15" s="137"/>
      <c r="BO15" s="66" t="str">
        <f t="shared" si="11"/>
        <v/>
      </c>
      <c r="BP15" s="339" t="str">
        <f t="shared" si="12"/>
        <v/>
      </c>
      <c r="BQ15" s="66" t="str">
        <f t="shared" ref="BQ15:BQ73" si="23">IF(BP15="","",BP15/BE$2)</f>
        <v/>
      </c>
      <c r="BR15" s="64" t="str">
        <f t="shared" si="13"/>
        <v/>
      </c>
      <c r="BS15" s="200"/>
      <c r="BT15" s="169">
        <f t="shared" si="14"/>
        <v>24</v>
      </c>
      <c r="BU15" s="82">
        <v>43509</v>
      </c>
      <c r="BV15" s="37">
        <v>43514</v>
      </c>
      <c r="BW15" s="37"/>
      <c r="BX15" s="48"/>
      <c r="BY15" s="124"/>
      <c r="BZ15" s="69" t="str">
        <f t="shared" si="15"/>
        <v/>
      </c>
      <c r="CA15" s="129"/>
      <c r="CB15" s="129"/>
      <c r="CC15" s="153" t="str">
        <f>IF(AND(CA15="",CB15=""),"",SUM(CA15:CB15))</f>
        <v/>
      </c>
      <c r="CD15" s="203" t="str">
        <f t="shared" si="17"/>
        <v/>
      </c>
      <c r="CE15" s="154" t="str">
        <f t="shared" si="18"/>
        <v/>
      </c>
      <c r="CF15" s="70" t="str">
        <f t="shared" si="19"/>
        <v/>
      </c>
      <c r="CG15" s="71" t="str">
        <f t="shared" ref="CG15:CG73" si="24">IF(CF15="","",IF(CF15&lt;1-$BR$5,"不足",IF(CF15&gt;1+$BR$4,"超過","良好")))</f>
        <v/>
      </c>
      <c r="CH15" s="160"/>
      <c r="CI15" s="28"/>
      <c r="CJ15" s="171"/>
      <c r="CK15" s="272"/>
      <c r="CL15" s="275">
        <f t="shared" si="20"/>
        <v>180</v>
      </c>
      <c r="CM15" s="275" t="str">
        <f t="shared" si="21"/>
        <v/>
      </c>
      <c r="CO15" s="3">
        <v>3</v>
      </c>
      <c r="CP15" s="3">
        <v>1.5</v>
      </c>
      <c r="CQ15" s="3">
        <v>3</v>
      </c>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c r="HF15" s="3"/>
      <c r="HG15" s="3"/>
      <c r="HH15" s="3"/>
      <c r="HI15" s="3"/>
      <c r="HJ15" s="3"/>
      <c r="HK15" s="3"/>
      <c r="HL15" s="3"/>
      <c r="HM15" s="3"/>
      <c r="HN15" s="3"/>
      <c r="HO15" s="3"/>
      <c r="HP15" s="3"/>
      <c r="HQ15" s="3"/>
      <c r="HR15" s="3"/>
      <c r="HS15" s="3"/>
      <c r="HT15" s="3"/>
      <c r="HU15" s="3"/>
      <c r="HV15" s="3"/>
      <c r="HW15" s="3"/>
      <c r="HX15" s="3"/>
      <c r="HY15" s="3"/>
      <c r="HZ15" s="3"/>
      <c r="IA15" s="3"/>
      <c r="IB15" s="3"/>
      <c r="IC15" s="3"/>
      <c r="ID15" s="3"/>
      <c r="IE15" s="3"/>
      <c r="IF15" s="3"/>
      <c r="IG15" s="3"/>
      <c r="IH15" s="3"/>
      <c r="II15" s="3"/>
      <c r="IJ15" s="3"/>
      <c r="IK15" s="3"/>
      <c r="IL15" s="3"/>
      <c r="IM15" s="3"/>
      <c r="IN15" s="3"/>
      <c r="IO15" s="3"/>
      <c r="IP15" s="3"/>
      <c r="IQ15" s="3"/>
      <c r="IR15" s="3"/>
      <c r="IS15" s="3"/>
      <c r="IT15" s="3"/>
      <c r="IU15" s="3"/>
    </row>
    <row r="16" spans="1:255" x14ac:dyDescent="0.2">
      <c r="A16" s="256">
        <f t="shared" si="3"/>
        <v>4</v>
      </c>
      <c r="B16" s="92" t="s">
        <v>270</v>
      </c>
      <c r="C16" s="93" t="s">
        <v>285</v>
      </c>
      <c r="D16" s="93" t="s">
        <v>273</v>
      </c>
      <c r="E16" s="49" t="s">
        <v>304</v>
      </c>
      <c r="F16" s="370" t="s">
        <v>292</v>
      </c>
      <c r="G16" s="94" t="s">
        <v>269</v>
      </c>
      <c r="H16" s="94" t="s">
        <v>96</v>
      </c>
      <c r="I16" s="178" t="s">
        <v>84</v>
      </c>
      <c r="J16" s="35" t="s">
        <v>332</v>
      </c>
      <c r="K16" s="217">
        <v>1000</v>
      </c>
      <c r="L16" s="218"/>
      <c r="M16" s="112">
        <v>43770</v>
      </c>
      <c r="N16" s="107">
        <v>43826</v>
      </c>
      <c r="O16" s="107"/>
      <c r="P16" s="112">
        <v>43770</v>
      </c>
      <c r="Q16" s="107">
        <v>43826</v>
      </c>
      <c r="R16" s="224">
        <v>19</v>
      </c>
      <c r="S16" s="224">
        <v>19</v>
      </c>
      <c r="T16" s="224">
        <v>19</v>
      </c>
      <c r="U16" s="59">
        <f t="shared" ref="U16:U72" si="25">IF(ISERROR(T16/S16)=TRUE,"",T16/S16)</f>
        <v>1</v>
      </c>
      <c r="V16" s="42"/>
      <c r="W16" s="37"/>
      <c r="X16" s="227"/>
      <c r="Y16" s="101"/>
      <c r="Z16" s="103"/>
      <c r="AA16" s="227"/>
      <c r="AB16" s="210">
        <f>IF(ISERROR(AA16/$T16)=TRUE,"",(AA16/$T16)*100)</f>
        <v>0</v>
      </c>
      <c r="AC16" s="86"/>
      <c r="AD16" s="157"/>
      <c r="AE16" s="37">
        <v>43474</v>
      </c>
      <c r="AF16" s="37">
        <v>43474</v>
      </c>
      <c r="AG16" s="107" t="s">
        <v>334</v>
      </c>
      <c r="AH16" s="37"/>
      <c r="AI16" s="48"/>
      <c r="AJ16" s="233"/>
      <c r="AK16" s="234"/>
      <c r="AL16" s="234"/>
      <c r="AM16" s="235">
        <v>1000</v>
      </c>
      <c r="AN16" s="236">
        <f t="shared" si="5"/>
        <v>1000</v>
      </c>
      <c r="AO16" s="237">
        <v>0</v>
      </c>
      <c r="AP16" s="234">
        <v>0</v>
      </c>
      <c r="AQ16" s="234"/>
      <c r="AR16" s="235"/>
      <c r="AS16" s="236">
        <f t="shared" si="6"/>
        <v>0</v>
      </c>
      <c r="AT16" s="150" t="str">
        <f>IF(OR($AN16="",$AO16="",$AP16="",$AR16=""),"",$AS16/$AN16)</f>
        <v/>
      </c>
      <c r="AU16" s="165"/>
      <c r="AV16" s="125"/>
      <c r="AW16" s="125"/>
      <c r="AX16" s="126"/>
      <c r="AY16" s="198" t="str">
        <f>IF(AND(AU16="",AV16="",AW16="",AX16=""),"",AU16*0.06+AV16*2+AX16)</f>
        <v/>
      </c>
      <c r="AZ16" s="40">
        <v>43506</v>
      </c>
      <c r="BA16" s="40">
        <v>43508</v>
      </c>
      <c r="BB16" s="37"/>
      <c r="BC16" s="37"/>
      <c r="BD16" s="61">
        <f>IF($BH16="","",$BH16*$BJ$2)</f>
        <v>54</v>
      </c>
      <c r="BE16" s="61">
        <f>IF($BH16="","",$BH16*$BJ$3)</f>
        <v>13.5</v>
      </c>
      <c r="BF16" s="61">
        <f>IF($BH16="","",$BH16*$BJ$4)</f>
        <v>9</v>
      </c>
      <c r="BG16" s="61">
        <f>IF($BH16="","",$BH16*$BJ$5)</f>
        <v>13.5</v>
      </c>
      <c r="BH16" s="61">
        <f t="shared" si="9"/>
        <v>90</v>
      </c>
      <c r="BI16" s="277"/>
      <c r="BJ16" s="127"/>
      <c r="BK16" s="138"/>
      <c r="BL16" s="127"/>
      <c r="BM16" s="145" t="str">
        <f>IF(AND(BI16="",BJ16="",BK16="",BL16=""),"",SUM(BI16:BL16))</f>
        <v/>
      </c>
      <c r="BN16" s="137"/>
      <c r="BO16" s="63" t="str">
        <f t="shared" si="11"/>
        <v/>
      </c>
      <c r="BP16" s="339" t="str">
        <f t="shared" si="12"/>
        <v/>
      </c>
      <c r="BQ16" s="63" t="str">
        <f t="shared" si="23"/>
        <v/>
      </c>
      <c r="BR16" s="67" t="str">
        <f t="shared" si="13"/>
        <v/>
      </c>
      <c r="BS16" s="159"/>
      <c r="BT16" s="169">
        <f t="shared" si="14"/>
        <v>12</v>
      </c>
      <c r="BU16" s="82">
        <v>43509</v>
      </c>
      <c r="BV16" s="37">
        <v>43514</v>
      </c>
      <c r="BW16" s="37"/>
      <c r="BX16" s="48"/>
      <c r="BY16" s="124"/>
      <c r="BZ16" s="69" t="str">
        <f t="shared" si="15"/>
        <v/>
      </c>
      <c r="CA16" s="129"/>
      <c r="CB16" s="129"/>
      <c r="CC16" s="153" t="str">
        <f>IF(AND(CA16="",CB16=""),"",SUM(CA16:CB16))</f>
        <v/>
      </c>
      <c r="CD16" s="203" t="str">
        <f t="shared" si="17"/>
        <v/>
      </c>
      <c r="CE16" s="154" t="str">
        <f t="shared" si="18"/>
        <v/>
      </c>
      <c r="CF16" s="70" t="str">
        <f t="shared" si="19"/>
        <v/>
      </c>
      <c r="CG16" s="72" t="str">
        <f t="shared" si="24"/>
        <v/>
      </c>
      <c r="CH16" s="161"/>
      <c r="CI16" s="28"/>
      <c r="CJ16" s="171"/>
      <c r="CK16" s="271"/>
      <c r="CL16" s="275">
        <f t="shared" si="20"/>
        <v>90</v>
      </c>
      <c r="CM16" s="275" t="str">
        <f t="shared" si="21"/>
        <v/>
      </c>
      <c r="CO16" s="3">
        <v>1</v>
      </c>
      <c r="CP16" s="3">
        <v>0.5</v>
      </c>
      <c r="CQ16" s="3">
        <v>1</v>
      </c>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c r="HF16" s="3"/>
      <c r="HG16" s="3"/>
      <c r="HH16" s="3"/>
      <c r="HI16" s="3"/>
      <c r="HJ16" s="3"/>
      <c r="HK16" s="3"/>
      <c r="HL16" s="3"/>
      <c r="HM16" s="3"/>
      <c r="HN16" s="3"/>
      <c r="HO16" s="3"/>
      <c r="HP16" s="3"/>
      <c r="HQ16" s="3"/>
      <c r="HR16" s="3"/>
      <c r="HS16" s="3"/>
      <c r="HT16" s="3"/>
      <c r="HU16" s="3"/>
      <c r="HV16" s="3"/>
      <c r="HW16" s="3"/>
      <c r="HX16" s="3"/>
      <c r="HY16" s="3"/>
      <c r="HZ16" s="3"/>
      <c r="IA16" s="3"/>
      <c r="IB16" s="3"/>
      <c r="IC16" s="3"/>
      <c r="ID16" s="3"/>
      <c r="IE16" s="3"/>
      <c r="IF16" s="3"/>
      <c r="IG16" s="3"/>
      <c r="IH16" s="3"/>
      <c r="II16" s="3"/>
      <c r="IJ16" s="3"/>
      <c r="IK16" s="3"/>
      <c r="IL16" s="3"/>
      <c r="IM16" s="3"/>
      <c r="IN16" s="3"/>
      <c r="IO16" s="3"/>
      <c r="IP16" s="3"/>
      <c r="IQ16" s="3"/>
      <c r="IR16" s="3"/>
      <c r="IS16" s="3"/>
      <c r="IT16" s="3"/>
      <c r="IU16" s="3"/>
    </row>
    <row r="17" spans="1:255" x14ac:dyDescent="0.2">
      <c r="A17" s="256">
        <f t="shared" si="3"/>
        <v>5</v>
      </c>
      <c r="B17" s="92" t="s">
        <v>270</v>
      </c>
      <c r="C17" s="92" t="s">
        <v>289</v>
      </c>
      <c r="D17" s="93" t="s">
        <v>274</v>
      </c>
      <c r="E17" s="49" t="s">
        <v>305</v>
      </c>
      <c r="F17" s="369" t="s">
        <v>293</v>
      </c>
      <c r="G17" s="94" t="s">
        <v>269</v>
      </c>
      <c r="H17" s="94" t="s">
        <v>96</v>
      </c>
      <c r="I17" s="178" t="s">
        <v>84</v>
      </c>
      <c r="J17" s="35" t="s">
        <v>329</v>
      </c>
      <c r="K17" s="217">
        <v>3000</v>
      </c>
      <c r="L17" s="218"/>
      <c r="M17" s="112">
        <v>43770</v>
      </c>
      <c r="N17" s="107">
        <v>43826</v>
      </c>
      <c r="O17" s="107"/>
      <c r="P17" s="112">
        <v>43770</v>
      </c>
      <c r="Q17" s="107">
        <v>43826</v>
      </c>
      <c r="R17" s="224">
        <v>16</v>
      </c>
      <c r="S17" s="224">
        <v>16</v>
      </c>
      <c r="T17" s="224">
        <v>16</v>
      </c>
      <c r="U17" s="59">
        <f t="shared" si="25"/>
        <v>1</v>
      </c>
      <c r="V17" s="42"/>
      <c r="W17" s="37"/>
      <c r="X17" s="227"/>
      <c r="Y17" s="101"/>
      <c r="Z17" s="103"/>
      <c r="AA17" s="227"/>
      <c r="AB17" s="210">
        <f t="shared" si="4"/>
        <v>0</v>
      </c>
      <c r="AC17" s="86"/>
      <c r="AD17" s="157"/>
      <c r="AE17" s="112">
        <v>43770</v>
      </c>
      <c r="AF17" s="107">
        <v>43826</v>
      </c>
      <c r="AG17" s="112"/>
      <c r="AH17" s="112">
        <v>43770</v>
      </c>
      <c r="AI17" s="107">
        <v>43826</v>
      </c>
      <c r="AJ17" s="233"/>
      <c r="AK17" s="234"/>
      <c r="AL17" s="234"/>
      <c r="AM17" s="235">
        <v>3000</v>
      </c>
      <c r="AN17" s="236">
        <f>IF(AND($AJ17="",$AK17="",$AM17=""),"",AJ17*0.06+AK17*2+AM17)</f>
        <v>3000</v>
      </c>
      <c r="AO17" s="237">
        <v>0</v>
      </c>
      <c r="AP17" s="234">
        <v>0</v>
      </c>
      <c r="AQ17" s="234"/>
      <c r="AR17" s="235">
        <v>512</v>
      </c>
      <c r="AS17" s="236">
        <f t="shared" si="6"/>
        <v>512</v>
      </c>
      <c r="AT17" s="150">
        <f t="shared" si="22"/>
        <v>0.17066666666666666</v>
      </c>
      <c r="AU17" s="165"/>
      <c r="AV17" s="125"/>
      <c r="AW17" s="125"/>
      <c r="AX17" s="126"/>
      <c r="AY17" s="198" t="str">
        <f t="shared" si="7"/>
        <v/>
      </c>
      <c r="AZ17" s="40">
        <v>43493</v>
      </c>
      <c r="BA17" s="37">
        <v>43494</v>
      </c>
      <c r="BB17" s="37"/>
      <c r="BC17" s="37"/>
      <c r="BD17" s="61">
        <f t="shared" si="8"/>
        <v>28.2</v>
      </c>
      <c r="BE17" s="61">
        <f t="shared" si="0"/>
        <v>7.05</v>
      </c>
      <c r="BF17" s="61">
        <f t="shared" si="1"/>
        <v>4.7</v>
      </c>
      <c r="BG17" s="61">
        <f t="shared" si="2"/>
        <v>7.05</v>
      </c>
      <c r="BH17" s="61">
        <f t="shared" si="9"/>
        <v>47</v>
      </c>
      <c r="BI17" s="277"/>
      <c r="BJ17" s="127"/>
      <c r="BK17" s="138"/>
      <c r="BL17" s="127"/>
      <c r="BM17" s="245" t="str">
        <f>IF(AND(BI17="",BJ17="",BK17="",BL17=""),"",SUM(BI17:BL17))</f>
        <v/>
      </c>
      <c r="BN17" s="137"/>
      <c r="BO17" s="63" t="str">
        <f t="shared" si="11"/>
        <v/>
      </c>
      <c r="BP17" s="339" t="str">
        <f t="shared" si="12"/>
        <v/>
      </c>
      <c r="BQ17" s="63" t="str">
        <f t="shared" si="23"/>
        <v/>
      </c>
      <c r="BR17" s="64" t="str">
        <f t="shared" si="13"/>
        <v/>
      </c>
      <c r="BS17" s="160"/>
      <c r="BT17" s="169">
        <f t="shared" si="14"/>
        <v>7</v>
      </c>
      <c r="BU17" s="36">
        <v>43496</v>
      </c>
      <c r="BV17" s="37">
        <v>43501</v>
      </c>
      <c r="BW17" s="37"/>
      <c r="BX17" s="48"/>
      <c r="BY17" s="124"/>
      <c r="BZ17" s="69" t="str">
        <f t="shared" si="15"/>
        <v/>
      </c>
      <c r="CA17" s="129"/>
      <c r="CB17" s="129"/>
      <c r="CC17" s="153" t="str">
        <f t="shared" si="16"/>
        <v/>
      </c>
      <c r="CD17" s="203" t="str">
        <f t="shared" si="17"/>
        <v/>
      </c>
      <c r="CE17" s="154" t="str">
        <f>IF(AND(CA17="",CB17=""),"",(CC17*1000/$CM17))</f>
        <v/>
      </c>
      <c r="CF17" s="73" t="str">
        <f t="shared" si="19"/>
        <v/>
      </c>
      <c r="CG17" s="208" t="str">
        <f t="shared" si="24"/>
        <v/>
      </c>
      <c r="CH17" s="246"/>
      <c r="CI17" s="28"/>
      <c r="CJ17" s="171"/>
      <c r="CK17" s="271"/>
      <c r="CL17" s="275">
        <f t="shared" si="20"/>
        <v>47</v>
      </c>
      <c r="CM17" s="275" t="str">
        <f t="shared" si="21"/>
        <v/>
      </c>
      <c r="CO17" s="3">
        <v>4</v>
      </c>
      <c r="CP17" s="3">
        <v>2</v>
      </c>
      <c r="CQ17" s="3">
        <v>3</v>
      </c>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c r="HF17" s="3"/>
      <c r="HG17" s="3"/>
      <c r="HH17" s="3"/>
      <c r="HI17" s="3"/>
      <c r="HJ17" s="3"/>
      <c r="HK17" s="3"/>
      <c r="HL17" s="3"/>
      <c r="HM17" s="3"/>
      <c r="HN17" s="3"/>
      <c r="HO17" s="3"/>
      <c r="HP17" s="3"/>
      <c r="HQ17" s="3"/>
      <c r="HR17" s="3"/>
      <c r="HS17" s="3"/>
      <c r="HT17" s="3"/>
      <c r="HU17" s="3"/>
      <c r="HV17" s="3"/>
      <c r="HW17" s="3"/>
      <c r="HX17" s="3"/>
      <c r="HY17" s="3"/>
      <c r="HZ17" s="3"/>
      <c r="IA17" s="3"/>
      <c r="IB17" s="3"/>
      <c r="IC17" s="3"/>
      <c r="ID17" s="3"/>
      <c r="IE17" s="3"/>
      <c r="IF17" s="3"/>
      <c r="IG17" s="3"/>
      <c r="IH17" s="3"/>
      <c r="II17" s="3"/>
      <c r="IJ17" s="3"/>
      <c r="IK17" s="3"/>
      <c r="IL17" s="3"/>
      <c r="IM17" s="3"/>
      <c r="IN17" s="3"/>
      <c r="IO17" s="3"/>
      <c r="IP17" s="3"/>
      <c r="IQ17" s="3"/>
      <c r="IR17" s="3"/>
      <c r="IS17" s="3"/>
      <c r="IT17" s="3"/>
      <c r="IU17" s="3"/>
    </row>
    <row r="18" spans="1:255" x14ac:dyDescent="0.2">
      <c r="A18" s="256">
        <f t="shared" si="3"/>
        <v>6</v>
      </c>
      <c r="B18" s="92" t="s">
        <v>270</v>
      </c>
      <c r="C18" s="92" t="s">
        <v>289</v>
      </c>
      <c r="D18" s="93" t="s">
        <v>338</v>
      </c>
      <c r="E18" s="49" t="s">
        <v>306</v>
      </c>
      <c r="F18" s="369" t="s">
        <v>293</v>
      </c>
      <c r="G18" s="94" t="s">
        <v>269</v>
      </c>
      <c r="H18" s="94" t="s">
        <v>96</v>
      </c>
      <c r="I18" s="178" t="s">
        <v>84</v>
      </c>
      <c r="J18" s="35" t="s">
        <v>329</v>
      </c>
      <c r="K18" s="217">
        <v>1500</v>
      </c>
      <c r="L18" s="218"/>
      <c r="M18" s="112">
        <v>43770</v>
      </c>
      <c r="N18" s="107">
        <v>43826</v>
      </c>
      <c r="O18" s="107"/>
      <c r="P18" s="112">
        <v>43770</v>
      </c>
      <c r="Q18" s="107">
        <v>43826</v>
      </c>
      <c r="R18" s="224">
        <v>17</v>
      </c>
      <c r="S18" s="224">
        <v>17</v>
      </c>
      <c r="T18" s="224">
        <v>17</v>
      </c>
      <c r="U18" s="59">
        <f t="shared" si="25"/>
        <v>1</v>
      </c>
      <c r="V18" s="42"/>
      <c r="W18" s="37"/>
      <c r="X18" s="227"/>
      <c r="Y18" s="101"/>
      <c r="Z18" s="103"/>
      <c r="AA18" s="227"/>
      <c r="AB18" s="210">
        <f t="shared" si="4"/>
        <v>0</v>
      </c>
      <c r="AC18" s="86"/>
      <c r="AD18" s="158"/>
      <c r="AE18" s="82"/>
      <c r="AF18" s="37"/>
      <c r="AG18" s="47" t="s">
        <v>337</v>
      </c>
      <c r="AH18" s="112"/>
      <c r="AI18" s="107"/>
      <c r="AJ18" s="233"/>
      <c r="AK18" s="234"/>
      <c r="AL18" s="234"/>
      <c r="AM18" s="235">
        <v>1500</v>
      </c>
      <c r="AN18" s="236">
        <f t="shared" si="5"/>
        <v>1500</v>
      </c>
      <c r="AO18" s="237">
        <v>0</v>
      </c>
      <c r="AP18" s="234">
        <v>0</v>
      </c>
      <c r="AQ18" s="234"/>
      <c r="AR18" s="235"/>
      <c r="AS18" s="236">
        <f t="shared" si="6"/>
        <v>0</v>
      </c>
      <c r="AT18" s="150" t="str">
        <f t="shared" si="22"/>
        <v/>
      </c>
      <c r="AU18" s="165"/>
      <c r="AV18" s="125"/>
      <c r="AW18" s="125"/>
      <c r="AX18" s="126"/>
      <c r="AY18" s="198" t="str">
        <f t="shared" si="7"/>
        <v/>
      </c>
      <c r="AZ18" s="40">
        <v>43494</v>
      </c>
      <c r="BA18" s="37">
        <v>43495</v>
      </c>
      <c r="BB18" s="37"/>
      <c r="BC18" s="37"/>
      <c r="BD18" s="61">
        <f t="shared" si="8"/>
        <v>81</v>
      </c>
      <c r="BE18" s="61">
        <f t="shared" si="0"/>
        <v>20.25</v>
      </c>
      <c r="BF18" s="61">
        <f t="shared" si="1"/>
        <v>13.5</v>
      </c>
      <c r="BG18" s="61">
        <f t="shared" si="2"/>
        <v>20.25</v>
      </c>
      <c r="BH18" s="61">
        <f t="shared" si="9"/>
        <v>135</v>
      </c>
      <c r="BI18" s="277"/>
      <c r="BJ18" s="127"/>
      <c r="BK18" s="138"/>
      <c r="BL18" s="127"/>
      <c r="BM18" s="145" t="str">
        <f t="shared" si="10"/>
        <v/>
      </c>
      <c r="BN18" s="137"/>
      <c r="BO18" s="63" t="str">
        <f t="shared" si="11"/>
        <v/>
      </c>
      <c r="BP18" s="339" t="str">
        <f t="shared" si="12"/>
        <v/>
      </c>
      <c r="BQ18" s="63" t="str">
        <f t="shared" si="23"/>
        <v/>
      </c>
      <c r="BR18" s="64" t="str">
        <f t="shared" si="13"/>
        <v/>
      </c>
      <c r="BS18" s="160"/>
      <c r="BT18" s="169">
        <f t="shared" si="14"/>
        <v>18</v>
      </c>
      <c r="BU18" s="36">
        <v>43501</v>
      </c>
      <c r="BV18" s="37">
        <v>43502</v>
      </c>
      <c r="BW18" s="37"/>
      <c r="BX18" s="48"/>
      <c r="BY18" s="124"/>
      <c r="BZ18" s="69" t="str">
        <f t="shared" si="15"/>
        <v/>
      </c>
      <c r="CA18" s="129"/>
      <c r="CB18" s="129"/>
      <c r="CC18" s="153" t="str">
        <f t="shared" si="16"/>
        <v/>
      </c>
      <c r="CD18" s="203" t="str">
        <f t="shared" si="17"/>
        <v/>
      </c>
      <c r="CE18" s="154" t="str">
        <f t="shared" si="18"/>
        <v/>
      </c>
      <c r="CF18" s="70" t="str">
        <f t="shared" si="19"/>
        <v/>
      </c>
      <c r="CG18" s="74" t="str">
        <f t="shared" si="24"/>
        <v/>
      </c>
      <c r="CH18" s="159"/>
      <c r="CI18" s="28"/>
      <c r="CJ18" s="171"/>
      <c r="CK18" s="271"/>
      <c r="CL18" s="275">
        <f t="shared" si="20"/>
        <v>135</v>
      </c>
      <c r="CM18" s="275" t="str">
        <f t="shared" si="21"/>
        <v/>
      </c>
      <c r="CO18" s="3">
        <v>2</v>
      </c>
      <c r="CP18" s="3">
        <v>1</v>
      </c>
      <c r="CQ18" s="3">
        <v>1</v>
      </c>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c r="II18" s="3"/>
      <c r="IJ18" s="3"/>
      <c r="IK18" s="3"/>
      <c r="IL18" s="3"/>
      <c r="IM18" s="3"/>
      <c r="IN18" s="3"/>
      <c r="IO18" s="3"/>
      <c r="IP18" s="3"/>
      <c r="IQ18" s="3"/>
      <c r="IR18" s="3"/>
      <c r="IS18" s="3"/>
      <c r="IT18" s="3"/>
      <c r="IU18" s="3"/>
    </row>
    <row r="19" spans="1:255" x14ac:dyDescent="0.2">
      <c r="A19" s="256">
        <f t="shared" si="3"/>
        <v>7</v>
      </c>
      <c r="B19" s="92" t="s">
        <v>270</v>
      </c>
      <c r="C19" s="92" t="s">
        <v>289</v>
      </c>
      <c r="D19" s="93" t="s">
        <v>340</v>
      </c>
      <c r="E19" s="49" t="s">
        <v>339</v>
      </c>
      <c r="F19" s="369" t="s">
        <v>293</v>
      </c>
      <c r="G19" s="94" t="s">
        <v>269</v>
      </c>
      <c r="H19" s="94" t="s">
        <v>96</v>
      </c>
      <c r="I19" s="178" t="s">
        <v>84</v>
      </c>
      <c r="J19" s="35" t="s">
        <v>329</v>
      </c>
      <c r="K19" s="217">
        <v>3000</v>
      </c>
      <c r="L19" s="218"/>
      <c r="M19" s="112">
        <v>43770</v>
      </c>
      <c r="N19" s="107">
        <v>43826</v>
      </c>
      <c r="O19" s="107"/>
      <c r="P19" s="112">
        <v>43770</v>
      </c>
      <c r="Q19" s="107">
        <v>43826</v>
      </c>
      <c r="R19" s="224">
        <v>17</v>
      </c>
      <c r="S19" s="224">
        <v>17</v>
      </c>
      <c r="T19" s="224">
        <v>17</v>
      </c>
      <c r="U19" s="59">
        <f t="shared" si="25"/>
        <v>1</v>
      </c>
      <c r="V19" s="42"/>
      <c r="W19" s="37"/>
      <c r="X19" s="227"/>
      <c r="Y19" s="101"/>
      <c r="Z19" s="103"/>
      <c r="AA19" s="227"/>
      <c r="AB19" s="210">
        <f t="shared" si="4"/>
        <v>0</v>
      </c>
      <c r="AC19" s="86"/>
      <c r="AD19" s="157"/>
      <c r="AE19" s="112">
        <v>43770</v>
      </c>
      <c r="AF19" s="107">
        <v>43826</v>
      </c>
      <c r="AG19" s="47" t="s">
        <v>337</v>
      </c>
      <c r="AH19" s="37"/>
      <c r="AI19" s="48"/>
      <c r="AJ19" s="233"/>
      <c r="AK19" s="234"/>
      <c r="AL19" s="234"/>
      <c r="AM19" s="235">
        <v>3000</v>
      </c>
      <c r="AN19" s="236">
        <f t="shared" si="5"/>
        <v>3000</v>
      </c>
      <c r="AO19" s="237">
        <v>0</v>
      </c>
      <c r="AP19" s="234">
        <v>0</v>
      </c>
      <c r="AQ19" s="234"/>
      <c r="AR19" s="235"/>
      <c r="AS19" s="236">
        <f t="shared" si="6"/>
        <v>0</v>
      </c>
      <c r="AT19" s="150" t="str">
        <f t="shared" si="22"/>
        <v/>
      </c>
      <c r="AU19" s="165"/>
      <c r="AV19" s="125"/>
      <c r="AW19" s="125"/>
      <c r="AX19" s="126"/>
      <c r="AY19" s="198" t="str">
        <f t="shared" si="7"/>
        <v/>
      </c>
      <c r="AZ19" s="40">
        <v>43503</v>
      </c>
      <c r="BA19" s="37">
        <v>43508</v>
      </c>
      <c r="BB19" s="37"/>
      <c r="BC19" s="37"/>
      <c r="BD19" s="61">
        <f t="shared" si="8"/>
        <v>162</v>
      </c>
      <c r="BE19" s="61">
        <f t="shared" si="0"/>
        <v>40.5</v>
      </c>
      <c r="BF19" s="61">
        <f t="shared" si="1"/>
        <v>27</v>
      </c>
      <c r="BG19" s="61">
        <f t="shared" si="2"/>
        <v>40.5</v>
      </c>
      <c r="BH19" s="61">
        <f t="shared" si="9"/>
        <v>270</v>
      </c>
      <c r="BI19" s="277"/>
      <c r="BJ19" s="127"/>
      <c r="BK19" s="138"/>
      <c r="BL19" s="127"/>
      <c r="BM19" s="145" t="str">
        <f t="shared" si="10"/>
        <v/>
      </c>
      <c r="BN19" s="137"/>
      <c r="BO19" s="63" t="str">
        <f t="shared" si="11"/>
        <v/>
      </c>
      <c r="BP19" s="339" t="str">
        <f t="shared" si="12"/>
        <v/>
      </c>
      <c r="BQ19" s="63" t="str">
        <f t="shared" si="23"/>
        <v/>
      </c>
      <c r="BR19" s="64" t="str">
        <f t="shared" si="13"/>
        <v/>
      </c>
      <c r="BS19" s="160"/>
      <c r="BT19" s="169">
        <f t="shared" si="14"/>
        <v>36</v>
      </c>
      <c r="BU19" s="36">
        <v>43510</v>
      </c>
      <c r="BV19" s="37">
        <v>43515</v>
      </c>
      <c r="BW19" s="37"/>
      <c r="BX19" s="48"/>
      <c r="BY19" s="124"/>
      <c r="BZ19" s="69" t="str">
        <f t="shared" si="15"/>
        <v/>
      </c>
      <c r="CA19" s="129"/>
      <c r="CB19" s="129"/>
      <c r="CC19" s="153" t="str">
        <f t="shared" si="16"/>
        <v/>
      </c>
      <c r="CD19" s="203" t="str">
        <f t="shared" si="17"/>
        <v/>
      </c>
      <c r="CE19" s="154" t="str">
        <f t="shared" si="18"/>
        <v/>
      </c>
      <c r="CF19" s="70" t="str">
        <f t="shared" si="19"/>
        <v/>
      </c>
      <c r="CG19" s="71" t="str">
        <f t="shared" si="24"/>
        <v/>
      </c>
      <c r="CH19" s="160"/>
      <c r="CI19" s="28"/>
      <c r="CJ19" s="171"/>
      <c r="CK19" s="271"/>
      <c r="CL19" s="275">
        <f t="shared" si="20"/>
        <v>270</v>
      </c>
      <c r="CM19" s="275" t="str">
        <f t="shared" si="21"/>
        <v/>
      </c>
      <c r="CO19" s="3">
        <v>4</v>
      </c>
      <c r="CP19" s="3">
        <v>2</v>
      </c>
      <c r="CQ19" s="3">
        <v>3</v>
      </c>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c r="HF19" s="3"/>
      <c r="HG19" s="3"/>
      <c r="HH19" s="3"/>
      <c r="HI19" s="3"/>
      <c r="HJ19" s="3"/>
      <c r="HK19" s="3"/>
      <c r="HL19" s="3"/>
      <c r="HM19" s="3"/>
      <c r="HN19" s="3"/>
      <c r="HO19" s="3"/>
      <c r="HP19" s="3"/>
      <c r="HQ19" s="3"/>
      <c r="HR19" s="3"/>
      <c r="HS19" s="3"/>
      <c r="HT19" s="3"/>
      <c r="HU19" s="3"/>
      <c r="HV19" s="3"/>
      <c r="HW19" s="3"/>
      <c r="HX19" s="3"/>
      <c r="HY19" s="3"/>
      <c r="HZ19" s="3"/>
      <c r="IA19" s="3"/>
      <c r="IB19" s="3"/>
      <c r="IC19" s="3"/>
      <c r="ID19" s="3"/>
      <c r="IE19" s="3"/>
      <c r="IF19" s="3"/>
      <c r="IG19" s="3"/>
      <c r="IH19" s="3"/>
      <c r="II19" s="3"/>
      <c r="IJ19" s="3"/>
      <c r="IK19" s="3"/>
      <c r="IL19" s="3"/>
      <c r="IM19" s="3"/>
      <c r="IN19" s="3"/>
      <c r="IO19" s="3"/>
      <c r="IP19" s="3"/>
      <c r="IQ19" s="3"/>
      <c r="IR19" s="3"/>
      <c r="IS19" s="3"/>
      <c r="IT19" s="3"/>
      <c r="IU19" s="3"/>
    </row>
    <row r="20" spans="1:255" x14ac:dyDescent="0.2">
      <c r="A20" s="256">
        <f t="shared" si="3"/>
        <v>8</v>
      </c>
      <c r="B20" s="92" t="s">
        <v>270</v>
      </c>
      <c r="C20" s="92" t="s">
        <v>289</v>
      </c>
      <c r="D20" s="93" t="s">
        <v>275</v>
      </c>
      <c r="E20" s="49" t="s">
        <v>307</v>
      </c>
      <c r="F20" s="369" t="s">
        <v>293</v>
      </c>
      <c r="G20" s="94" t="s">
        <v>269</v>
      </c>
      <c r="H20" s="94" t="s">
        <v>96</v>
      </c>
      <c r="I20" s="178" t="s">
        <v>84</v>
      </c>
      <c r="J20" s="35" t="s">
        <v>329</v>
      </c>
      <c r="K20" s="217">
        <v>1500</v>
      </c>
      <c r="L20" s="218"/>
      <c r="M20" s="112">
        <v>43770</v>
      </c>
      <c r="N20" s="107">
        <v>43826</v>
      </c>
      <c r="O20" s="107"/>
      <c r="P20" s="112">
        <v>43770</v>
      </c>
      <c r="Q20" s="107">
        <v>43826</v>
      </c>
      <c r="R20" s="224">
        <v>24</v>
      </c>
      <c r="S20" s="224">
        <v>24</v>
      </c>
      <c r="T20" s="224">
        <v>24</v>
      </c>
      <c r="U20" s="59">
        <f t="shared" si="25"/>
        <v>1</v>
      </c>
      <c r="V20" s="40"/>
      <c r="W20" s="37"/>
      <c r="X20" s="227"/>
      <c r="Y20" s="101"/>
      <c r="Z20" s="103"/>
      <c r="AA20" s="227"/>
      <c r="AB20" s="210">
        <f t="shared" si="4"/>
        <v>0</v>
      </c>
      <c r="AC20" s="86"/>
      <c r="AD20" s="157"/>
      <c r="AE20" s="112">
        <v>43770</v>
      </c>
      <c r="AF20" s="107">
        <v>43826</v>
      </c>
      <c r="AG20" s="47" t="s">
        <v>337</v>
      </c>
      <c r="AH20" s="37"/>
      <c r="AI20" s="48"/>
      <c r="AJ20" s="233"/>
      <c r="AK20" s="234"/>
      <c r="AL20" s="234"/>
      <c r="AM20" s="235">
        <v>1500</v>
      </c>
      <c r="AN20" s="236">
        <f t="shared" si="5"/>
        <v>1500</v>
      </c>
      <c r="AO20" s="237">
        <v>0</v>
      </c>
      <c r="AP20" s="234">
        <v>0</v>
      </c>
      <c r="AQ20" s="234"/>
      <c r="AR20" s="235"/>
      <c r="AS20" s="236">
        <f t="shared" si="6"/>
        <v>0</v>
      </c>
      <c r="AT20" s="150" t="str">
        <f t="shared" si="22"/>
        <v/>
      </c>
      <c r="AU20" s="165"/>
      <c r="AV20" s="125"/>
      <c r="AW20" s="125"/>
      <c r="AX20" s="126"/>
      <c r="AY20" s="198" t="str">
        <f t="shared" si="7"/>
        <v/>
      </c>
      <c r="AZ20" s="40">
        <v>43506</v>
      </c>
      <c r="BA20" s="37">
        <v>43508</v>
      </c>
      <c r="BB20" s="37"/>
      <c r="BC20" s="37"/>
      <c r="BD20" s="61">
        <f>IF($BH20="","",$BH20*$BJ$2)</f>
        <v>81</v>
      </c>
      <c r="BE20" s="61">
        <f t="shared" si="0"/>
        <v>20.25</v>
      </c>
      <c r="BF20" s="61">
        <f t="shared" si="1"/>
        <v>13.5</v>
      </c>
      <c r="BG20" s="61">
        <f t="shared" si="2"/>
        <v>20.25</v>
      </c>
      <c r="BH20" s="61">
        <f t="shared" si="9"/>
        <v>135</v>
      </c>
      <c r="BI20" s="134"/>
      <c r="BJ20" s="134"/>
      <c r="BK20" s="135"/>
      <c r="BL20" s="134"/>
      <c r="BM20" s="136" t="str">
        <f t="shared" si="10"/>
        <v/>
      </c>
      <c r="BN20" s="137"/>
      <c r="BO20" s="63" t="str">
        <f t="shared" si="11"/>
        <v/>
      </c>
      <c r="BP20" s="339" t="str">
        <f t="shared" si="12"/>
        <v/>
      </c>
      <c r="BQ20" s="63" t="str">
        <f>IF(BP20="","",BP20/BE$2)</f>
        <v/>
      </c>
      <c r="BR20" s="64" t="str">
        <f t="shared" si="13"/>
        <v/>
      </c>
      <c r="BS20" s="160"/>
      <c r="BT20" s="169">
        <f t="shared" si="14"/>
        <v>18</v>
      </c>
      <c r="BU20" s="36">
        <v>43514</v>
      </c>
      <c r="BV20" s="37">
        <v>43515</v>
      </c>
      <c r="BW20" s="37"/>
      <c r="BX20" s="107"/>
      <c r="BY20" s="122"/>
      <c r="BZ20" s="69" t="str">
        <f t="shared" si="15"/>
        <v/>
      </c>
      <c r="CA20" s="129"/>
      <c r="CB20" s="129"/>
      <c r="CC20" s="153" t="str">
        <f t="shared" si="16"/>
        <v/>
      </c>
      <c r="CD20" s="203" t="str">
        <f t="shared" si="17"/>
        <v/>
      </c>
      <c r="CE20" s="154" t="str">
        <f t="shared" si="18"/>
        <v/>
      </c>
      <c r="CF20" s="70" t="str">
        <f t="shared" si="19"/>
        <v/>
      </c>
      <c r="CG20" s="71" t="str">
        <f t="shared" si="24"/>
        <v/>
      </c>
      <c r="CH20" s="160"/>
      <c r="CI20" s="28"/>
      <c r="CJ20" s="171"/>
      <c r="CK20" s="271"/>
      <c r="CL20" s="275">
        <f t="shared" si="20"/>
        <v>135</v>
      </c>
      <c r="CM20" s="275" t="str">
        <f>IF($BX20="",IF(AND($BI20="",$BJ20="",$BK20="",$BL20=""),"",IF($AS20="",$K20,$AS20)),IF(AND($BI20="",$BJ20="",$BK20="",$BL20=""),"",$AY20))</f>
        <v/>
      </c>
      <c r="CO20" s="3">
        <v>2</v>
      </c>
      <c r="CP20" s="3">
        <v>1</v>
      </c>
      <c r="CQ20" s="3">
        <v>1</v>
      </c>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c r="HF20" s="3"/>
      <c r="HG20" s="3"/>
      <c r="HH20" s="3"/>
      <c r="HI20" s="3"/>
      <c r="HJ20" s="3"/>
      <c r="HK20" s="3"/>
      <c r="HL20" s="3"/>
      <c r="HM20" s="3"/>
      <c r="HN20" s="3"/>
      <c r="HO20" s="3"/>
      <c r="HP20" s="3"/>
      <c r="HQ20" s="3"/>
      <c r="HR20" s="3"/>
      <c r="HS20" s="3"/>
      <c r="HT20" s="3"/>
      <c r="HU20" s="3"/>
      <c r="HV20" s="3"/>
      <c r="HW20" s="3"/>
      <c r="HX20" s="3"/>
      <c r="HY20" s="3"/>
      <c r="HZ20" s="3"/>
      <c r="IA20" s="3"/>
      <c r="IB20" s="3"/>
      <c r="IC20" s="3"/>
      <c r="ID20" s="3"/>
      <c r="IE20" s="3"/>
      <c r="IF20" s="3"/>
      <c r="IG20" s="3"/>
      <c r="IH20" s="3"/>
      <c r="II20" s="3"/>
      <c r="IJ20" s="3"/>
      <c r="IK20" s="3"/>
      <c r="IL20" s="3"/>
      <c r="IM20" s="3"/>
      <c r="IN20" s="3"/>
      <c r="IO20" s="3"/>
      <c r="IP20" s="3"/>
      <c r="IQ20" s="3"/>
      <c r="IR20" s="3"/>
      <c r="IS20" s="3"/>
      <c r="IT20" s="3"/>
      <c r="IU20" s="3"/>
    </row>
    <row r="21" spans="1:255" x14ac:dyDescent="0.2">
      <c r="A21" s="256">
        <f>IF($E21="","",ROW()-12)</f>
        <v>9</v>
      </c>
      <c r="B21" s="92" t="s">
        <v>270</v>
      </c>
      <c r="C21" s="92" t="s">
        <v>289</v>
      </c>
      <c r="D21" s="93" t="s">
        <v>276</v>
      </c>
      <c r="E21" s="29" t="s">
        <v>308</v>
      </c>
      <c r="F21" s="369" t="s">
        <v>293</v>
      </c>
      <c r="G21" s="94" t="s">
        <v>269</v>
      </c>
      <c r="H21" s="94" t="s">
        <v>96</v>
      </c>
      <c r="I21" s="178" t="s">
        <v>84</v>
      </c>
      <c r="J21" s="35" t="s">
        <v>332</v>
      </c>
      <c r="K21" s="217">
        <v>2000</v>
      </c>
      <c r="L21" s="218"/>
      <c r="M21" s="112">
        <v>43770</v>
      </c>
      <c r="N21" s="107">
        <v>43826</v>
      </c>
      <c r="O21" s="107"/>
      <c r="P21" s="112">
        <v>43770</v>
      </c>
      <c r="Q21" s="107">
        <v>43826</v>
      </c>
      <c r="R21" s="224">
        <v>12</v>
      </c>
      <c r="S21" s="224">
        <v>12</v>
      </c>
      <c r="T21" s="224">
        <v>12</v>
      </c>
      <c r="U21" s="59">
        <f t="shared" si="25"/>
        <v>1</v>
      </c>
      <c r="V21" s="40"/>
      <c r="W21" s="47"/>
      <c r="X21" s="227"/>
      <c r="Y21" s="101"/>
      <c r="Z21" s="103"/>
      <c r="AA21" s="227"/>
      <c r="AB21" s="210">
        <f t="shared" si="4"/>
        <v>0</v>
      </c>
      <c r="AC21" s="86"/>
      <c r="AD21" s="157"/>
      <c r="AE21" s="112">
        <v>43770</v>
      </c>
      <c r="AF21" s="107">
        <v>43826</v>
      </c>
      <c r="AG21" s="37"/>
      <c r="AH21" s="112">
        <v>43770</v>
      </c>
      <c r="AI21" s="107">
        <v>43826</v>
      </c>
      <c r="AJ21" s="233"/>
      <c r="AK21" s="234"/>
      <c r="AL21" s="234"/>
      <c r="AM21" s="235">
        <v>2000</v>
      </c>
      <c r="AN21" s="236">
        <f t="shared" si="5"/>
        <v>2000</v>
      </c>
      <c r="AO21" s="237">
        <v>0</v>
      </c>
      <c r="AP21" s="234">
        <v>0</v>
      </c>
      <c r="AQ21" s="234"/>
      <c r="AR21" s="235">
        <v>481</v>
      </c>
      <c r="AS21" s="236">
        <f t="shared" si="6"/>
        <v>481</v>
      </c>
      <c r="AT21" s="150">
        <f t="shared" si="22"/>
        <v>0.24049999999999999</v>
      </c>
      <c r="AU21" s="165"/>
      <c r="AV21" s="125"/>
      <c r="AW21" s="125"/>
      <c r="AX21" s="126"/>
      <c r="AY21" s="198" t="str">
        <f t="shared" si="7"/>
        <v/>
      </c>
      <c r="AZ21" s="40">
        <v>43479</v>
      </c>
      <c r="BA21" s="37">
        <v>43480</v>
      </c>
      <c r="BB21" s="37"/>
      <c r="BC21" s="37"/>
      <c r="BD21" s="61">
        <f t="shared" si="8"/>
        <v>26.4</v>
      </c>
      <c r="BE21" s="61">
        <f t="shared" si="0"/>
        <v>6.6</v>
      </c>
      <c r="BF21" s="61">
        <f t="shared" si="1"/>
        <v>4.4000000000000004</v>
      </c>
      <c r="BG21" s="61">
        <f t="shared" si="2"/>
        <v>6.6</v>
      </c>
      <c r="BH21" s="61">
        <f t="shared" si="9"/>
        <v>44</v>
      </c>
      <c r="BI21" s="134"/>
      <c r="BJ21" s="134"/>
      <c r="BK21" s="138"/>
      <c r="BL21" s="134"/>
      <c r="BM21" s="136" t="str">
        <f t="shared" si="10"/>
        <v/>
      </c>
      <c r="BN21" s="137"/>
      <c r="BO21" s="63" t="str">
        <f t="shared" si="11"/>
        <v/>
      </c>
      <c r="BP21" s="339" t="str">
        <f t="shared" si="12"/>
        <v/>
      </c>
      <c r="BQ21" s="63" t="str">
        <f t="shared" si="23"/>
        <v/>
      </c>
      <c r="BR21" s="64" t="str">
        <f t="shared" si="13"/>
        <v/>
      </c>
      <c r="BS21" s="160"/>
      <c r="BT21" s="169">
        <f t="shared" si="14"/>
        <v>6</v>
      </c>
      <c r="BU21" s="36">
        <v>43481</v>
      </c>
      <c r="BV21" s="37">
        <v>43485</v>
      </c>
      <c r="BW21" s="37"/>
      <c r="BX21" s="37"/>
      <c r="BY21" s="125"/>
      <c r="BZ21" s="69" t="str">
        <f t="shared" si="15"/>
        <v/>
      </c>
      <c r="CA21" s="129"/>
      <c r="CB21" s="129"/>
      <c r="CC21" s="153" t="str">
        <f t="shared" si="16"/>
        <v/>
      </c>
      <c r="CD21" s="203" t="str">
        <f t="shared" si="17"/>
        <v/>
      </c>
      <c r="CE21" s="154" t="str">
        <f t="shared" si="18"/>
        <v/>
      </c>
      <c r="CF21" s="70" t="str">
        <f t="shared" si="19"/>
        <v/>
      </c>
      <c r="CG21" s="71" t="str">
        <f t="shared" si="24"/>
        <v/>
      </c>
      <c r="CH21" s="160"/>
      <c r="CI21" s="28"/>
      <c r="CJ21" s="171"/>
      <c r="CK21" s="271"/>
      <c r="CL21" s="275">
        <f t="shared" si="20"/>
        <v>44</v>
      </c>
      <c r="CM21" s="275" t="str">
        <f t="shared" si="21"/>
        <v/>
      </c>
      <c r="CO21" s="3">
        <v>3</v>
      </c>
      <c r="CP21" s="3">
        <v>1</v>
      </c>
      <c r="CQ21" s="3">
        <v>3</v>
      </c>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c r="IR21" s="3"/>
      <c r="IS21" s="3"/>
      <c r="IT21" s="3"/>
      <c r="IU21" s="3"/>
    </row>
    <row r="22" spans="1:255" x14ac:dyDescent="0.2">
      <c r="A22" s="256">
        <f t="shared" si="3"/>
        <v>10</v>
      </c>
      <c r="B22" s="92" t="s">
        <v>270</v>
      </c>
      <c r="C22" s="92" t="s">
        <v>289</v>
      </c>
      <c r="D22" s="93" t="s">
        <v>277</v>
      </c>
      <c r="E22" s="24" t="s">
        <v>309</v>
      </c>
      <c r="F22" s="369" t="s">
        <v>293</v>
      </c>
      <c r="G22" s="94" t="s">
        <v>269</v>
      </c>
      <c r="H22" s="94" t="s">
        <v>96</v>
      </c>
      <c r="I22" s="178" t="s">
        <v>84</v>
      </c>
      <c r="J22" s="35" t="s">
        <v>332</v>
      </c>
      <c r="K22" s="217">
        <v>1000</v>
      </c>
      <c r="L22" s="218"/>
      <c r="M22" s="112">
        <v>43770</v>
      </c>
      <c r="N22" s="107">
        <v>43826</v>
      </c>
      <c r="O22" s="107"/>
      <c r="P22" s="112">
        <v>43770</v>
      </c>
      <c r="Q22" s="107">
        <v>43826</v>
      </c>
      <c r="R22" s="224">
        <v>16</v>
      </c>
      <c r="S22" s="224">
        <v>16</v>
      </c>
      <c r="T22" s="224">
        <v>16</v>
      </c>
      <c r="U22" s="59">
        <f t="shared" si="25"/>
        <v>1</v>
      </c>
      <c r="V22" s="42"/>
      <c r="W22" s="37"/>
      <c r="X22" s="227"/>
      <c r="Y22" s="101"/>
      <c r="Z22" s="103"/>
      <c r="AA22" s="227"/>
      <c r="AB22" s="210">
        <f t="shared" si="4"/>
        <v>0</v>
      </c>
      <c r="AC22" s="86"/>
      <c r="AD22" s="157"/>
      <c r="AE22" s="112">
        <v>43770</v>
      </c>
      <c r="AF22" s="107">
        <v>43826</v>
      </c>
      <c r="AG22" s="37"/>
      <c r="AH22" s="112">
        <v>43770</v>
      </c>
      <c r="AI22" s="107">
        <v>43826</v>
      </c>
      <c r="AJ22" s="233"/>
      <c r="AK22" s="234"/>
      <c r="AL22" s="234"/>
      <c r="AM22" s="235">
        <v>1000</v>
      </c>
      <c r="AN22" s="236">
        <f t="shared" si="5"/>
        <v>1000</v>
      </c>
      <c r="AO22" s="237">
        <v>0</v>
      </c>
      <c r="AP22" s="234">
        <v>0</v>
      </c>
      <c r="AQ22" s="234"/>
      <c r="AR22" s="235">
        <v>281</v>
      </c>
      <c r="AS22" s="236">
        <f t="shared" si="6"/>
        <v>281</v>
      </c>
      <c r="AT22" s="150">
        <f t="shared" si="22"/>
        <v>0.28100000000000003</v>
      </c>
      <c r="AU22" s="165"/>
      <c r="AV22" s="125"/>
      <c r="AW22" s="125"/>
      <c r="AX22" s="126"/>
      <c r="AY22" s="198" t="str">
        <f t="shared" si="7"/>
        <v/>
      </c>
      <c r="AZ22" s="40">
        <v>43480</v>
      </c>
      <c r="BA22" s="37">
        <v>43480</v>
      </c>
      <c r="BB22" s="37"/>
      <c r="BC22" s="37"/>
      <c r="BD22" s="61">
        <f t="shared" si="8"/>
        <v>15.6</v>
      </c>
      <c r="BE22" s="61">
        <f t="shared" si="0"/>
        <v>3.9</v>
      </c>
      <c r="BF22" s="61">
        <f t="shared" si="1"/>
        <v>2.6</v>
      </c>
      <c r="BG22" s="61">
        <f t="shared" si="2"/>
        <v>3.9</v>
      </c>
      <c r="BH22" s="61">
        <f t="shared" si="9"/>
        <v>26</v>
      </c>
      <c r="BI22" s="134"/>
      <c r="BJ22" s="134"/>
      <c r="BK22" s="138"/>
      <c r="BL22" s="134"/>
      <c r="BM22" s="136" t="str">
        <f t="shared" si="10"/>
        <v/>
      </c>
      <c r="BN22" s="137"/>
      <c r="BO22" s="63" t="str">
        <f t="shared" si="11"/>
        <v/>
      </c>
      <c r="BP22" s="339" t="str">
        <f t="shared" si="12"/>
        <v/>
      </c>
      <c r="BQ22" s="63" t="str">
        <f t="shared" si="23"/>
        <v/>
      </c>
      <c r="BR22" s="64" t="str">
        <f t="shared" si="13"/>
        <v/>
      </c>
      <c r="BS22" s="160"/>
      <c r="BT22" s="169">
        <f t="shared" si="14"/>
        <v>4</v>
      </c>
      <c r="BU22" s="36">
        <v>43481</v>
      </c>
      <c r="BV22" s="37">
        <v>43485</v>
      </c>
      <c r="BW22" s="37"/>
      <c r="BX22" s="37"/>
      <c r="BY22" s="125"/>
      <c r="BZ22" s="69" t="str">
        <f t="shared" si="15"/>
        <v/>
      </c>
      <c r="CA22" s="129"/>
      <c r="CB22" s="129"/>
      <c r="CC22" s="153" t="str">
        <f t="shared" si="16"/>
        <v/>
      </c>
      <c r="CD22" s="203" t="str">
        <f t="shared" si="17"/>
        <v/>
      </c>
      <c r="CE22" s="154" t="str">
        <f t="shared" si="18"/>
        <v/>
      </c>
      <c r="CF22" s="70" t="str">
        <f t="shared" si="19"/>
        <v/>
      </c>
      <c r="CG22" s="71" t="str">
        <f t="shared" si="24"/>
        <v/>
      </c>
      <c r="CH22" s="160"/>
      <c r="CI22" s="28"/>
      <c r="CJ22" s="171"/>
      <c r="CK22" s="271"/>
      <c r="CL22" s="275">
        <f t="shared" si="20"/>
        <v>26</v>
      </c>
      <c r="CM22" s="275" t="str">
        <f t="shared" si="21"/>
        <v/>
      </c>
      <c r="CO22" s="3">
        <v>1</v>
      </c>
      <c r="CP22" s="3">
        <v>1</v>
      </c>
      <c r="CQ22" s="3">
        <v>1</v>
      </c>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c r="IR22" s="3"/>
      <c r="IS22" s="3"/>
      <c r="IT22" s="3"/>
      <c r="IU22" s="3"/>
    </row>
    <row r="23" spans="1:255" x14ac:dyDescent="0.2">
      <c r="A23" s="256">
        <f t="shared" si="3"/>
        <v>11</v>
      </c>
      <c r="B23" s="92" t="s">
        <v>270</v>
      </c>
      <c r="C23" s="92" t="s">
        <v>289</v>
      </c>
      <c r="D23" s="24" t="s">
        <v>278</v>
      </c>
      <c r="E23" s="24" t="s">
        <v>310</v>
      </c>
      <c r="F23" s="369" t="s">
        <v>293</v>
      </c>
      <c r="G23" s="94" t="s">
        <v>269</v>
      </c>
      <c r="H23" s="94" t="s">
        <v>96</v>
      </c>
      <c r="I23" s="178" t="s">
        <v>84</v>
      </c>
      <c r="J23" s="35" t="s">
        <v>332</v>
      </c>
      <c r="K23" s="219">
        <v>1500</v>
      </c>
      <c r="L23" s="220"/>
      <c r="M23" s="112">
        <v>43770</v>
      </c>
      <c r="N23" s="107">
        <v>43826</v>
      </c>
      <c r="O23" s="107"/>
      <c r="P23" s="112">
        <v>43770</v>
      </c>
      <c r="Q23" s="107">
        <v>43826</v>
      </c>
      <c r="R23" s="224">
        <v>13</v>
      </c>
      <c r="S23" s="224">
        <v>13</v>
      </c>
      <c r="T23" s="224">
        <v>13</v>
      </c>
      <c r="U23" s="59">
        <f t="shared" si="25"/>
        <v>1</v>
      </c>
      <c r="V23" s="40"/>
      <c r="W23" s="37"/>
      <c r="X23" s="227"/>
      <c r="Y23" s="101"/>
      <c r="Z23" s="104"/>
      <c r="AA23" s="227"/>
      <c r="AB23" s="210">
        <f t="shared" si="4"/>
        <v>0</v>
      </c>
      <c r="AC23" s="86"/>
      <c r="AD23" s="157"/>
      <c r="AE23" s="112">
        <v>43770</v>
      </c>
      <c r="AF23" s="107">
        <v>43826</v>
      </c>
      <c r="AG23" s="37"/>
      <c r="AH23" s="112">
        <v>43770</v>
      </c>
      <c r="AI23" s="107">
        <v>43826</v>
      </c>
      <c r="AJ23" s="233"/>
      <c r="AK23" s="234"/>
      <c r="AL23" s="234"/>
      <c r="AM23" s="235">
        <v>1500</v>
      </c>
      <c r="AN23" s="236">
        <f t="shared" si="5"/>
        <v>1500</v>
      </c>
      <c r="AO23" s="237">
        <v>0</v>
      </c>
      <c r="AP23" s="234">
        <v>0</v>
      </c>
      <c r="AQ23" s="234"/>
      <c r="AR23" s="235">
        <v>510</v>
      </c>
      <c r="AS23" s="236">
        <f t="shared" si="6"/>
        <v>510</v>
      </c>
      <c r="AT23" s="150">
        <f t="shared" si="22"/>
        <v>0.34</v>
      </c>
      <c r="AU23" s="165"/>
      <c r="AV23" s="125"/>
      <c r="AW23" s="125"/>
      <c r="AX23" s="126"/>
      <c r="AY23" s="198" t="str">
        <f t="shared" si="7"/>
        <v/>
      </c>
      <c r="AZ23" s="40">
        <v>43489</v>
      </c>
      <c r="BA23" s="37">
        <v>43492</v>
      </c>
      <c r="BB23" s="37"/>
      <c r="BC23" s="37"/>
      <c r="BD23" s="61">
        <f t="shared" si="8"/>
        <v>27.599999999999998</v>
      </c>
      <c r="BE23" s="61">
        <f t="shared" si="0"/>
        <v>6.8999999999999995</v>
      </c>
      <c r="BF23" s="61">
        <f t="shared" si="1"/>
        <v>4.6000000000000005</v>
      </c>
      <c r="BG23" s="61">
        <f t="shared" si="2"/>
        <v>6.8999999999999995</v>
      </c>
      <c r="BH23" s="61">
        <f t="shared" si="9"/>
        <v>46</v>
      </c>
      <c r="BI23" s="134"/>
      <c r="BJ23" s="134"/>
      <c r="BK23" s="138"/>
      <c r="BL23" s="134"/>
      <c r="BM23" s="136" t="str">
        <f t="shared" si="10"/>
        <v/>
      </c>
      <c r="BN23" s="137"/>
      <c r="BO23" s="63" t="str">
        <f t="shared" si="11"/>
        <v/>
      </c>
      <c r="BP23" s="339" t="str">
        <f t="shared" si="12"/>
        <v/>
      </c>
      <c r="BQ23" s="63" t="str">
        <f t="shared" si="23"/>
        <v/>
      </c>
      <c r="BR23" s="64" t="str">
        <f t="shared" si="13"/>
        <v/>
      </c>
      <c r="BS23" s="160"/>
      <c r="BT23" s="169">
        <f t="shared" si="14"/>
        <v>7</v>
      </c>
      <c r="BU23" s="36">
        <v>43493</v>
      </c>
      <c r="BV23" s="37">
        <v>43495</v>
      </c>
      <c r="BW23" s="37"/>
      <c r="BX23" s="37"/>
      <c r="BY23" s="125"/>
      <c r="BZ23" s="69" t="str">
        <f t="shared" si="15"/>
        <v/>
      </c>
      <c r="CA23" s="129"/>
      <c r="CB23" s="129"/>
      <c r="CC23" s="153" t="str">
        <f t="shared" si="16"/>
        <v/>
      </c>
      <c r="CD23" s="203" t="str">
        <f t="shared" si="17"/>
        <v/>
      </c>
      <c r="CE23" s="154" t="str">
        <f t="shared" si="18"/>
        <v/>
      </c>
      <c r="CF23" s="70" t="str">
        <f t="shared" si="19"/>
        <v/>
      </c>
      <c r="CG23" s="71" t="str">
        <f t="shared" si="24"/>
        <v/>
      </c>
      <c r="CH23" s="160"/>
      <c r="CI23" s="28"/>
      <c r="CJ23" s="171"/>
      <c r="CK23" s="271"/>
      <c r="CL23" s="275">
        <f t="shared" si="20"/>
        <v>46</v>
      </c>
      <c r="CM23" s="275" t="str">
        <f t="shared" si="21"/>
        <v/>
      </c>
      <c r="CO23" s="3">
        <v>2</v>
      </c>
      <c r="CP23" s="3">
        <v>1</v>
      </c>
      <c r="CQ23" s="3">
        <v>2</v>
      </c>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c r="HF23" s="3"/>
      <c r="HG23" s="3"/>
      <c r="HH23" s="3"/>
      <c r="HI23" s="3"/>
      <c r="HJ23" s="3"/>
      <c r="HK23" s="3"/>
      <c r="HL23" s="3"/>
      <c r="HM23" s="3"/>
      <c r="HN23" s="3"/>
      <c r="HO23" s="3"/>
      <c r="HP23" s="3"/>
      <c r="HQ23" s="3"/>
      <c r="HR23" s="3"/>
      <c r="HS23" s="3"/>
      <c r="HT23" s="3"/>
      <c r="HU23" s="3"/>
      <c r="HV23" s="3"/>
      <c r="HW23" s="3"/>
      <c r="HX23" s="3"/>
      <c r="HY23" s="3"/>
      <c r="HZ23" s="3"/>
      <c r="IA23" s="3"/>
      <c r="IB23" s="3"/>
      <c r="IC23" s="3"/>
      <c r="ID23" s="3"/>
      <c r="IE23" s="3"/>
      <c r="IF23" s="3"/>
      <c r="IG23" s="3"/>
      <c r="IH23" s="3"/>
      <c r="II23" s="3"/>
      <c r="IJ23" s="3"/>
      <c r="IK23" s="3"/>
      <c r="IL23" s="3"/>
      <c r="IM23" s="3"/>
      <c r="IN23" s="3"/>
      <c r="IO23" s="3"/>
      <c r="IP23" s="3"/>
      <c r="IQ23" s="3"/>
      <c r="IR23" s="3"/>
      <c r="IS23" s="3"/>
      <c r="IT23" s="3"/>
      <c r="IU23" s="3"/>
    </row>
    <row r="24" spans="1:255" x14ac:dyDescent="0.2">
      <c r="A24" s="256">
        <f t="shared" si="3"/>
        <v>12</v>
      </c>
      <c r="B24" s="92" t="s">
        <v>270</v>
      </c>
      <c r="C24" s="368" t="s">
        <v>286</v>
      </c>
      <c r="D24" s="29" t="s">
        <v>279</v>
      </c>
      <c r="E24" s="29" t="s">
        <v>311</v>
      </c>
      <c r="F24" s="370" t="s">
        <v>292</v>
      </c>
      <c r="G24" s="94" t="s">
        <v>269</v>
      </c>
      <c r="H24" s="94" t="s">
        <v>96</v>
      </c>
      <c r="I24" s="178" t="s">
        <v>84</v>
      </c>
      <c r="J24" s="35" t="s">
        <v>330</v>
      </c>
      <c r="K24" s="219">
        <v>1500</v>
      </c>
      <c r="L24" s="220"/>
      <c r="M24" s="112">
        <v>43770</v>
      </c>
      <c r="N24" s="107">
        <v>43826</v>
      </c>
      <c r="O24" s="107"/>
      <c r="P24" s="112">
        <v>43770</v>
      </c>
      <c r="Q24" s="107">
        <v>43826</v>
      </c>
      <c r="R24" s="224">
        <v>10</v>
      </c>
      <c r="S24" s="224">
        <v>10</v>
      </c>
      <c r="T24" s="224">
        <v>10</v>
      </c>
      <c r="U24" s="59">
        <f t="shared" si="25"/>
        <v>1</v>
      </c>
      <c r="V24" s="40"/>
      <c r="W24" s="37"/>
      <c r="X24" s="227"/>
      <c r="Y24" s="101"/>
      <c r="Z24" s="104"/>
      <c r="AA24" s="227"/>
      <c r="AB24" s="210">
        <f t="shared" si="4"/>
        <v>0</v>
      </c>
      <c r="AC24" s="86"/>
      <c r="AD24" s="157"/>
      <c r="AE24" s="112">
        <v>43770</v>
      </c>
      <c r="AF24" s="107">
        <v>43826</v>
      </c>
      <c r="AG24" s="37"/>
      <c r="AH24" s="112">
        <v>43770</v>
      </c>
      <c r="AI24" s="107">
        <v>43826</v>
      </c>
      <c r="AJ24" s="233"/>
      <c r="AK24" s="234"/>
      <c r="AL24" s="234"/>
      <c r="AM24" s="235">
        <v>1500</v>
      </c>
      <c r="AN24" s="236">
        <f t="shared" si="5"/>
        <v>1500</v>
      </c>
      <c r="AO24" s="237">
        <v>0</v>
      </c>
      <c r="AP24" s="234">
        <v>0</v>
      </c>
      <c r="AQ24" s="234"/>
      <c r="AR24" s="235">
        <v>538</v>
      </c>
      <c r="AS24" s="236">
        <f t="shared" si="6"/>
        <v>538</v>
      </c>
      <c r="AT24" s="150">
        <f t="shared" si="22"/>
        <v>0.35866666666666669</v>
      </c>
      <c r="AU24" s="165"/>
      <c r="AV24" s="125"/>
      <c r="AW24" s="125"/>
      <c r="AX24" s="126"/>
      <c r="AY24" s="198" t="str">
        <f t="shared" si="7"/>
        <v/>
      </c>
      <c r="AZ24" s="40">
        <v>43479</v>
      </c>
      <c r="BA24" s="37">
        <v>43480</v>
      </c>
      <c r="BB24" s="37"/>
      <c r="BC24" s="37"/>
      <c r="BD24" s="61"/>
      <c r="BE24" s="61"/>
      <c r="BF24" s="61"/>
      <c r="BG24" s="61"/>
      <c r="BH24" s="61"/>
      <c r="BI24" s="134"/>
      <c r="BJ24" s="134"/>
      <c r="BK24" s="138"/>
      <c r="BL24" s="134"/>
      <c r="BM24" s="136"/>
      <c r="BN24" s="137"/>
      <c r="BO24" s="63"/>
      <c r="BP24" s="339"/>
      <c r="BQ24" s="63"/>
      <c r="BR24" s="64"/>
      <c r="BS24" s="160"/>
      <c r="BT24" s="169"/>
      <c r="BU24" s="36">
        <v>43485</v>
      </c>
      <c r="BV24" s="37">
        <v>43487</v>
      </c>
      <c r="BW24" s="37"/>
      <c r="BX24" s="37"/>
      <c r="BY24" s="125"/>
      <c r="BZ24" s="69" t="str">
        <f t="shared" si="15"/>
        <v/>
      </c>
      <c r="CA24" s="129"/>
      <c r="CB24" s="129"/>
      <c r="CC24" s="153" t="str">
        <f t="shared" si="16"/>
        <v/>
      </c>
      <c r="CD24" s="203" t="str">
        <f t="shared" si="17"/>
        <v/>
      </c>
      <c r="CE24" s="154" t="str">
        <f t="shared" si="18"/>
        <v/>
      </c>
      <c r="CF24" s="70" t="str">
        <f t="shared" si="19"/>
        <v/>
      </c>
      <c r="CG24" s="71" t="str">
        <f t="shared" si="24"/>
        <v/>
      </c>
      <c r="CH24" s="160"/>
      <c r="CI24" s="28"/>
      <c r="CJ24" s="171"/>
      <c r="CK24" s="271"/>
      <c r="CL24" s="275">
        <f t="shared" si="20"/>
        <v>0</v>
      </c>
      <c r="CM24" s="275" t="str">
        <f t="shared" si="21"/>
        <v/>
      </c>
      <c r="CO24" s="3">
        <v>2</v>
      </c>
      <c r="CP24" s="3">
        <v>1</v>
      </c>
      <c r="CQ24" s="3">
        <v>2</v>
      </c>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c r="HF24" s="3"/>
      <c r="HG24" s="3"/>
      <c r="HH24" s="3"/>
      <c r="HI24" s="3"/>
      <c r="HJ24" s="3"/>
      <c r="HK24" s="3"/>
      <c r="HL24" s="3"/>
      <c r="HM24" s="3"/>
      <c r="HN24" s="3"/>
      <c r="HO24" s="3"/>
      <c r="HP24" s="3"/>
      <c r="HQ24" s="3"/>
      <c r="HR24" s="3"/>
      <c r="HS24" s="3"/>
      <c r="HT24" s="3"/>
      <c r="HU24" s="3"/>
      <c r="HV24" s="3"/>
      <c r="HW24" s="3"/>
      <c r="HX24" s="3"/>
      <c r="HY24" s="3"/>
      <c r="HZ24" s="3"/>
      <c r="IA24" s="3"/>
      <c r="IB24" s="3"/>
      <c r="IC24" s="3"/>
      <c r="ID24" s="3"/>
      <c r="IE24" s="3"/>
      <c r="IF24" s="3"/>
      <c r="IG24" s="3"/>
      <c r="IH24" s="3"/>
      <c r="II24" s="3"/>
      <c r="IJ24" s="3"/>
      <c r="IK24" s="3"/>
      <c r="IL24" s="3"/>
      <c r="IM24" s="3"/>
      <c r="IN24" s="3"/>
      <c r="IO24" s="3"/>
      <c r="IP24" s="3"/>
      <c r="IQ24" s="3"/>
      <c r="IR24" s="3"/>
      <c r="IS24" s="3"/>
      <c r="IT24" s="3"/>
      <c r="IU24" s="3"/>
    </row>
    <row r="25" spans="1:255" x14ac:dyDescent="0.2">
      <c r="A25" s="256">
        <f t="shared" si="3"/>
        <v>13</v>
      </c>
      <c r="B25" s="92" t="s">
        <v>270</v>
      </c>
      <c r="C25" s="368" t="s">
        <v>286</v>
      </c>
      <c r="D25" s="24" t="s">
        <v>280</v>
      </c>
      <c r="E25" s="24" t="s">
        <v>312</v>
      </c>
      <c r="F25" s="370" t="s">
        <v>292</v>
      </c>
      <c r="G25" s="94" t="s">
        <v>269</v>
      </c>
      <c r="H25" s="94" t="s">
        <v>96</v>
      </c>
      <c r="I25" s="178" t="s">
        <v>84</v>
      </c>
      <c r="J25" s="35" t="s">
        <v>330</v>
      </c>
      <c r="K25" s="219">
        <v>500</v>
      </c>
      <c r="L25" s="220"/>
      <c r="M25" s="112">
        <v>43770</v>
      </c>
      <c r="N25" s="107">
        <v>43826</v>
      </c>
      <c r="O25" s="107"/>
      <c r="P25" s="112">
        <v>43770</v>
      </c>
      <c r="Q25" s="107">
        <v>43826</v>
      </c>
      <c r="R25" s="224">
        <v>11</v>
      </c>
      <c r="S25" s="224">
        <v>11</v>
      </c>
      <c r="T25" s="224">
        <v>11</v>
      </c>
      <c r="U25" s="59">
        <f t="shared" si="25"/>
        <v>1</v>
      </c>
      <c r="V25" s="40"/>
      <c r="W25" s="37"/>
      <c r="X25" s="227"/>
      <c r="Y25" s="101"/>
      <c r="Z25" s="104"/>
      <c r="AA25" s="227"/>
      <c r="AB25" s="210">
        <f t="shared" si="4"/>
        <v>0</v>
      </c>
      <c r="AC25" s="86"/>
      <c r="AD25" s="157"/>
      <c r="AE25" s="112">
        <v>43770</v>
      </c>
      <c r="AF25" s="107">
        <v>43826</v>
      </c>
      <c r="AG25" s="37"/>
      <c r="AH25" s="112">
        <v>43770</v>
      </c>
      <c r="AI25" s="107">
        <v>43826</v>
      </c>
      <c r="AJ25" s="233"/>
      <c r="AK25" s="234"/>
      <c r="AL25" s="234"/>
      <c r="AM25" s="235">
        <v>500</v>
      </c>
      <c r="AN25" s="236">
        <f t="shared" si="5"/>
        <v>500</v>
      </c>
      <c r="AO25" s="237">
        <v>0</v>
      </c>
      <c r="AP25" s="234">
        <v>0</v>
      </c>
      <c r="AQ25" s="234"/>
      <c r="AR25" s="235">
        <v>537</v>
      </c>
      <c r="AS25" s="236">
        <f t="shared" si="6"/>
        <v>537</v>
      </c>
      <c r="AT25" s="150">
        <f t="shared" si="22"/>
        <v>1.0740000000000001</v>
      </c>
      <c r="AU25" s="165"/>
      <c r="AV25" s="125"/>
      <c r="AW25" s="125"/>
      <c r="AX25" s="126"/>
      <c r="AY25" s="198" t="str">
        <f t="shared" si="7"/>
        <v/>
      </c>
      <c r="AZ25" s="40">
        <v>43480</v>
      </c>
      <c r="BA25" s="37">
        <v>43480</v>
      </c>
      <c r="BB25" s="37"/>
      <c r="BC25" s="37"/>
      <c r="BD25" s="61"/>
      <c r="BE25" s="61"/>
      <c r="BF25" s="61"/>
      <c r="BG25" s="61"/>
      <c r="BH25" s="61"/>
      <c r="BI25" s="134"/>
      <c r="BJ25" s="134"/>
      <c r="BK25" s="138"/>
      <c r="BL25" s="134"/>
      <c r="BM25" s="136"/>
      <c r="BN25" s="137"/>
      <c r="BO25" s="63"/>
      <c r="BP25" s="339"/>
      <c r="BQ25" s="63"/>
      <c r="BR25" s="64"/>
      <c r="BS25" s="160"/>
      <c r="BT25" s="169"/>
      <c r="BU25" s="36">
        <v>43487</v>
      </c>
      <c r="BV25" s="37">
        <v>43488</v>
      </c>
      <c r="BW25" s="37"/>
      <c r="BX25" s="37"/>
      <c r="BY25" s="125"/>
      <c r="BZ25" s="69" t="str">
        <f t="shared" si="15"/>
        <v/>
      </c>
      <c r="CA25" s="129"/>
      <c r="CB25" s="129"/>
      <c r="CC25" s="153" t="str">
        <f t="shared" si="16"/>
        <v/>
      </c>
      <c r="CD25" s="203" t="str">
        <f t="shared" si="17"/>
        <v/>
      </c>
      <c r="CE25" s="154" t="str">
        <f t="shared" si="18"/>
        <v/>
      </c>
      <c r="CF25" s="70" t="str">
        <f t="shared" si="19"/>
        <v/>
      </c>
      <c r="CG25" s="71" t="str">
        <f t="shared" si="24"/>
        <v/>
      </c>
      <c r="CH25" s="160"/>
      <c r="CI25" s="28"/>
      <c r="CJ25" s="171"/>
      <c r="CK25" s="271"/>
      <c r="CL25" s="275">
        <f t="shared" si="20"/>
        <v>0</v>
      </c>
      <c r="CM25" s="275" t="str">
        <f t="shared" si="21"/>
        <v/>
      </c>
      <c r="CO25" s="3">
        <v>1</v>
      </c>
      <c r="CP25" s="3">
        <v>1</v>
      </c>
      <c r="CQ25" s="3">
        <v>1</v>
      </c>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c r="HF25" s="3"/>
      <c r="HG25" s="3"/>
      <c r="HH25" s="3"/>
      <c r="HI25" s="3"/>
      <c r="HJ25" s="3"/>
      <c r="HK25" s="3"/>
      <c r="HL25" s="3"/>
      <c r="HM25" s="3"/>
      <c r="HN25" s="3"/>
      <c r="HO25" s="3"/>
      <c r="HP25" s="3"/>
      <c r="HQ25" s="3"/>
      <c r="HR25" s="3"/>
      <c r="HS25" s="3"/>
      <c r="HT25" s="3"/>
      <c r="HU25" s="3"/>
      <c r="HV25" s="3"/>
      <c r="HW25" s="3"/>
      <c r="HX25" s="3"/>
      <c r="HY25" s="3"/>
      <c r="HZ25" s="3"/>
      <c r="IA25" s="3"/>
      <c r="IB25" s="3"/>
      <c r="IC25" s="3"/>
      <c r="ID25" s="3"/>
      <c r="IE25" s="3"/>
      <c r="IF25" s="3"/>
      <c r="IG25" s="3"/>
      <c r="IH25" s="3"/>
      <c r="II25" s="3"/>
      <c r="IJ25" s="3"/>
      <c r="IK25" s="3"/>
      <c r="IL25" s="3"/>
      <c r="IM25" s="3"/>
      <c r="IN25" s="3"/>
      <c r="IO25" s="3"/>
      <c r="IP25" s="3"/>
      <c r="IQ25" s="3"/>
      <c r="IR25" s="3"/>
      <c r="IS25" s="3"/>
      <c r="IT25" s="3"/>
      <c r="IU25" s="3"/>
    </row>
    <row r="26" spans="1:255" x14ac:dyDescent="0.2">
      <c r="A26" s="256">
        <f t="shared" si="3"/>
        <v>14</v>
      </c>
      <c r="B26" s="92" t="s">
        <v>270</v>
      </c>
      <c r="C26" s="368" t="s">
        <v>286</v>
      </c>
      <c r="D26" s="24" t="s">
        <v>281</v>
      </c>
      <c r="E26" s="24" t="s">
        <v>313</v>
      </c>
      <c r="F26" s="370" t="s">
        <v>292</v>
      </c>
      <c r="G26" s="94" t="s">
        <v>269</v>
      </c>
      <c r="H26" s="94" t="s">
        <v>96</v>
      </c>
      <c r="I26" s="178" t="s">
        <v>84</v>
      </c>
      <c r="J26" s="35" t="s">
        <v>330</v>
      </c>
      <c r="K26" s="219">
        <v>150</v>
      </c>
      <c r="L26" s="220"/>
      <c r="M26" s="112">
        <v>43770</v>
      </c>
      <c r="N26" s="107">
        <v>43826</v>
      </c>
      <c r="O26" s="107"/>
      <c r="P26" s="112">
        <v>43770</v>
      </c>
      <c r="Q26" s="107">
        <v>43826</v>
      </c>
      <c r="R26" s="224">
        <v>10</v>
      </c>
      <c r="S26" s="224">
        <v>10</v>
      </c>
      <c r="T26" s="224">
        <v>10</v>
      </c>
      <c r="U26" s="59">
        <f t="shared" si="25"/>
        <v>1</v>
      </c>
      <c r="V26" s="40"/>
      <c r="W26" s="37"/>
      <c r="X26" s="227"/>
      <c r="Y26" s="101"/>
      <c r="Z26" s="104"/>
      <c r="AA26" s="227"/>
      <c r="AB26" s="210">
        <f t="shared" si="4"/>
        <v>0</v>
      </c>
      <c r="AC26" s="86"/>
      <c r="AD26" s="157"/>
      <c r="AE26" s="112">
        <v>43770</v>
      </c>
      <c r="AF26" s="107">
        <v>43826</v>
      </c>
      <c r="AG26" s="37"/>
      <c r="AH26" s="112">
        <v>43770</v>
      </c>
      <c r="AI26" s="107">
        <v>43826</v>
      </c>
      <c r="AJ26" s="233"/>
      <c r="AK26" s="234"/>
      <c r="AL26" s="234"/>
      <c r="AM26" s="234">
        <v>150</v>
      </c>
      <c r="AN26" s="236">
        <f t="shared" si="5"/>
        <v>150</v>
      </c>
      <c r="AO26" s="237">
        <v>0</v>
      </c>
      <c r="AP26" s="234">
        <v>0</v>
      </c>
      <c r="AQ26" s="234"/>
      <c r="AR26" s="234">
        <v>137</v>
      </c>
      <c r="AS26" s="236">
        <f t="shared" si="6"/>
        <v>137</v>
      </c>
      <c r="AT26" s="150">
        <f t="shared" si="22"/>
        <v>0.91333333333333333</v>
      </c>
      <c r="AU26" s="165"/>
      <c r="AV26" s="125"/>
      <c r="AW26" s="125"/>
      <c r="AX26" s="127"/>
      <c r="AY26" s="198" t="str">
        <f t="shared" si="7"/>
        <v/>
      </c>
      <c r="AZ26" s="40">
        <v>43481</v>
      </c>
      <c r="BA26" s="37">
        <v>43482</v>
      </c>
      <c r="BB26" s="37"/>
      <c r="BC26" s="37"/>
      <c r="BD26" s="61">
        <f t="shared" si="8"/>
        <v>7.8</v>
      </c>
      <c r="BE26" s="61">
        <f t="shared" si="0"/>
        <v>1.95</v>
      </c>
      <c r="BF26" s="61">
        <f t="shared" si="1"/>
        <v>1.3</v>
      </c>
      <c r="BG26" s="61">
        <f t="shared" si="2"/>
        <v>1.95</v>
      </c>
      <c r="BH26" s="61">
        <f t="shared" si="9"/>
        <v>13</v>
      </c>
      <c r="BI26" s="134"/>
      <c r="BJ26" s="134"/>
      <c r="BK26" s="138"/>
      <c r="BL26" s="134"/>
      <c r="BM26" s="136" t="str">
        <f t="shared" si="10"/>
        <v/>
      </c>
      <c r="BN26" s="137"/>
      <c r="BO26" s="63" t="str">
        <f t="shared" si="11"/>
        <v/>
      </c>
      <c r="BP26" s="339" t="str">
        <f t="shared" si="12"/>
        <v/>
      </c>
      <c r="BQ26" s="63" t="str">
        <f t="shared" si="23"/>
        <v/>
      </c>
      <c r="BR26" s="64" t="str">
        <f t="shared" si="13"/>
        <v/>
      </c>
      <c r="BS26" s="160"/>
      <c r="BT26" s="169">
        <f t="shared" si="14"/>
        <v>2</v>
      </c>
      <c r="BU26" s="36">
        <v>43489</v>
      </c>
      <c r="BV26" s="37">
        <v>43492</v>
      </c>
      <c r="BW26" s="37"/>
      <c r="BX26" s="37"/>
      <c r="BY26" s="125"/>
      <c r="BZ26" s="69" t="str">
        <f t="shared" si="15"/>
        <v/>
      </c>
      <c r="CA26" s="129"/>
      <c r="CB26" s="129"/>
      <c r="CC26" s="153" t="str">
        <f t="shared" si="16"/>
        <v/>
      </c>
      <c r="CD26" s="203" t="str">
        <f t="shared" si="17"/>
        <v/>
      </c>
      <c r="CE26" s="154" t="str">
        <f t="shared" si="18"/>
        <v/>
      </c>
      <c r="CF26" s="70" t="str">
        <f t="shared" si="19"/>
        <v/>
      </c>
      <c r="CG26" s="71" t="str">
        <f t="shared" si="24"/>
        <v/>
      </c>
      <c r="CH26" s="160"/>
      <c r="CI26" s="28"/>
      <c r="CJ26" s="171"/>
      <c r="CK26" s="271"/>
      <c r="CL26" s="275">
        <f t="shared" si="20"/>
        <v>13</v>
      </c>
      <c r="CM26" s="275" t="str">
        <f t="shared" si="21"/>
        <v/>
      </c>
      <c r="CO26" s="3">
        <v>0.5</v>
      </c>
      <c r="CP26" s="3">
        <v>0.5</v>
      </c>
      <c r="CQ26" s="3">
        <v>0.5</v>
      </c>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c r="HF26" s="3"/>
      <c r="HG26" s="3"/>
      <c r="HH26" s="3"/>
      <c r="HI26" s="3"/>
      <c r="HJ26" s="3"/>
      <c r="HK26" s="3"/>
      <c r="HL26" s="3"/>
      <c r="HM26" s="3"/>
      <c r="HN26" s="3"/>
      <c r="HO26" s="3"/>
      <c r="HP26" s="3"/>
      <c r="HQ26" s="3"/>
      <c r="HR26" s="3"/>
      <c r="HS26" s="3"/>
      <c r="HT26" s="3"/>
      <c r="HU26" s="3"/>
      <c r="HV26" s="3"/>
      <c r="HW26" s="3"/>
      <c r="HX26" s="3"/>
      <c r="HY26" s="3"/>
      <c r="HZ26" s="3"/>
      <c r="IA26" s="3"/>
      <c r="IB26" s="3"/>
      <c r="IC26" s="3"/>
      <c r="ID26" s="3"/>
      <c r="IE26" s="3"/>
      <c r="IF26" s="3"/>
      <c r="IG26" s="3"/>
      <c r="IH26" s="3"/>
      <c r="II26" s="3"/>
      <c r="IJ26" s="3"/>
      <c r="IK26" s="3"/>
      <c r="IL26" s="3"/>
      <c r="IM26" s="3"/>
      <c r="IN26" s="3"/>
      <c r="IO26" s="3"/>
      <c r="IP26" s="3"/>
      <c r="IQ26" s="3"/>
      <c r="IR26" s="3"/>
      <c r="IS26" s="3"/>
      <c r="IT26" s="3"/>
      <c r="IU26" s="3"/>
    </row>
    <row r="27" spans="1:255" x14ac:dyDescent="0.2">
      <c r="A27" s="256">
        <f t="shared" si="3"/>
        <v>15</v>
      </c>
      <c r="B27" s="92" t="s">
        <v>270</v>
      </c>
      <c r="C27" s="368" t="s">
        <v>286</v>
      </c>
      <c r="D27" s="24" t="s">
        <v>282</v>
      </c>
      <c r="E27" s="24" t="s">
        <v>314</v>
      </c>
      <c r="F27" s="370" t="s">
        <v>292</v>
      </c>
      <c r="G27" s="94" t="s">
        <v>269</v>
      </c>
      <c r="H27" s="94" t="s">
        <v>96</v>
      </c>
      <c r="I27" s="178" t="s">
        <v>84</v>
      </c>
      <c r="J27" s="35" t="s">
        <v>330</v>
      </c>
      <c r="K27" s="219">
        <v>150</v>
      </c>
      <c r="L27" s="220"/>
      <c r="M27" s="112">
        <v>43770</v>
      </c>
      <c r="N27" s="107">
        <v>43826</v>
      </c>
      <c r="O27" s="107"/>
      <c r="P27" s="112">
        <v>43770</v>
      </c>
      <c r="Q27" s="107">
        <v>43826</v>
      </c>
      <c r="R27" s="224">
        <v>11</v>
      </c>
      <c r="S27" s="224">
        <v>11</v>
      </c>
      <c r="T27" s="224">
        <v>11</v>
      </c>
      <c r="U27" s="59">
        <f t="shared" si="25"/>
        <v>1</v>
      </c>
      <c r="V27" s="40"/>
      <c r="W27" s="37"/>
      <c r="X27" s="227"/>
      <c r="Y27" s="101"/>
      <c r="Z27" s="104"/>
      <c r="AA27" s="227"/>
      <c r="AB27" s="210">
        <f t="shared" si="4"/>
        <v>0</v>
      </c>
      <c r="AC27" s="86"/>
      <c r="AD27" s="157"/>
      <c r="AE27" s="112">
        <v>43770</v>
      </c>
      <c r="AF27" s="107">
        <v>43826</v>
      </c>
      <c r="AG27" s="37"/>
      <c r="AH27" s="112">
        <v>43770</v>
      </c>
      <c r="AI27" s="107">
        <v>43826</v>
      </c>
      <c r="AJ27" s="233"/>
      <c r="AK27" s="234"/>
      <c r="AL27" s="234"/>
      <c r="AM27" s="234">
        <v>150</v>
      </c>
      <c r="AN27" s="236">
        <f t="shared" si="5"/>
        <v>150</v>
      </c>
      <c r="AO27" s="237">
        <v>0</v>
      </c>
      <c r="AP27" s="234">
        <v>0</v>
      </c>
      <c r="AQ27" s="234"/>
      <c r="AR27" s="234">
        <v>202</v>
      </c>
      <c r="AS27" s="236">
        <f t="shared" si="6"/>
        <v>202</v>
      </c>
      <c r="AT27" s="150">
        <f t="shared" si="22"/>
        <v>1.3466666666666667</v>
      </c>
      <c r="AU27" s="165"/>
      <c r="AV27" s="125"/>
      <c r="AW27" s="125"/>
      <c r="AX27" s="127"/>
      <c r="AY27" s="198" t="str">
        <f t="shared" si="7"/>
        <v/>
      </c>
      <c r="AZ27" s="40">
        <v>43481</v>
      </c>
      <c r="BA27" s="37">
        <v>43482</v>
      </c>
      <c r="BB27" s="37"/>
      <c r="BC27" s="37"/>
      <c r="BD27" s="61">
        <f t="shared" si="8"/>
        <v>11.4</v>
      </c>
      <c r="BE27" s="61">
        <f t="shared" si="0"/>
        <v>2.85</v>
      </c>
      <c r="BF27" s="61">
        <f t="shared" si="1"/>
        <v>1.9000000000000001</v>
      </c>
      <c r="BG27" s="61">
        <f t="shared" si="2"/>
        <v>2.85</v>
      </c>
      <c r="BH27" s="61">
        <f t="shared" si="9"/>
        <v>19</v>
      </c>
      <c r="BI27" s="134"/>
      <c r="BJ27" s="134"/>
      <c r="BK27" s="138"/>
      <c r="BL27" s="134"/>
      <c r="BM27" s="136" t="str">
        <f t="shared" si="10"/>
        <v/>
      </c>
      <c r="BN27" s="137"/>
      <c r="BO27" s="63" t="str">
        <f t="shared" si="11"/>
        <v/>
      </c>
      <c r="BP27" s="339" t="str">
        <f t="shared" si="12"/>
        <v/>
      </c>
      <c r="BQ27" s="63" t="str">
        <f t="shared" si="23"/>
        <v/>
      </c>
      <c r="BR27" s="64" t="str">
        <f t="shared" si="13"/>
        <v/>
      </c>
      <c r="BS27" s="160"/>
      <c r="BT27" s="169">
        <f t="shared" si="14"/>
        <v>3</v>
      </c>
      <c r="BU27" s="36">
        <v>43489</v>
      </c>
      <c r="BV27" s="37">
        <v>43492</v>
      </c>
      <c r="BW27" s="37"/>
      <c r="BX27" s="37"/>
      <c r="BY27" s="125"/>
      <c r="BZ27" s="69" t="str">
        <f t="shared" si="15"/>
        <v/>
      </c>
      <c r="CA27" s="129"/>
      <c r="CB27" s="129"/>
      <c r="CC27" s="153" t="str">
        <f t="shared" si="16"/>
        <v/>
      </c>
      <c r="CD27" s="203" t="str">
        <f t="shared" si="17"/>
        <v/>
      </c>
      <c r="CE27" s="154" t="str">
        <f t="shared" si="18"/>
        <v/>
      </c>
      <c r="CF27" s="70" t="str">
        <f t="shared" si="19"/>
        <v/>
      </c>
      <c r="CG27" s="71" t="str">
        <f t="shared" si="24"/>
        <v/>
      </c>
      <c r="CH27" s="160"/>
      <c r="CI27" s="28"/>
      <c r="CJ27" s="171"/>
      <c r="CK27" s="271"/>
      <c r="CL27" s="275">
        <f t="shared" si="20"/>
        <v>19</v>
      </c>
      <c r="CM27" s="275" t="str">
        <f t="shared" si="21"/>
        <v/>
      </c>
      <c r="CO27" s="3">
        <v>0.5</v>
      </c>
      <c r="CP27" s="3">
        <v>0.5</v>
      </c>
      <c r="CQ27" s="3">
        <v>0.5</v>
      </c>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c r="HF27" s="3"/>
      <c r="HG27" s="3"/>
      <c r="HH27" s="3"/>
      <c r="HI27" s="3"/>
      <c r="HJ27" s="3"/>
      <c r="HK27" s="3"/>
      <c r="HL27" s="3"/>
      <c r="HM27" s="3"/>
      <c r="HN27" s="3"/>
      <c r="HO27" s="3"/>
      <c r="HP27" s="3"/>
      <c r="HQ27" s="3"/>
      <c r="HR27" s="3"/>
      <c r="HS27" s="3"/>
      <c r="HT27" s="3"/>
      <c r="HU27" s="3"/>
      <c r="HV27" s="3"/>
      <c r="HW27" s="3"/>
      <c r="HX27" s="3"/>
      <c r="HY27" s="3"/>
      <c r="HZ27" s="3"/>
      <c r="IA27" s="3"/>
      <c r="IB27" s="3"/>
      <c r="IC27" s="3"/>
      <c r="ID27" s="3"/>
      <c r="IE27" s="3"/>
      <c r="IF27" s="3"/>
      <c r="IG27" s="3"/>
      <c r="IH27" s="3"/>
      <c r="II27" s="3"/>
      <c r="IJ27" s="3"/>
      <c r="IK27" s="3"/>
      <c r="IL27" s="3"/>
      <c r="IM27" s="3"/>
      <c r="IN27" s="3"/>
      <c r="IO27" s="3"/>
      <c r="IP27" s="3"/>
      <c r="IQ27" s="3"/>
      <c r="IR27" s="3"/>
      <c r="IS27" s="3"/>
      <c r="IT27" s="3"/>
      <c r="IU27" s="3"/>
    </row>
    <row r="28" spans="1:255" x14ac:dyDescent="0.2">
      <c r="A28" s="256">
        <f t="shared" si="3"/>
        <v>16</v>
      </c>
      <c r="B28" s="92" t="s">
        <v>270</v>
      </c>
      <c r="C28" s="368" t="s">
        <v>286</v>
      </c>
      <c r="D28" s="24" t="s">
        <v>283</v>
      </c>
      <c r="E28" s="24" t="s">
        <v>315</v>
      </c>
      <c r="F28" s="370" t="s">
        <v>292</v>
      </c>
      <c r="G28" s="94" t="s">
        <v>269</v>
      </c>
      <c r="H28" s="94" t="s">
        <v>96</v>
      </c>
      <c r="I28" s="178" t="s">
        <v>84</v>
      </c>
      <c r="J28" s="35" t="s">
        <v>330</v>
      </c>
      <c r="K28" s="219">
        <v>150</v>
      </c>
      <c r="L28" s="220"/>
      <c r="M28" s="112">
        <v>43770</v>
      </c>
      <c r="N28" s="107">
        <v>43826</v>
      </c>
      <c r="O28" s="107"/>
      <c r="P28" s="112">
        <v>43770</v>
      </c>
      <c r="Q28" s="107">
        <v>43826</v>
      </c>
      <c r="R28" s="224">
        <v>11</v>
      </c>
      <c r="S28" s="224">
        <v>11</v>
      </c>
      <c r="T28" s="224">
        <v>11</v>
      </c>
      <c r="U28" s="59">
        <f t="shared" si="25"/>
        <v>1</v>
      </c>
      <c r="V28" s="40"/>
      <c r="W28" s="37"/>
      <c r="X28" s="227"/>
      <c r="Y28" s="101"/>
      <c r="Z28" s="104"/>
      <c r="AA28" s="227"/>
      <c r="AB28" s="210">
        <f t="shared" si="4"/>
        <v>0</v>
      </c>
      <c r="AC28" s="86"/>
      <c r="AD28" s="157"/>
      <c r="AE28" s="112">
        <v>43770</v>
      </c>
      <c r="AF28" s="107">
        <v>43826</v>
      </c>
      <c r="AG28" s="37"/>
      <c r="AH28" s="112">
        <v>43770</v>
      </c>
      <c r="AI28" s="107">
        <v>43826</v>
      </c>
      <c r="AJ28" s="233"/>
      <c r="AK28" s="234"/>
      <c r="AL28" s="234"/>
      <c r="AM28" s="234">
        <v>150</v>
      </c>
      <c r="AN28" s="236">
        <f t="shared" si="5"/>
        <v>150</v>
      </c>
      <c r="AO28" s="237">
        <v>0</v>
      </c>
      <c r="AP28" s="234">
        <v>0</v>
      </c>
      <c r="AQ28" s="234"/>
      <c r="AR28" s="234">
        <v>138</v>
      </c>
      <c r="AS28" s="236">
        <f t="shared" si="6"/>
        <v>138</v>
      </c>
      <c r="AT28" s="150">
        <f t="shared" si="22"/>
        <v>0.92</v>
      </c>
      <c r="AU28" s="165"/>
      <c r="AV28" s="125"/>
      <c r="AW28" s="125"/>
      <c r="AX28" s="127"/>
      <c r="AY28" s="198" t="str">
        <f t="shared" si="7"/>
        <v/>
      </c>
      <c r="AZ28" s="40">
        <v>43481</v>
      </c>
      <c r="BA28" s="37">
        <v>43482</v>
      </c>
      <c r="BB28" s="37"/>
      <c r="BC28" s="37"/>
      <c r="BD28" s="61">
        <f t="shared" si="8"/>
        <v>7.8</v>
      </c>
      <c r="BE28" s="61">
        <f t="shared" si="0"/>
        <v>1.95</v>
      </c>
      <c r="BF28" s="61">
        <f t="shared" si="1"/>
        <v>1.3</v>
      </c>
      <c r="BG28" s="61">
        <f t="shared" si="2"/>
        <v>1.95</v>
      </c>
      <c r="BH28" s="61">
        <f t="shared" si="9"/>
        <v>13</v>
      </c>
      <c r="BI28" s="134"/>
      <c r="BJ28" s="134"/>
      <c r="BK28" s="138"/>
      <c r="BL28" s="134"/>
      <c r="BM28" s="136" t="str">
        <f t="shared" si="10"/>
        <v/>
      </c>
      <c r="BN28" s="137"/>
      <c r="BO28" s="63" t="str">
        <f t="shared" si="11"/>
        <v/>
      </c>
      <c r="BP28" s="339" t="str">
        <f t="shared" si="12"/>
        <v/>
      </c>
      <c r="BQ28" s="63" t="str">
        <f t="shared" si="23"/>
        <v/>
      </c>
      <c r="BR28" s="64" t="str">
        <f t="shared" si="13"/>
        <v/>
      </c>
      <c r="BS28" s="160"/>
      <c r="BT28" s="169">
        <f t="shared" si="14"/>
        <v>2</v>
      </c>
      <c r="BU28" s="36">
        <v>43489</v>
      </c>
      <c r="BV28" s="37">
        <v>43492</v>
      </c>
      <c r="BW28" s="37"/>
      <c r="BX28" s="37"/>
      <c r="BY28" s="125"/>
      <c r="BZ28" s="69" t="str">
        <f t="shared" si="15"/>
        <v/>
      </c>
      <c r="CA28" s="129"/>
      <c r="CB28" s="129"/>
      <c r="CC28" s="153" t="str">
        <f t="shared" si="16"/>
        <v/>
      </c>
      <c r="CD28" s="203" t="str">
        <f t="shared" si="17"/>
        <v/>
      </c>
      <c r="CE28" s="154" t="str">
        <f t="shared" si="18"/>
        <v/>
      </c>
      <c r="CF28" s="70" t="str">
        <f t="shared" si="19"/>
        <v/>
      </c>
      <c r="CG28" s="71" t="str">
        <f t="shared" si="24"/>
        <v/>
      </c>
      <c r="CH28" s="160"/>
      <c r="CI28" s="28"/>
      <c r="CJ28" s="171"/>
      <c r="CK28" s="271"/>
      <c r="CL28" s="275">
        <f t="shared" si="20"/>
        <v>13</v>
      </c>
      <c r="CM28" s="275" t="str">
        <f t="shared" si="21"/>
        <v/>
      </c>
      <c r="CO28" s="3">
        <v>0.5</v>
      </c>
      <c r="CP28" s="3">
        <v>0.5</v>
      </c>
      <c r="CQ28" s="3">
        <v>0.5</v>
      </c>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c r="HF28" s="3"/>
      <c r="HG28" s="3"/>
      <c r="HH28" s="3"/>
      <c r="HI28" s="3"/>
      <c r="HJ28" s="3"/>
      <c r="HK28" s="3"/>
      <c r="HL28" s="3"/>
      <c r="HM28" s="3"/>
      <c r="HN28" s="3"/>
      <c r="HO28" s="3"/>
      <c r="HP28" s="3"/>
      <c r="HQ28" s="3"/>
      <c r="HR28" s="3"/>
      <c r="HS28" s="3"/>
      <c r="HT28" s="3"/>
      <c r="HU28" s="3"/>
      <c r="HV28" s="3"/>
      <c r="HW28" s="3"/>
      <c r="HX28" s="3"/>
      <c r="HY28" s="3"/>
      <c r="HZ28" s="3"/>
      <c r="IA28" s="3"/>
      <c r="IB28" s="3"/>
      <c r="IC28" s="3"/>
      <c r="ID28" s="3"/>
      <c r="IE28" s="3"/>
      <c r="IF28" s="3"/>
      <c r="IG28" s="3"/>
      <c r="IH28" s="3"/>
      <c r="II28" s="3"/>
      <c r="IJ28" s="3"/>
      <c r="IK28" s="3"/>
      <c r="IL28" s="3"/>
      <c r="IM28" s="3"/>
      <c r="IN28" s="3"/>
      <c r="IO28" s="3"/>
      <c r="IP28" s="3"/>
      <c r="IQ28" s="3"/>
      <c r="IR28" s="3"/>
      <c r="IS28" s="3"/>
      <c r="IT28" s="3"/>
      <c r="IU28" s="3"/>
    </row>
    <row r="29" spans="1:255" x14ac:dyDescent="0.2">
      <c r="A29" s="256">
        <f t="shared" si="3"/>
        <v>17</v>
      </c>
      <c r="B29" s="92" t="s">
        <v>270</v>
      </c>
      <c r="C29" s="49" t="s">
        <v>299</v>
      </c>
      <c r="D29" s="49" t="s">
        <v>287</v>
      </c>
      <c r="E29" s="24" t="s">
        <v>316</v>
      </c>
      <c r="F29" s="369" t="s">
        <v>290</v>
      </c>
      <c r="G29" s="94" t="s">
        <v>269</v>
      </c>
      <c r="H29" s="94" t="s">
        <v>96</v>
      </c>
      <c r="I29" s="178" t="s">
        <v>84</v>
      </c>
      <c r="J29" s="35" t="s">
        <v>330</v>
      </c>
      <c r="K29" s="219">
        <v>500</v>
      </c>
      <c r="L29" s="220"/>
      <c r="M29" s="112">
        <v>43770</v>
      </c>
      <c r="N29" s="107">
        <v>43826</v>
      </c>
      <c r="O29" s="107"/>
      <c r="P29" s="112">
        <v>43770</v>
      </c>
      <c r="Q29" s="107">
        <v>43826</v>
      </c>
      <c r="R29" s="224">
        <v>9</v>
      </c>
      <c r="S29" s="224">
        <v>9</v>
      </c>
      <c r="T29" s="224">
        <v>9</v>
      </c>
      <c r="U29" s="59">
        <f t="shared" si="25"/>
        <v>1</v>
      </c>
      <c r="V29" s="40"/>
      <c r="W29" s="37"/>
      <c r="X29" s="227"/>
      <c r="Y29" s="101"/>
      <c r="Z29" s="104"/>
      <c r="AA29" s="227"/>
      <c r="AB29" s="210">
        <f t="shared" si="4"/>
        <v>0</v>
      </c>
      <c r="AC29" s="86"/>
      <c r="AD29" s="157"/>
      <c r="AE29" s="112">
        <v>43770</v>
      </c>
      <c r="AF29" s="107">
        <v>43826</v>
      </c>
      <c r="AG29" s="37"/>
      <c r="AH29" s="112">
        <v>43770</v>
      </c>
      <c r="AI29" s="107">
        <v>43826</v>
      </c>
      <c r="AJ29" s="233"/>
      <c r="AK29" s="234"/>
      <c r="AL29" s="234"/>
      <c r="AM29" s="234">
        <v>500</v>
      </c>
      <c r="AN29" s="236">
        <f t="shared" si="5"/>
        <v>500</v>
      </c>
      <c r="AO29" s="237">
        <v>0</v>
      </c>
      <c r="AP29" s="234">
        <v>0</v>
      </c>
      <c r="AQ29" s="234"/>
      <c r="AR29" s="234">
        <v>603</v>
      </c>
      <c r="AS29" s="236">
        <f t="shared" si="6"/>
        <v>603</v>
      </c>
      <c r="AT29" s="150">
        <f t="shared" si="22"/>
        <v>1.206</v>
      </c>
      <c r="AU29" s="165"/>
      <c r="AV29" s="125"/>
      <c r="AW29" s="125"/>
      <c r="AX29" s="127"/>
      <c r="AY29" s="198" t="str">
        <f t="shared" si="7"/>
        <v/>
      </c>
      <c r="AZ29" s="40">
        <v>43473</v>
      </c>
      <c r="BA29" s="40">
        <v>43473</v>
      </c>
      <c r="BB29" s="37"/>
      <c r="BC29" s="37"/>
      <c r="BD29" s="61">
        <f t="shared" si="8"/>
        <v>33</v>
      </c>
      <c r="BE29" s="61">
        <f t="shared" si="0"/>
        <v>8.25</v>
      </c>
      <c r="BF29" s="61">
        <f t="shared" si="1"/>
        <v>5.5</v>
      </c>
      <c r="BG29" s="61">
        <f t="shared" si="2"/>
        <v>8.25</v>
      </c>
      <c r="BH29" s="61">
        <f t="shared" si="9"/>
        <v>55</v>
      </c>
      <c r="BI29" s="134"/>
      <c r="BJ29" s="134"/>
      <c r="BK29" s="138"/>
      <c r="BL29" s="134"/>
      <c r="BM29" s="136" t="str">
        <f t="shared" si="10"/>
        <v/>
      </c>
      <c r="BN29" s="137"/>
      <c r="BO29" s="63" t="str">
        <f t="shared" si="11"/>
        <v/>
      </c>
      <c r="BP29" s="339" t="str">
        <f t="shared" si="12"/>
        <v/>
      </c>
      <c r="BQ29" s="63" t="str">
        <f t="shared" si="23"/>
        <v/>
      </c>
      <c r="BR29" s="64" t="str">
        <f t="shared" si="13"/>
        <v/>
      </c>
      <c r="BS29" s="160"/>
      <c r="BT29" s="169">
        <f t="shared" si="14"/>
        <v>8</v>
      </c>
      <c r="BU29" s="36">
        <v>43474</v>
      </c>
      <c r="BV29" s="37">
        <v>43475</v>
      </c>
      <c r="BW29" s="37"/>
      <c r="BX29" s="37"/>
      <c r="BY29" s="125"/>
      <c r="BZ29" s="69" t="str">
        <f t="shared" si="15"/>
        <v/>
      </c>
      <c r="CA29" s="129"/>
      <c r="CB29" s="129"/>
      <c r="CC29" s="153" t="str">
        <f t="shared" si="16"/>
        <v/>
      </c>
      <c r="CD29" s="203" t="str">
        <f t="shared" si="17"/>
        <v/>
      </c>
      <c r="CE29" s="154" t="str">
        <f t="shared" si="18"/>
        <v/>
      </c>
      <c r="CF29" s="70" t="str">
        <f t="shared" si="19"/>
        <v/>
      </c>
      <c r="CG29" s="71" t="str">
        <f t="shared" si="24"/>
        <v/>
      </c>
      <c r="CH29" s="160"/>
      <c r="CI29" s="28"/>
      <c r="CJ29" s="171"/>
      <c r="CK29" s="271"/>
      <c r="CL29" s="275">
        <f t="shared" si="20"/>
        <v>55</v>
      </c>
      <c r="CM29" s="275" t="str">
        <f t="shared" si="21"/>
        <v/>
      </c>
      <c r="CO29" s="3">
        <v>0.5</v>
      </c>
      <c r="CP29" s="3">
        <v>0.5</v>
      </c>
      <c r="CQ29" s="3">
        <v>0.5</v>
      </c>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c r="HF29" s="3"/>
      <c r="HG29" s="3"/>
      <c r="HH29" s="3"/>
      <c r="HI29" s="3"/>
      <c r="HJ29" s="3"/>
      <c r="HK29" s="3"/>
      <c r="HL29" s="3"/>
      <c r="HM29" s="3"/>
      <c r="HN29" s="3"/>
      <c r="HO29" s="3"/>
      <c r="HP29" s="3"/>
      <c r="HQ29" s="3"/>
      <c r="HR29" s="3"/>
      <c r="HS29" s="3"/>
      <c r="HT29" s="3"/>
      <c r="HU29" s="3"/>
      <c r="HV29" s="3"/>
      <c r="HW29" s="3"/>
      <c r="HX29" s="3"/>
      <c r="HY29" s="3"/>
      <c r="HZ29" s="3"/>
      <c r="IA29" s="3"/>
      <c r="IB29" s="3"/>
      <c r="IC29" s="3"/>
      <c r="ID29" s="3"/>
      <c r="IE29" s="3"/>
      <c r="IF29" s="3"/>
      <c r="IG29" s="3"/>
      <c r="IH29" s="3"/>
      <c r="II29" s="3"/>
      <c r="IJ29" s="3"/>
      <c r="IK29" s="3"/>
      <c r="IL29" s="3"/>
      <c r="IM29" s="3"/>
      <c r="IN29" s="3"/>
      <c r="IO29" s="3"/>
      <c r="IP29" s="3"/>
      <c r="IQ29" s="3"/>
      <c r="IR29" s="3"/>
      <c r="IS29" s="3"/>
      <c r="IT29" s="3"/>
      <c r="IU29" s="3"/>
    </row>
    <row r="30" spans="1:255" x14ac:dyDescent="0.2">
      <c r="A30" s="256">
        <f t="shared" si="3"/>
        <v>18</v>
      </c>
      <c r="B30" s="92" t="s">
        <v>270</v>
      </c>
      <c r="C30" s="49" t="s">
        <v>299</v>
      </c>
      <c r="D30" s="24" t="s">
        <v>284</v>
      </c>
      <c r="E30" s="24" t="s">
        <v>317</v>
      </c>
      <c r="F30" s="369" t="s">
        <v>290</v>
      </c>
      <c r="G30" s="94" t="s">
        <v>269</v>
      </c>
      <c r="H30" s="94" t="s">
        <v>96</v>
      </c>
      <c r="I30" s="178" t="s">
        <v>84</v>
      </c>
      <c r="J30" s="35" t="s">
        <v>330</v>
      </c>
      <c r="K30" s="219">
        <v>500</v>
      </c>
      <c r="L30" s="220"/>
      <c r="M30" s="112">
        <v>43770</v>
      </c>
      <c r="N30" s="107">
        <v>43826</v>
      </c>
      <c r="O30" s="107"/>
      <c r="P30" s="112">
        <v>43770</v>
      </c>
      <c r="Q30" s="107">
        <v>43826</v>
      </c>
      <c r="R30" s="224">
        <v>9</v>
      </c>
      <c r="S30" s="224">
        <v>9</v>
      </c>
      <c r="T30" s="224">
        <v>9</v>
      </c>
      <c r="U30" s="59">
        <f t="shared" si="25"/>
        <v>1</v>
      </c>
      <c r="V30" s="40"/>
      <c r="W30" s="37"/>
      <c r="X30" s="227"/>
      <c r="Y30" s="101"/>
      <c r="Z30" s="104"/>
      <c r="AA30" s="227"/>
      <c r="AB30" s="210">
        <f t="shared" si="4"/>
        <v>0</v>
      </c>
      <c r="AC30" s="86"/>
      <c r="AD30" s="157"/>
      <c r="AE30" s="112">
        <v>43770</v>
      </c>
      <c r="AF30" s="107">
        <v>43826</v>
      </c>
      <c r="AG30" s="37"/>
      <c r="AH30" s="112">
        <v>43770</v>
      </c>
      <c r="AI30" s="107">
        <v>43826</v>
      </c>
      <c r="AJ30" s="233"/>
      <c r="AK30" s="234"/>
      <c r="AL30" s="234"/>
      <c r="AM30" s="234">
        <v>500</v>
      </c>
      <c r="AN30" s="236">
        <f t="shared" si="5"/>
        <v>500</v>
      </c>
      <c r="AO30" s="237">
        <v>0</v>
      </c>
      <c r="AP30" s="234">
        <v>0</v>
      </c>
      <c r="AQ30" s="234"/>
      <c r="AR30" s="234">
        <v>542</v>
      </c>
      <c r="AS30" s="236">
        <f t="shared" si="6"/>
        <v>542</v>
      </c>
      <c r="AT30" s="150">
        <f t="shared" si="22"/>
        <v>1.0840000000000001</v>
      </c>
      <c r="AU30" s="165"/>
      <c r="AV30" s="125"/>
      <c r="AW30" s="125"/>
      <c r="AX30" s="127"/>
      <c r="AY30" s="198" t="str">
        <f t="shared" si="7"/>
        <v/>
      </c>
      <c r="AZ30" s="40">
        <v>43473</v>
      </c>
      <c r="BA30" s="40">
        <v>43473</v>
      </c>
      <c r="BB30" s="37"/>
      <c r="BC30" s="37"/>
      <c r="BD30" s="61">
        <f t="shared" si="8"/>
        <v>29.4</v>
      </c>
      <c r="BE30" s="61">
        <f t="shared" si="0"/>
        <v>7.35</v>
      </c>
      <c r="BF30" s="61">
        <f t="shared" si="1"/>
        <v>4.9000000000000004</v>
      </c>
      <c r="BG30" s="61">
        <f t="shared" si="2"/>
        <v>7.35</v>
      </c>
      <c r="BH30" s="61">
        <f t="shared" si="9"/>
        <v>49</v>
      </c>
      <c r="BI30" s="134"/>
      <c r="BJ30" s="134"/>
      <c r="BK30" s="138"/>
      <c r="BL30" s="134"/>
      <c r="BM30" s="136" t="str">
        <f t="shared" si="10"/>
        <v/>
      </c>
      <c r="BN30" s="137"/>
      <c r="BO30" s="63" t="str">
        <f t="shared" si="11"/>
        <v/>
      </c>
      <c r="BP30" s="339" t="str">
        <f t="shared" si="12"/>
        <v/>
      </c>
      <c r="BQ30" s="63" t="str">
        <f t="shared" si="23"/>
        <v/>
      </c>
      <c r="BR30" s="64" t="str">
        <f t="shared" si="13"/>
        <v/>
      </c>
      <c r="BS30" s="160"/>
      <c r="BT30" s="169">
        <f t="shared" si="14"/>
        <v>7</v>
      </c>
      <c r="BU30" s="36">
        <v>43474</v>
      </c>
      <c r="BV30" s="37">
        <v>43475</v>
      </c>
      <c r="BW30" s="37"/>
      <c r="BX30" s="37"/>
      <c r="BY30" s="125"/>
      <c r="BZ30" s="69" t="str">
        <f t="shared" si="15"/>
        <v/>
      </c>
      <c r="CA30" s="129"/>
      <c r="CB30" s="129"/>
      <c r="CC30" s="153" t="str">
        <f t="shared" si="16"/>
        <v/>
      </c>
      <c r="CD30" s="203" t="str">
        <f t="shared" si="17"/>
        <v/>
      </c>
      <c r="CE30" s="154" t="str">
        <f t="shared" si="18"/>
        <v/>
      </c>
      <c r="CF30" s="70" t="str">
        <f t="shared" si="19"/>
        <v/>
      </c>
      <c r="CG30" s="71" t="str">
        <f t="shared" si="24"/>
        <v/>
      </c>
      <c r="CH30" s="160"/>
      <c r="CI30" s="28"/>
      <c r="CJ30" s="171"/>
      <c r="CK30" s="271"/>
      <c r="CL30" s="275">
        <f t="shared" si="20"/>
        <v>49</v>
      </c>
      <c r="CM30" s="275" t="str">
        <f t="shared" si="21"/>
        <v/>
      </c>
      <c r="CO30" s="3">
        <v>0.5</v>
      </c>
      <c r="CP30" s="3">
        <v>0.5</v>
      </c>
      <c r="CQ30" s="3">
        <v>0.5</v>
      </c>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c r="HF30" s="3"/>
      <c r="HG30" s="3"/>
      <c r="HH30" s="3"/>
      <c r="HI30" s="3"/>
      <c r="HJ30" s="3"/>
      <c r="HK30" s="3"/>
      <c r="HL30" s="3"/>
      <c r="HM30" s="3"/>
      <c r="HN30" s="3"/>
      <c r="HO30" s="3"/>
      <c r="HP30" s="3"/>
      <c r="HQ30" s="3"/>
      <c r="HR30" s="3"/>
      <c r="HS30" s="3"/>
      <c r="HT30" s="3"/>
      <c r="HU30" s="3"/>
      <c r="HV30" s="3"/>
      <c r="HW30" s="3"/>
      <c r="HX30" s="3"/>
      <c r="HY30" s="3"/>
      <c r="HZ30" s="3"/>
      <c r="IA30" s="3"/>
      <c r="IB30" s="3"/>
      <c r="IC30" s="3"/>
      <c r="ID30" s="3"/>
      <c r="IE30" s="3"/>
      <c r="IF30" s="3"/>
      <c r="IG30" s="3"/>
      <c r="IH30" s="3"/>
      <c r="II30" s="3"/>
      <c r="IJ30" s="3"/>
      <c r="IK30" s="3"/>
      <c r="IL30" s="3"/>
      <c r="IM30" s="3"/>
      <c r="IN30" s="3"/>
      <c r="IO30" s="3"/>
      <c r="IP30" s="3"/>
      <c r="IQ30" s="3"/>
      <c r="IR30" s="3"/>
      <c r="IS30" s="3"/>
      <c r="IT30" s="3"/>
      <c r="IU30" s="3"/>
    </row>
    <row r="31" spans="1:255" x14ac:dyDescent="0.2">
      <c r="A31" s="256">
        <f t="shared" si="3"/>
        <v>19</v>
      </c>
      <c r="B31" s="92" t="s">
        <v>270</v>
      </c>
      <c r="C31" s="49" t="s">
        <v>288</v>
      </c>
      <c r="D31" s="49" t="s">
        <v>343</v>
      </c>
      <c r="E31" s="24" t="s">
        <v>318</v>
      </c>
      <c r="F31" s="370" t="s">
        <v>292</v>
      </c>
      <c r="G31" s="94" t="s">
        <v>269</v>
      </c>
      <c r="H31" s="94" t="s">
        <v>96</v>
      </c>
      <c r="I31" s="178" t="s">
        <v>84</v>
      </c>
      <c r="J31" s="35" t="s">
        <v>329</v>
      </c>
      <c r="K31" s="219">
        <v>1500</v>
      </c>
      <c r="L31" s="220"/>
      <c r="M31" s="112">
        <v>43770</v>
      </c>
      <c r="N31" s="107">
        <v>43826</v>
      </c>
      <c r="O31" s="107"/>
      <c r="P31" s="112">
        <v>43770</v>
      </c>
      <c r="Q31" s="107">
        <v>43826</v>
      </c>
      <c r="R31" s="224">
        <v>10</v>
      </c>
      <c r="S31" s="224">
        <v>10</v>
      </c>
      <c r="T31" s="224">
        <v>10</v>
      </c>
      <c r="U31" s="59">
        <f t="shared" si="25"/>
        <v>1</v>
      </c>
      <c r="V31" s="40"/>
      <c r="W31" s="37"/>
      <c r="X31" s="227"/>
      <c r="Y31" s="101"/>
      <c r="Z31" s="104"/>
      <c r="AA31" s="227"/>
      <c r="AB31" s="210">
        <f t="shared" si="4"/>
        <v>0</v>
      </c>
      <c r="AC31" s="86"/>
      <c r="AD31" s="157"/>
      <c r="AE31" s="112">
        <v>43770</v>
      </c>
      <c r="AF31" s="107">
        <v>43826</v>
      </c>
      <c r="AG31" s="37"/>
      <c r="AH31" s="112">
        <v>43770</v>
      </c>
      <c r="AI31" s="107">
        <v>43826</v>
      </c>
      <c r="AJ31" s="233"/>
      <c r="AK31" s="234"/>
      <c r="AL31" s="234"/>
      <c r="AM31" s="234">
        <v>1500</v>
      </c>
      <c r="AN31" s="236">
        <f t="shared" si="5"/>
        <v>1500</v>
      </c>
      <c r="AO31" s="237">
        <v>0</v>
      </c>
      <c r="AP31" s="234">
        <v>0</v>
      </c>
      <c r="AQ31" s="234"/>
      <c r="AR31" s="234">
        <v>520</v>
      </c>
      <c r="AS31" s="236">
        <f t="shared" si="6"/>
        <v>520</v>
      </c>
      <c r="AT31" s="150">
        <f t="shared" si="22"/>
        <v>0.34666666666666668</v>
      </c>
      <c r="AU31" s="165"/>
      <c r="AV31" s="125"/>
      <c r="AW31" s="125"/>
      <c r="AX31" s="127"/>
      <c r="AY31" s="198" t="str">
        <f t="shared" si="7"/>
        <v/>
      </c>
      <c r="AZ31" s="40">
        <v>43474</v>
      </c>
      <c r="BA31" s="37">
        <v>43475</v>
      </c>
      <c r="BB31" s="37"/>
      <c r="BC31" s="37"/>
      <c r="BD31" s="61">
        <f t="shared" si="8"/>
        <v>28.2</v>
      </c>
      <c r="BE31" s="61">
        <f t="shared" si="0"/>
        <v>7.05</v>
      </c>
      <c r="BF31" s="61">
        <f t="shared" si="1"/>
        <v>4.7</v>
      </c>
      <c r="BG31" s="61">
        <f t="shared" si="2"/>
        <v>7.05</v>
      </c>
      <c r="BH31" s="61">
        <f t="shared" si="9"/>
        <v>47</v>
      </c>
      <c r="BI31" s="134"/>
      <c r="BJ31" s="134"/>
      <c r="BK31" s="138"/>
      <c r="BL31" s="134"/>
      <c r="BM31" s="136" t="str">
        <f t="shared" si="10"/>
        <v/>
      </c>
      <c r="BN31" s="137"/>
      <c r="BO31" s="63" t="str">
        <f t="shared" si="11"/>
        <v/>
      </c>
      <c r="BP31" s="339" t="str">
        <f t="shared" si="12"/>
        <v/>
      </c>
      <c r="BQ31" s="63" t="str">
        <f t="shared" si="23"/>
        <v/>
      </c>
      <c r="BR31" s="64" t="str">
        <f t="shared" si="13"/>
        <v/>
      </c>
      <c r="BS31" s="160"/>
      <c r="BT31" s="169">
        <f t="shared" si="14"/>
        <v>7</v>
      </c>
      <c r="BU31" s="36">
        <v>43480</v>
      </c>
      <c r="BV31" s="37">
        <v>43482</v>
      </c>
      <c r="BW31" s="37"/>
      <c r="BX31" s="37"/>
      <c r="BY31" s="125"/>
      <c r="BZ31" s="69" t="str">
        <f t="shared" si="15"/>
        <v/>
      </c>
      <c r="CA31" s="129"/>
      <c r="CB31" s="129"/>
      <c r="CC31" s="153" t="str">
        <f t="shared" si="16"/>
        <v/>
      </c>
      <c r="CD31" s="203" t="str">
        <f t="shared" si="17"/>
        <v/>
      </c>
      <c r="CE31" s="154" t="str">
        <f t="shared" si="18"/>
        <v/>
      </c>
      <c r="CF31" s="70" t="str">
        <f t="shared" si="19"/>
        <v/>
      </c>
      <c r="CG31" s="71" t="str">
        <f t="shared" si="24"/>
        <v/>
      </c>
      <c r="CH31" s="160"/>
      <c r="CI31" s="28"/>
      <c r="CJ31" s="171"/>
      <c r="CK31" s="271"/>
      <c r="CL31" s="275">
        <f t="shared" si="20"/>
        <v>47</v>
      </c>
      <c r="CM31" s="275" t="str">
        <f t="shared" si="21"/>
        <v/>
      </c>
      <c r="CO31" s="3">
        <v>2</v>
      </c>
      <c r="CP31" s="3">
        <v>1</v>
      </c>
      <c r="CQ31" s="3">
        <v>2</v>
      </c>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c r="HF31" s="3"/>
      <c r="HG31" s="3"/>
      <c r="HH31" s="3"/>
      <c r="HI31" s="3"/>
      <c r="HJ31" s="3"/>
      <c r="HK31" s="3"/>
      <c r="HL31" s="3"/>
      <c r="HM31" s="3"/>
      <c r="HN31" s="3"/>
      <c r="HO31" s="3"/>
      <c r="HP31" s="3"/>
      <c r="HQ31" s="3"/>
      <c r="HR31" s="3"/>
      <c r="HS31" s="3"/>
      <c r="HT31" s="3"/>
      <c r="HU31" s="3"/>
      <c r="HV31" s="3"/>
      <c r="HW31" s="3"/>
      <c r="HX31" s="3"/>
      <c r="HY31" s="3"/>
      <c r="HZ31" s="3"/>
      <c r="IA31" s="3"/>
      <c r="IB31" s="3"/>
      <c r="IC31" s="3"/>
      <c r="ID31" s="3"/>
      <c r="IE31" s="3"/>
      <c r="IF31" s="3"/>
      <c r="IG31" s="3"/>
      <c r="IH31" s="3"/>
      <c r="II31" s="3"/>
      <c r="IJ31" s="3"/>
      <c r="IK31" s="3"/>
      <c r="IL31" s="3"/>
      <c r="IM31" s="3"/>
      <c r="IN31" s="3"/>
      <c r="IO31" s="3"/>
      <c r="IP31" s="3"/>
      <c r="IQ31" s="3"/>
      <c r="IR31" s="3"/>
      <c r="IS31" s="3"/>
      <c r="IT31" s="3"/>
      <c r="IU31" s="3"/>
    </row>
    <row r="32" spans="1:255" x14ac:dyDescent="0.2">
      <c r="A32" s="256">
        <f t="shared" si="3"/>
        <v>20</v>
      </c>
      <c r="B32" s="92" t="s">
        <v>270</v>
      </c>
      <c r="C32" s="49" t="s">
        <v>288</v>
      </c>
      <c r="D32" s="49" t="s">
        <v>342</v>
      </c>
      <c r="E32" s="49" t="s">
        <v>341</v>
      </c>
      <c r="F32" s="370" t="s">
        <v>292</v>
      </c>
      <c r="G32" s="94" t="s">
        <v>269</v>
      </c>
      <c r="H32" s="94" t="s">
        <v>96</v>
      </c>
      <c r="I32" s="178" t="s">
        <v>84</v>
      </c>
      <c r="J32" s="35" t="s">
        <v>329</v>
      </c>
      <c r="K32" s="219">
        <v>1500</v>
      </c>
      <c r="L32" s="220"/>
      <c r="M32" s="112">
        <v>43770</v>
      </c>
      <c r="N32" s="107">
        <v>43826</v>
      </c>
      <c r="O32" s="107"/>
      <c r="P32" s="112">
        <v>43770</v>
      </c>
      <c r="Q32" s="107">
        <v>43826</v>
      </c>
      <c r="R32" s="224">
        <v>10</v>
      </c>
      <c r="S32" s="224">
        <v>10</v>
      </c>
      <c r="T32" s="224">
        <v>10</v>
      </c>
      <c r="U32" s="59">
        <f t="shared" si="25"/>
        <v>1</v>
      </c>
      <c r="V32" s="40"/>
      <c r="W32" s="37"/>
      <c r="X32" s="227"/>
      <c r="Y32" s="101"/>
      <c r="Z32" s="104"/>
      <c r="AA32" s="227"/>
      <c r="AB32" s="210">
        <f t="shared" si="4"/>
        <v>0</v>
      </c>
      <c r="AC32" s="86"/>
      <c r="AD32" s="157"/>
      <c r="AE32" s="112">
        <v>43770</v>
      </c>
      <c r="AF32" s="107">
        <v>43826</v>
      </c>
      <c r="AG32" s="37"/>
      <c r="AH32" s="112">
        <v>43770</v>
      </c>
      <c r="AI32" s="107">
        <v>43826</v>
      </c>
      <c r="AJ32" s="233"/>
      <c r="AK32" s="234"/>
      <c r="AL32" s="234"/>
      <c r="AM32" s="234">
        <v>1500</v>
      </c>
      <c r="AN32" s="236">
        <f t="shared" si="5"/>
        <v>1500</v>
      </c>
      <c r="AO32" s="237">
        <v>0</v>
      </c>
      <c r="AP32" s="234">
        <v>0</v>
      </c>
      <c r="AQ32" s="234"/>
      <c r="AR32" s="234">
        <v>341</v>
      </c>
      <c r="AS32" s="236">
        <f t="shared" si="6"/>
        <v>341</v>
      </c>
      <c r="AT32" s="150">
        <f>IF(OR($AN32="",$AO32="",$AP32="",$AR32=""),"",$AS32/$AN32)</f>
        <v>0.22733333333333333</v>
      </c>
      <c r="AU32" s="165"/>
      <c r="AV32" s="125"/>
      <c r="AW32" s="125"/>
      <c r="AX32" s="127"/>
      <c r="AY32" s="198" t="str">
        <f t="shared" si="7"/>
        <v/>
      </c>
      <c r="AZ32" s="37">
        <v>43475</v>
      </c>
      <c r="BA32" s="37">
        <v>43479</v>
      </c>
      <c r="BB32" s="37"/>
      <c r="BC32" s="37"/>
      <c r="BD32" s="61">
        <f t="shared" si="8"/>
        <v>18.599999999999998</v>
      </c>
      <c r="BE32" s="61">
        <f t="shared" si="0"/>
        <v>4.6499999999999995</v>
      </c>
      <c r="BF32" s="61">
        <f t="shared" si="1"/>
        <v>3.1</v>
      </c>
      <c r="BG32" s="61">
        <f t="shared" si="2"/>
        <v>4.6499999999999995</v>
      </c>
      <c r="BH32" s="61">
        <f t="shared" si="9"/>
        <v>31</v>
      </c>
      <c r="BI32" s="134"/>
      <c r="BJ32" s="134"/>
      <c r="BK32" s="138"/>
      <c r="BL32" s="134"/>
      <c r="BM32" s="136" t="str">
        <f t="shared" si="10"/>
        <v/>
      </c>
      <c r="BN32" s="137"/>
      <c r="BO32" s="63" t="str">
        <f t="shared" si="11"/>
        <v/>
      </c>
      <c r="BP32" s="339" t="str">
        <f t="shared" si="12"/>
        <v/>
      </c>
      <c r="BQ32" s="63" t="str">
        <f t="shared" si="23"/>
        <v/>
      </c>
      <c r="BR32" s="64" t="str">
        <f t="shared" si="13"/>
        <v/>
      </c>
      <c r="BS32" s="160"/>
      <c r="BT32" s="169">
        <f t="shared" si="14"/>
        <v>5</v>
      </c>
      <c r="BU32" s="36">
        <v>43482</v>
      </c>
      <c r="BV32" s="37">
        <v>43485</v>
      </c>
      <c r="BW32" s="37"/>
      <c r="BX32" s="37"/>
      <c r="BY32" s="125"/>
      <c r="BZ32" s="69" t="str">
        <f t="shared" si="15"/>
        <v/>
      </c>
      <c r="CA32" s="129"/>
      <c r="CB32" s="129"/>
      <c r="CC32" s="153" t="str">
        <f t="shared" si="16"/>
        <v/>
      </c>
      <c r="CD32" s="203" t="str">
        <f t="shared" si="17"/>
        <v/>
      </c>
      <c r="CE32" s="154" t="str">
        <f t="shared" si="18"/>
        <v/>
      </c>
      <c r="CF32" s="70" t="str">
        <f t="shared" si="19"/>
        <v/>
      </c>
      <c r="CG32" s="71" t="str">
        <f t="shared" si="24"/>
        <v/>
      </c>
      <c r="CH32" s="160"/>
      <c r="CI32" s="28"/>
      <c r="CJ32" s="171"/>
      <c r="CK32" s="271"/>
      <c r="CL32" s="275">
        <f t="shared" si="20"/>
        <v>31</v>
      </c>
      <c r="CM32" s="275" t="str">
        <f t="shared" si="21"/>
        <v/>
      </c>
      <c r="CO32" s="3">
        <v>1</v>
      </c>
      <c r="CP32" s="3">
        <v>1</v>
      </c>
      <c r="CQ32" s="3">
        <v>1</v>
      </c>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c r="HF32" s="3"/>
      <c r="HG32" s="3"/>
      <c r="HH32" s="3"/>
      <c r="HI32" s="3"/>
      <c r="HJ32" s="3"/>
      <c r="HK32" s="3"/>
      <c r="HL32" s="3"/>
      <c r="HM32" s="3"/>
      <c r="HN32" s="3"/>
      <c r="HO32" s="3"/>
      <c r="HP32" s="3"/>
      <c r="HQ32" s="3"/>
      <c r="HR32" s="3"/>
      <c r="HS32" s="3"/>
      <c r="HT32" s="3"/>
      <c r="HU32" s="3"/>
      <c r="HV32" s="3"/>
      <c r="HW32" s="3"/>
      <c r="HX32" s="3"/>
      <c r="HY32" s="3"/>
      <c r="HZ32" s="3"/>
      <c r="IA32" s="3"/>
      <c r="IB32" s="3"/>
      <c r="IC32" s="3"/>
      <c r="ID32" s="3"/>
      <c r="IE32" s="3"/>
      <c r="IF32" s="3"/>
      <c r="IG32" s="3"/>
      <c r="IH32" s="3"/>
      <c r="II32" s="3"/>
      <c r="IJ32" s="3"/>
      <c r="IK32" s="3"/>
      <c r="IL32" s="3"/>
      <c r="IM32" s="3"/>
      <c r="IN32" s="3"/>
      <c r="IO32" s="3"/>
      <c r="IP32" s="3"/>
      <c r="IQ32" s="3"/>
      <c r="IR32" s="3"/>
      <c r="IS32" s="3"/>
      <c r="IT32" s="3"/>
      <c r="IU32" s="3"/>
    </row>
    <row r="33" spans="1:255" x14ac:dyDescent="0.2">
      <c r="A33" s="256">
        <f t="shared" si="3"/>
        <v>21</v>
      </c>
      <c r="B33" s="92" t="s">
        <v>270</v>
      </c>
      <c r="C33" s="93" t="s">
        <v>285</v>
      </c>
      <c r="D33" s="49" t="s">
        <v>294</v>
      </c>
      <c r="E33" s="24" t="s">
        <v>319</v>
      </c>
      <c r="F33" s="370" t="s">
        <v>292</v>
      </c>
      <c r="G33" s="94" t="s">
        <v>269</v>
      </c>
      <c r="H33" s="94" t="s">
        <v>96</v>
      </c>
      <c r="I33" s="178" t="s">
        <v>84</v>
      </c>
      <c r="J33" s="35" t="s">
        <v>330</v>
      </c>
      <c r="K33" s="219">
        <v>2000</v>
      </c>
      <c r="L33" s="220"/>
      <c r="M33" s="48">
        <v>43850</v>
      </c>
      <c r="N33" s="37">
        <v>43852</v>
      </c>
      <c r="O33" s="107" t="s">
        <v>334</v>
      </c>
      <c r="P33" s="37"/>
      <c r="Q33" s="37"/>
      <c r="R33" s="224">
        <v>13</v>
      </c>
      <c r="S33" s="224">
        <v>13</v>
      </c>
      <c r="T33" s="224"/>
      <c r="U33" s="59">
        <f t="shared" si="25"/>
        <v>0</v>
      </c>
      <c r="V33" s="40"/>
      <c r="W33" s="37"/>
      <c r="X33" s="227"/>
      <c r="Y33" s="101"/>
      <c r="Z33" s="104"/>
      <c r="AA33" s="227"/>
      <c r="AB33" s="210" t="str">
        <f t="shared" si="4"/>
        <v/>
      </c>
      <c r="AC33" s="86"/>
      <c r="AD33" s="157"/>
      <c r="AE33" s="36"/>
      <c r="AF33" s="37"/>
      <c r="AG33" s="37"/>
      <c r="AH33" s="37"/>
      <c r="AI33" s="48"/>
      <c r="AJ33" s="233"/>
      <c r="AK33" s="234"/>
      <c r="AL33" s="234"/>
      <c r="AM33" s="234">
        <v>2000</v>
      </c>
      <c r="AN33" s="236">
        <f t="shared" si="5"/>
        <v>2000</v>
      </c>
      <c r="AO33" s="237">
        <v>0</v>
      </c>
      <c r="AP33" s="234">
        <v>0</v>
      </c>
      <c r="AQ33" s="234"/>
      <c r="AR33" s="234"/>
      <c r="AS33" s="236">
        <f t="shared" si="6"/>
        <v>0</v>
      </c>
      <c r="AT33" s="150" t="str">
        <f t="shared" si="22"/>
        <v/>
      </c>
      <c r="AU33" s="165"/>
      <c r="AV33" s="125"/>
      <c r="AW33" s="125"/>
      <c r="AX33" s="127"/>
      <c r="AY33" s="198" t="str">
        <f t="shared" si="7"/>
        <v/>
      </c>
      <c r="AZ33" s="40">
        <v>43496</v>
      </c>
      <c r="BA33" s="37">
        <v>43499</v>
      </c>
      <c r="BB33" s="37"/>
      <c r="BC33" s="37"/>
      <c r="BD33" s="61">
        <f t="shared" si="8"/>
        <v>108</v>
      </c>
      <c r="BE33" s="61">
        <f t="shared" si="0"/>
        <v>27</v>
      </c>
      <c r="BF33" s="61">
        <f t="shared" si="1"/>
        <v>18</v>
      </c>
      <c r="BG33" s="61">
        <f t="shared" si="2"/>
        <v>27</v>
      </c>
      <c r="BH33" s="61">
        <f t="shared" si="9"/>
        <v>180</v>
      </c>
      <c r="BI33" s="134"/>
      <c r="BJ33" s="134"/>
      <c r="BK33" s="138"/>
      <c r="BL33" s="134"/>
      <c r="BM33" s="136" t="str">
        <f t="shared" si="10"/>
        <v/>
      </c>
      <c r="BN33" s="137"/>
      <c r="BO33" s="63" t="str">
        <f t="shared" si="11"/>
        <v/>
      </c>
      <c r="BP33" s="339" t="str">
        <f t="shared" si="12"/>
        <v/>
      </c>
      <c r="BQ33" s="63" t="str">
        <f t="shared" si="23"/>
        <v/>
      </c>
      <c r="BR33" s="64" t="str">
        <f t="shared" si="13"/>
        <v/>
      </c>
      <c r="BS33" s="160"/>
      <c r="BT33" s="169">
        <f t="shared" si="14"/>
        <v>24</v>
      </c>
      <c r="BU33" s="36">
        <v>43499</v>
      </c>
      <c r="BV33" s="37">
        <v>43501</v>
      </c>
      <c r="BW33" s="37"/>
      <c r="BX33" s="37"/>
      <c r="BY33" s="125"/>
      <c r="BZ33" s="69" t="str">
        <f t="shared" si="15"/>
        <v/>
      </c>
      <c r="CA33" s="129"/>
      <c r="CB33" s="129"/>
      <c r="CC33" s="153" t="str">
        <f t="shared" si="16"/>
        <v/>
      </c>
      <c r="CD33" s="203" t="str">
        <f t="shared" si="17"/>
        <v/>
      </c>
      <c r="CE33" s="154" t="str">
        <f t="shared" si="18"/>
        <v/>
      </c>
      <c r="CF33" s="70" t="str">
        <f t="shared" si="19"/>
        <v/>
      </c>
      <c r="CG33" s="71" t="str">
        <f t="shared" si="24"/>
        <v/>
      </c>
      <c r="CH33" s="160"/>
      <c r="CI33" s="28"/>
      <c r="CJ33" s="171"/>
      <c r="CK33" s="271"/>
      <c r="CL33" s="275">
        <f t="shared" si="20"/>
        <v>180</v>
      </c>
      <c r="CM33" s="275" t="str">
        <f t="shared" si="21"/>
        <v/>
      </c>
      <c r="CO33" s="3">
        <v>3</v>
      </c>
      <c r="CP33" s="3">
        <v>1</v>
      </c>
      <c r="CQ33" s="3">
        <v>3</v>
      </c>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c r="HF33" s="3"/>
      <c r="HG33" s="3"/>
      <c r="HH33" s="3"/>
      <c r="HI33" s="3"/>
      <c r="HJ33" s="3"/>
      <c r="HK33" s="3"/>
      <c r="HL33" s="3"/>
      <c r="HM33" s="3"/>
      <c r="HN33" s="3"/>
      <c r="HO33" s="3"/>
      <c r="HP33" s="3"/>
      <c r="HQ33" s="3"/>
      <c r="HR33" s="3"/>
      <c r="HS33" s="3"/>
      <c r="HT33" s="3"/>
      <c r="HU33" s="3"/>
      <c r="HV33" s="3"/>
      <c r="HW33" s="3"/>
      <c r="HX33" s="3"/>
      <c r="HY33" s="3"/>
      <c r="HZ33" s="3"/>
      <c r="IA33" s="3"/>
      <c r="IB33" s="3"/>
      <c r="IC33" s="3"/>
      <c r="ID33" s="3"/>
      <c r="IE33" s="3"/>
      <c r="IF33" s="3"/>
      <c r="IG33" s="3"/>
      <c r="IH33" s="3"/>
      <c r="II33" s="3"/>
      <c r="IJ33" s="3"/>
      <c r="IK33" s="3"/>
      <c r="IL33" s="3"/>
      <c r="IM33" s="3"/>
      <c r="IN33" s="3"/>
      <c r="IO33" s="3"/>
      <c r="IP33" s="3"/>
      <c r="IQ33" s="3"/>
      <c r="IR33" s="3"/>
      <c r="IS33" s="3"/>
      <c r="IT33" s="3"/>
      <c r="IU33" s="3"/>
    </row>
    <row r="34" spans="1:255" x14ac:dyDescent="0.2">
      <c r="A34" s="256">
        <f t="shared" si="3"/>
        <v>22</v>
      </c>
      <c r="B34" s="92" t="s">
        <v>270</v>
      </c>
      <c r="C34" s="92" t="s">
        <v>289</v>
      </c>
      <c r="D34" s="49" t="s">
        <v>295</v>
      </c>
      <c r="E34" s="24" t="s">
        <v>320</v>
      </c>
      <c r="F34" s="369" t="s">
        <v>293</v>
      </c>
      <c r="G34" s="94" t="s">
        <v>269</v>
      </c>
      <c r="H34" s="94" t="s">
        <v>96</v>
      </c>
      <c r="I34" s="178" t="s">
        <v>84</v>
      </c>
      <c r="J34" s="35" t="s">
        <v>331</v>
      </c>
      <c r="K34" s="219">
        <v>2000</v>
      </c>
      <c r="L34" s="220"/>
      <c r="M34" s="48">
        <v>43850</v>
      </c>
      <c r="N34" s="37">
        <v>43852</v>
      </c>
      <c r="O34" s="47" t="s">
        <v>335</v>
      </c>
      <c r="P34" s="37"/>
      <c r="Q34" s="37"/>
      <c r="R34" s="224">
        <v>13</v>
      </c>
      <c r="S34" s="224">
        <v>13</v>
      </c>
      <c r="T34" s="224"/>
      <c r="U34" s="59">
        <f t="shared" si="25"/>
        <v>0</v>
      </c>
      <c r="V34" s="40"/>
      <c r="W34" s="37"/>
      <c r="X34" s="227"/>
      <c r="Y34" s="101"/>
      <c r="Z34" s="104"/>
      <c r="AA34" s="227"/>
      <c r="AB34" s="210" t="str">
        <f t="shared" si="4"/>
        <v/>
      </c>
      <c r="AC34" s="86"/>
      <c r="AD34" s="157"/>
      <c r="AE34" s="36"/>
      <c r="AF34" s="37"/>
      <c r="AG34" s="37"/>
      <c r="AH34" s="37"/>
      <c r="AI34" s="48"/>
      <c r="AJ34" s="233"/>
      <c r="AK34" s="234"/>
      <c r="AL34" s="234"/>
      <c r="AM34" s="234">
        <v>2000</v>
      </c>
      <c r="AN34" s="236">
        <f t="shared" si="5"/>
        <v>2000</v>
      </c>
      <c r="AO34" s="237">
        <v>0</v>
      </c>
      <c r="AP34" s="234">
        <v>0</v>
      </c>
      <c r="AQ34" s="234"/>
      <c r="AR34" s="234"/>
      <c r="AS34" s="236">
        <f t="shared" si="6"/>
        <v>0</v>
      </c>
      <c r="AT34" s="150" t="str">
        <f t="shared" si="22"/>
        <v/>
      </c>
      <c r="AU34" s="165"/>
      <c r="AV34" s="125"/>
      <c r="AW34" s="125"/>
      <c r="AX34" s="127"/>
      <c r="AY34" s="198" t="str">
        <f t="shared" si="7"/>
        <v/>
      </c>
      <c r="AZ34" s="40">
        <v>43496</v>
      </c>
      <c r="BA34" s="37">
        <v>43499</v>
      </c>
      <c r="BB34" s="37"/>
      <c r="BC34" s="37"/>
      <c r="BD34" s="61">
        <f t="shared" si="8"/>
        <v>108</v>
      </c>
      <c r="BE34" s="61">
        <f t="shared" si="0"/>
        <v>27</v>
      </c>
      <c r="BF34" s="61">
        <f t="shared" si="1"/>
        <v>18</v>
      </c>
      <c r="BG34" s="61">
        <f t="shared" si="2"/>
        <v>27</v>
      </c>
      <c r="BH34" s="61">
        <f t="shared" si="9"/>
        <v>180</v>
      </c>
      <c r="BI34" s="134"/>
      <c r="BJ34" s="134"/>
      <c r="BK34" s="138"/>
      <c r="BL34" s="134"/>
      <c r="BM34" s="136" t="str">
        <f t="shared" si="10"/>
        <v/>
      </c>
      <c r="BN34" s="137"/>
      <c r="BO34" s="63" t="str">
        <f t="shared" si="11"/>
        <v/>
      </c>
      <c r="BP34" s="339" t="str">
        <f t="shared" si="12"/>
        <v/>
      </c>
      <c r="BQ34" s="63" t="str">
        <f t="shared" si="23"/>
        <v/>
      </c>
      <c r="BR34" s="64" t="str">
        <f t="shared" si="13"/>
        <v/>
      </c>
      <c r="BS34" s="160"/>
      <c r="BT34" s="169">
        <f t="shared" si="14"/>
        <v>24</v>
      </c>
      <c r="BU34" s="36">
        <v>43500</v>
      </c>
      <c r="BV34" s="37">
        <v>43503</v>
      </c>
      <c r="BW34" s="37"/>
      <c r="BX34" s="37"/>
      <c r="BY34" s="125"/>
      <c r="BZ34" s="69" t="str">
        <f t="shared" si="15"/>
        <v/>
      </c>
      <c r="CA34" s="129"/>
      <c r="CB34" s="129"/>
      <c r="CC34" s="153" t="str">
        <f t="shared" si="16"/>
        <v/>
      </c>
      <c r="CD34" s="203" t="str">
        <f t="shared" si="17"/>
        <v/>
      </c>
      <c r="CE34" s="154" t="str">
        <f t="shared" si="18"/>
        <v/>
      </c>
      <c r="CF34" s="70" t="str">
        <f t="shared" si="19"/>
        <v/>
      </c>
      <c r="CG34" s="71" t="str">
        <f t="shared" si="24"/>
        <v/>
      </c>
      <c r="CH34" s="160"/>
      <c r="CI34" s="28"/>
      <c r="CJ34" s="171"/>
      <c r="CK34" s="271"/>
      <c r="CL34" s="275">
        <f t="shared" si="20"/>
        <v>180</v>
      </c>
      <c r="CM34" s="275" t="str">
        <f t="shared" si="21"/>
        <v/>
      </c>
      <c r="CO34" s="3">
        <v>3</v>
      </c>
      <c r="CP34" s="3">
        <v>1</v>
      </c>
      <c r="CQ34" s="3">
        <v>3</v>
      </c>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c r="HF34" s="3"/>
      <c r="HG34" s="3"/>
      <c r="HH34" s="3"/>
      <c r="HI34" s="3"/>
      <c r="HJ34" s="3"/>
      <c r="HK34" s="3"/>
      <c r="HL34" s="3"/>
      <c r="HM34" s="3"/>
      <c r="HN34" s="3"/>
      <c r="HO34" s="3"/>
      <c r="HP34" s="3"/>
      <c r="HQ34" s="3"/>
      <c r="HR34" s="3"/>
      <c r="HS34" s="3"/>
      <c r="HT34" s="3"/>
      <c r="HU34" s="3"/>
      <c r="HV34" s="3"/>
      <c r="HW34" s="3"/>
      <c r="HX34" s="3"/>
      <c r="HY34" s="3"/>
      <c r="HZ34" s="3"/>
      <c r="IA34" s="3"/>
      <c r="IB34" s="3"/>
      <c r="IC34" s="3"/>
      <c r="ID34" s="3"/>
      <c r="IE34" s="3"/>
      <c r="IF34" s="3"/>
      <c r="IG34" s="3"/>
      <c r="IH34" s="3"/>
      <c r="II34" s="3"/>
      <c r="IJ34" s="3"/>
      <c r="IK34" s="3"/>
      <c r="IL34" s="3"/>
      <c r="IM34" s="3"/>
      <c r="IN34" s="3"/>
      <c r="IO34" s="3"/>
      <c r="IP34" s="3"/>
      <c r="IQ34" s="3"/>
      <c r="IR34" s="3"/>
      <c r="IS34" s="3"/>
      <c r="IT34" s="3"/>
      <c r="IU34" s="3"/>
    </row>
    <row r="35" spans="1:255" x14ac:dyDescent="0.2">
      <c r="A35" s="256">
        <f t="shared" si="3"/>
        <v>23</v>
      </c>
      <c r="B35" s="92" t="s">
        <v>270</v>
      </c>
      <c r="C35" s="92" t="s">
        <v>289</v>
      </c>
      <c r="D35" s="49" t="s">
        <v>296</v>
      </c>
      <c r="E35" s="24" t="s">
        <v>321</v>
      </c>
      <c r="F35" s="369" t="s">
        <v>293</v>
      </c>
      <c r="G35" s="94" t="s">
        <v>269</v>
      </c>
      <c r="H35" s="94" t="s">
        <v>96</v>
      </c>
      <c r="I35" s="178" t="s">
        <v>84</v>
      </c>
      <c r="J35" s="35" t="s">
        <v>331</v>
      </c>
      <c r="K35" s="219">
        <v>1500</v>
      </c>
      <c r="L35" s="220"/>
      <c r="M35" s="37">
        <v>43852</v>
      </c>
      <c r="N35" s="37">
        <v>43854</v>
      </c>
      <c r="O35" s="47" t="s">
        <v>335</v>
      </c>
      <c r="P35" s="37"/>
      <c r="Q35" s="37"/>
      <c r="R35" s="224">
        <v>10</v>
      </c>
      <c r="S35" s="224">
        <v>10</v>
      </c>
      <c r="T35" s="224"/>
      <c r="U35" s="59">
        <f t="shared" si="25"/>
        <v>0</v>
      </c>
      <c r="V35" s="40"/>
      <c r="W35" s="37"/>
      <c r="X35" s="227"/>
      <c r="Y35" s="101"/>
      <c r="Z35" s="104"/>
      <c r="AA35" s="227"/>
      <c r="AB35" s="210" t="str">
        <f t="shared" si="4"/>
        <v/>
      </c>
      <c r="AC35" s="86"/>
      <c r="AD35" s="157"/>
      <c r="AE35" s="36"/>
      <c r="AF35" s="37"/>
      <c r="AG35" s="37"/>
      <c r="AH35" s="37"/>
      <c r="AI35" s="48"/>
      <c r="AJ35" s="233"/>
      <c r="AK35" s="234"/>
      <c r="AL35" s="234"/>
      <c r="AM35" s="238">
        <v>1500</v>
      </c>
      <c r="AN35" s="236">
        <f t="shared" si="5"/>
        <v>1500</v>
      </c>
      <c r="AO35" s="237">
        <v>0</v>
      </c>
      <c r="AP35" s="234">
        <v>0</v>
      </c>
      <c r="AQ35" s="234"/>
      <c r="AR35" s="238"/>
      <c r="AS35" s="236">
        <f t="shared" si="6"/>
        <v>0</v>
      </c>
      <c r="AT35" s="150" t="str">
        <f t="shared" si="22"/>
        <v/>
      </c>
      <c r="AU35" s="165"/>
      <c r="AV35" s="125"/>
      <c r="AW35" s="125"/>
      <c r="AX35" s="128"/>
      <c r="AY35" s="198" t="str">
        <f t="shared" si="7"/>
        <v/>
      </c>
      <c r="AZ35" s="40">
        <v>43496</v>
      </c>
      <c r="BA35" s="37">
        <v>43499</v>
      </c>
      <c r="BB35" s="37"/>
      <c r="BC35" s="37"/>
      <c r="BD35" s="61">
        <f t="shared" si="8"/>
        <v>81</v>
      </c>
      <c r="BE35" s="61">
        <f t="shared" si="0"/>
        <v>20.25</v>
      </c>
      <c r="BF35" s="61">
        <f t="shared" si="1"/>
        <v>13.5</v>
      </c>
      <c r="BG35" s="61">
        <f t="shared" si="2"/>
        <v>20.25</v>
      </c>
      <c r="BH35" s="61">
        <f t="shared" si="9"/>
        <v>135</v>
      </c>
      <c r="BI35" s="134"/>
      <c r="BJ35" s="134"/>
      <c r="BK35" s="138"/>
      <c r="BL35" s="134"/>
      <c r="BM35" s="136" t="str">
        <f t="shared" si="10"/>
        <v/>
      </c>
      <c r="BN35" s="137"/>
      <c r="BO35" s="63" t="str">
        <f t="shared" si="11"/>
        <v/>
      </c>
      <c r="BP35" s="339" t="str">
        <f t="shared" si="12"/>
        <v/>
      </c>
      <c r="BQ35" s="63" t="str">
        <f t="shared" si="23"/>
        <v/>
      </c>
      <c r="BR35" s="64" t="str">
        <f t="shared" si="13"/>
        <v/>
      </c>
      <c r="BS35" s="160"/>
      <c r="BT35" s="169">
        <f t="shared" si="14"/>
        <v>18</v>
      </c>
      <c r="BU35" s="36">
        <v>43506</v>
      </c>
      <c r="BV35" s="37">
        <v>43508</v>
      </c>
      <c r="BW35" s="37"/>
      <c r="BX35" s="37"/>
      <c r="BY35" s="125"/>
      <c r="BZ35" s="69" t="str">
        <f t="shared" si="15"/>
        <v/>
      </c>
      <c r="CA35" s="129"/>
      <c r="CB35" s="129"/>
      <c r="CC35" s="153" t="str">
        <f t="shared" si="16"/>
        <v/>
      </c>
      <c r="CD35" s="203" t="str">
        <f t="shared" si="17"/>
        <v/>
      </c>
      <c r="CE35" s="154" t="str">
        <f t="shared" si="18"/>
        <v/>
      </c>
      <c r="CF35" s="70" t="str">
        <f t="shared" si="19"/>
        <v/>
      </c>
      <c r="CG35" s="71" t="str">
        <f t="shared" si="24"/>
        <v/>
      </c>
      <c r="CH35" s="160"/>
      <c r="CI35" s="28"/>
      <c r="CJ35" s="171"/>
      <c r="CK35" s="271"/>
      <c r="CL35" s="275">
        <f t="shared" si="20"/>
        <v>135</v>
      </c>
      <c r="CM35" s="275" t="str">
        <f t="shared" si="21"/>
        <v/>
      </c>
      <c r="CO35" s="3">
        <v>1</v>
      </c>
      <c r="CP35" s="3">
        <v>1</v>
      </c>
      <c r="CQ35" s="3">
        <v>1</v>
      </c>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c r="HF35" s="3"/>
      <c r="HG35" s="3"/>
      <c r="HH35" s="3"/>
      <c r="HI35" s="3"/>
      <c r="HJ35" s="3"/>
      <c r="HK35" s="3"/>
      <c r="HL35" s="3"/>
      <c r="HM35" s="3"/>
      <c r="HN35" s="3"/>
      <c r="HO35" s="3"/>
      <c r="HP35" s="3"/>
      <c r="HQ35" s="3"/>
      <c r="HR35" s="3"/>
      <c r="HS35" s="3"/>
      <c r="HT35" s="3"/>
      <c r="HU35" s="3"/>
      <c r="HV35" s="3"/>
      <c r="HW35" s="3"/>
      <c r="HX35" s="3"/>
      <c r="HY35" s="3"/>
      <c r="HZ35" s="3"/>
      <c r="IA35" s="3"/>
      <c r="IB35" s="3"/>
      <c r="IC35" s="3"/>
      <c r="ID35" s="3"/>
      <c r="IE35" s="3"/>
      <c r="IF35" s="3"/>
      <c r="IG35" s="3"/>
      <c r="IH35" s="3"/>
      <c r="II35" s="3"/>
      <c r="IJ35" s="3"/>
      <c r="IK35" s="3"/>
      <c r="IL35" s="3"/>
      <c r="IM35" s="3"/>
      <c r="IN35" s="3"/>
      <c r="IO35" s="3"/>
      <c r="IP35" s="3"/>
      <c r="IQ35" s="3"/>
      <c r="IR35" s="3"/>
      <c r="IS35" s="3"/>
      <c r="IT35" s="3"/>
      <c r="IU35" s="3"/>
    </row>
    <row r="36" spans="1:255" x14ac:dyDescent="0.2">
      <c r="A36" s="256">
        <f t="shared" si="3"/>
        <v>24</v>
      </c>
      <c r="B36" s="92" t="s">
        <v>270</v>
      </c>
      <c r="C36" s="92" t="s">
        <v>289</v>
      </c>
      <c r="D36" s="49" t="s">
        <v>297</v>
      </c>
      <c r="E36" s="24" t="s">
        <v>322</v>
      </c>
      <c r="F36" s="369" t="s">
        <v>293</v>
      </c>
      <c r="G36" s="94" t="s">
        <v>269</v>
      </c>
      <c r="H36" s="94" t="s">
        <v>96</v>
      </c>
      <c r="I36" s="178" t="s">
        <v>84</v>
      </c>
      <c r="J36" s="35" t="s">
        <v>330</v>
      </c>
      <c r="K36" s="219">
        <v>3000</v>
      </c>
      <c r="L36" s="220"/>
      <c r="M36" s="48">
        <v>43853</v>
      </c>
      <c r="N36" s="37">
        <v>43857</v>
      </c>
      <c r="O36" s="107" t="s">
        <v>334</v>
      </c>
      <c r="P36" s="37"/>
      <c r="Q36" s="37"/>
      <c r="R36" s="224">
        <v>16</v>
      </c>
      <c r="S36" s="224">
        <v>16</v>
      </c>
      <c r="T36" s="224"/>
      <c r="U36" s="59">
        <f t="shared" si="25"/>
        <v>0</v>
      </c>
      <c r="V36" s="40"/>
      <c r="W36" s="37"/>
      <c r="X36" s="227"/>
      <c r="Y36" s="101"/>
      <c r="Z36" s="104"/>
      <c r="AA36" s="227"/>
      <c r="AB36" s="210" t="str">
        <f t="shared" si="4"/>
        <v/>
      </c>
      <c r="AC36" s="86"/>
      <c r="AD36" s="157"/>
      <c r="AE36" s="36"/>
      <c r="AF36" s="37"/>
      <c r="AG36" s="37"/>
      <c r="AH36" s="37"/>
      <c r="AI36" s="48"/>
      <c r="AJ36" s="233"/>
      <c r="AK36" s="234"/>
      <c r="AL36" s="234"/>
      <c r="AM36" s="234">
        <v>3000</v>
      </c>
      <c r="AN36" s="236">
        <f t="shared" si="5"/>
        <v>3000</v>
      </c>
      <c r="AO36" s="237">
        <v>0</v>
      </c>
      <c r="AP36" s="234">
        <v>0</v>
      </c>
      <c r="AQ36" s="234"/>
      <c r="AR36" s="234"/>
      <c r="AS36" s="236">
        <f t="shared" si="6"/>
        <v>0</v>
      </c>
      <c r="AT36" s="150" t="str">
        <f t="shared" si="22"/>
        <v/>
      </c>
      <c r="AU36" s="165"/>
      <c r="AV36" s="125"/>
      <c r="AW36" s="125"/>
      <c r="AX36" s="127"/>
      <c r="AY36" s="198" t="str">
        <f t="shared" si="7"/>
        <v/>
      </c>
      <c r="AZ36" s="40">
        <v>43508</v>
      </c>
      <c r="BA36" s="37">
        <v>43509</v>
      </c>
      <c r="BB36" s="37"/>
      <c r="BC36" s="37"/>
      <c r="BD36" s="61">
        <f t="shared" si="8"/>
        <v>162</v>
      </c>
      <c r="BE36" s="61">
        <f t="shared" si="0"/>
        <v>40.5</v>
      </c>
      <c r="BF36" s="61">
        <f t="shared" si="1"/>
        <v>27</v>
      </c>
      <c r="BG36" s="61">
        <f t="shared" si="2"/>
        <v>40.5</v>
      </c>
      <c r="BH36" s="61">
        <f t="shared" si="9"/>
        <v>270</v>
      </c>
      <c r="BI36" s="134"/>
      <c r="BJ36" s="134"/>
      <c r="BK36" s="138"/>
      <c r="BL36" s="134"/>
      <c r="BM36" s="136" t="str">
        <f t="shared" si="10"/>
        <v/>
      </c>
      <c r="BN36" s="137"/>
      <c r="BO36" s="63" t="str">
        <f t="shared" si="11"/>
        <v/>
      </c>
      <c r="BP36" s="339" t="str">
        <f t="shared" si="12"/>
        <v/>
      </c>
      <c r="BQ36" s="63" t="str">
        <f t="shared" si="23"/>
        <v/>
      </c>
      <c r="BR36" s="64" t="str">
        <f t="shared" si="13"/>
        <v/>
      </c>
      <c r="BS36" s="160"/>
      <c r="BT36" s="169">
        <f t="shared" si="14"/>
        <v>36</v>
      </c>
      <c r="BU36" s="36">
        <v>43509</v>
      </c>
      <c r="BV36" s="37">
        <v>43513</v>
      </c>
      <c r="BW36" s="37"/>
      <c r="BX36" s="37"/>
      <c r="BY36" s="125"/>
      <c r="BZ36" s="69" t="str">
        <f t="shared" si="15"/>
        <v/>
      </c>
      <c r="CA36" s="129"/>
      <c r="CB36" s="129"/>
      <c r="CC36" s="153" t="str">
        <f t="shared" si="16"/>
        <v/>
      </c>
      <c r="CD36" s="203" t="str">
        <f t="shared" si="17"/>
        <v/>
      </c>
      <c r="CE36" s="154" t="str">
        <f t="shared" si="18"/>
        <v/>
      </c>
      <c r="CF36" s="70" t="str">
        <f t="shared" si="19"/>
        <v/>
      </c>
      <c r="CG36" s="71" t="str">
        <f t="shared" si="24"/>
        <v/>
      </c>
      <c r="CH36" s="160"/>
      <c r="CI36" s="28"/>
      <c r="CJ36" s="171"/>
      <c r="CK36" s="271"/>
      <c r="CL36" s="275">
        <f t="shared" si="20"/>
        <v>270</v>
      </c>
      <c r="CM36" s="275" t="str">
        <f t="shared" si="21"/>
        <v/>
      </c>
      <c r="CO36" s="3">
        <v>3</v>
      </c>
      <c r="CP36" s="3">
        <v>1</v>
      </c>
      <c r="CQ36" s="3">
        <v>3</v>
      </c>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c r="HF36" s="3"/>
      <c r="HG36" s="3"/>
      <c r="HH36" s="3"/>
      <c r="HI36" s="3"/>
      <c r="HJ36" s="3"/>
      <c r="HK36" s="3"/>
      <c r="HL36" s="3"/>
      <c r="HM36" s="3"/>
      <c r="HN36" s="3"/>
      <c r="HO36" s="3"/>
      <c r="HP36" s="3"/>
      <c r="HQ36" s="3"/>
      <c r="HR36" s="3"/>
      <c r="HS36" s="3"/>
      <c r="HT36" s="3"/>
      <c r="HU36" s="3"/>
      <c r="HV36" s="3"/>
      <c r="HW36" s="3"/>
      <c r="HX36" s="3"/>
      <c r="HY36" s="3"/>
      <c r="HZ36" s="3"/>
      <c r="IA36" s="3"/>
      <c r="IB36" s="3"/>
      <c r="IC36" s="3"/>
      <c r="ID36" s="3"/>
      <c r="IE36" s="3"/>
      <c r="IF36" s="3"/>
      <c r="IG36" s="3"/>
      <c r="IH36" s="3"/>
      <c r="II36" s="3"/>
      <c r="IJ36" s="3"/>
      <c r="IK36" s="3"/>
      <c r="IL36" s="3"/>
      <c r="IM36" s="3"/>
      <c r="IN36" s="3"/>
      <c r="IO36" s="3"/>
      <c r="IP36" s="3"/>
      <c r="IQ36" s="3"/>
      <c r="IR36" s="3"/>
      <c r="IS36" s="3"/>
      <c r="IT36" s="3"/>
      <c r="IU36" s="3"/>
    </row>
    <row r="37" spans="1:255" x14ac:dyDescent="0.2">
      <c r="A37" s="256">
        <f>IF($E37="","",ROW()-12)</f>
        <v>25</v>
      </c>
      <c r="B37" s="92" t="s">
        <v>270</v>
      </c>
      <c r="C37" s="49" t="s">
        <v>299</v>
      </c>
      <c r="D37" s="24" t="s">
        <v>298</v>
      </c>
      <c r="E37" s="49" t="s">
        <v>300</v>
      </c>
      <c r="F37" s="369" t="s">
        <v>290</v>
      </c>
      <c r="G37" s="94" t="s">
        <v>269</v>
      </c>
      <c r="H37" s="94" t="s">
        <v>96</v>
      </c>
      <c r="I37" s="178" t="s">
        <v>84</v>
      </c>
      <c r="J37" s="27"/>
      <c r="K37" s="219">
        <v>10000</v>
      </c>
      <c r="L37" s="220"/>
      <c r="M37" s="48">
        <v>43864</v>
      </c>
      <c r="N37" s="37">
        <v>43868</v>
      </c>
      <c r="O37" s="47" t="s">
        <v>335</v>
      </c>
      <c r="P37" s="37"/>
      <c r="Q37" s="37"/>
      <c r="R37" s="224">
        <v>20</v>
      </c>
      <c r="S37" s="224">
        <v>20</v>
      </c>
      <c r="T37" s="224"/>
      <c r="U37" s="59">
        <f t="shared" si="25"/>
        <v>0</v>
      </c>
      <c r="V37" s="40"/>
      <c r="W37" s="37"/>
      <c r="X37" s="227"/>
      <c r="Y37" s="101"/>
      <c r="Z37" s="104"/>
      <c r="AA37" s="227"/>
      <c r="AB37" s="210" t="str">
        <f t="shared" si="4"/>
        <v/>
      </c>
      <c r="AC37" s="86"/>
      <c r="AD37" s="157"/>
      <c r="AE37" s="36"/>
      <c r="AF37" s="37"/>
      <c r="AG37" s="37"/>
      <c r="AH37" s="37"/>
      <c r="AI37" s="48"/>
      <c r="AJ37" s="233"/>
      <c r="AK37" s="234"/>
      <c r="AL37" s="234"/>
      <c r="AM37" s="234"/>
      <c r="AN37" s="236" t="str">
        <f t="shared" si="5"/>
        <v/>
      </c>
      <c r="AO37" s="237"/>
      <c r="AP37" s="234"/>
      <c r="AQ37" s="234"/>
      <c r="AR37" s="234"/>
      <c r="AS37" s="236" t="str">
        <f t="shared" si="6"/>
        <v/>
      </c>
      <c r="AT37" s="150" t="str">
        <f t="shared" si="22"/>
        <v/>
      </c>
      <c r="AU37" s="165"/>
      <c r="AV37" s="125"/>
      <c r="AW37" s="125"/>
      <c r="AX37" s="127"/>
      <c r="AY37" s="198" t="str">
        <f t="shared" si="7"/>
        <v/>
      </c>
      <c r="AZ37" s="40"/>
      <c r="BA37" s="37"/>
      <c r="BB37" s="37"/>
      <c r="BC37" s="37"/>
      <c r="BD37" s="61">
        <f t="shared" si="8"/>
        <v>540</v>
      </c>
      <c r="BE37" s="61">
        <f t="shared" si="0"/>
        <v>135</v>
      </c>
      <c r="BF37" s="61">
        <f t="shared" si="1"/>
        <v>90</v>
      </c>
      <c r="BG37" s="61">
        <f t="shared" si="2"/>
        <v>135</v>
      </c>
      <c r="BH37" s="61">
        <f t="shared" si="9"/>
        <v>900</v>
      </c>
      <c r="BI37" s="134"/>
      <c r="BJ37" s="134"/>
      <c r="BK37" s="138"/>
      <c r="BL37" s="134"/>
      <c r="BM37" s="136" t="str">
        <f t="shared" si="10"/>
        <v/>
      </c>
      <c r="BN37" s="137"/>
      <c r="BO37" s="63" t="str">
        <f t="shared" si="11"/>
        <v/>
      </c>
      <c r="BP37" s="339" t="str">
        <f t="shared" si="12"/>
        <v/>
      </c>
      <c r="BQ37" s="63" t="str">
        <f t="shared" si="23"/>
        <v/>
      </c>
      <c r="BR37" s="64" t="str">
        <f t="shared" si="13"/>
        <v/>
      </c>
      <c r="BS37" s="160"/>
      <c r="BT37" s="169">
        <f t="shared" si="14"/>
        <v>120</v>
      </c>
      <c r="BU37" s="36"/>
      <c r="BV37" s="37"/>
      <c r="BW37" s="37"/>
      <c r="BX37" s="37"/>
      <c r="BY37" s="125"/>
      <c r="BZ37" s="69" t="str">
        <f t="shared" si="15"/>
        <v/>
      </c>
      <c r="CA37" s="129"/>
      <c r="CB37" s="129"/>
      <c r="CC37" s="153" t="str">
        <f t="shared" si="16"/>
        <v/>
      </c>
      <c r="CD37" s="203" t="str">
        <f t="shared" si="17"/>
        <v/>
      </c>
      <c r="CE37" s="154" t="str">
        <f t="shared" si="18"/>
        <v/>
      </c>
      <c r="CF37" s="70" t="str">
        <f t="shared" si="19"/>
        <v/>
      </c>
      <c r="CG37" s="71" t="str">
        <f t="shared" si="24"/>
        <v/>
      </c>
      <c r="CH37" s="160"/>
      <c r="CI37" s="28"/>
      <c r="CJ37" s="171"/>
      <c r="CK37" s="271"/>
      <c r="CL37" s="275">
        <f t="shared" si="20"/>
        <v>900</v>
      </c>
      <c r="CM37" s="275" t="str">
        <f t="shared" si="21"/>
        <v/>
      </c>
      <c r="CO37" s="3">
        <v>6</v>
      </c>
      <c r="CP37" s="3">
        <v>3</v>
      </c>
      <c r="CQ37" s="3">
        <v>6</v>
      </c>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c r="HF37" s="3"/>
      <c r="HG37" s="3"/>
      <c r="HH37" s="3"/>
      <c r="HI37" s="3"/>
      <c r="HJ37" s="3"/>
      <c r="HK37" s="3"/>
      <c r="HL37" s="3"/>
      <c r="HM37" s="3"/>
      <c r="HN37" s="3"/>
      <c r="HO37" s="3"/>
      <c r="HP37" s="3"/>
      <c r="HQ37" s="3"/>
      <c r="HR37" s="3"/>
      <c r="HS37" s="3"/>
      <c r="HT37" s="3"/>
      <c r="HU37" s="3"/>
      <c r="HV37" s="3"/>
      <c r="HW37" s="3"/>
      <c r="HX37" s="3"/>
      <c r="HY37" s="3"/>
      <c r="HZ37" s="3"/>
      <c r="IA37" s="3"/>
      <c r="IB37" s="3"/>
      <c r="IC37" s="3"/>
      <c r="ID37" s="3"/>
      <c r="IE37" s="3"/>
      <c r="IF37" s="3"/>
      <c r="IG37" s="3"/>
      <c r="IH37" s="3"/>
      <c r="II37" s="3"/>
      <c r="IJ37" s="3"/>
      <c r="IK37" s="3"/>
      <c r="IL37" s="3"/>
      <c r="IM37" s="3"/>
      <c r="IN37" s="3"/>
      <c r="IO37" s="3"/>
      <c r="IP37" s="3"/>
      <c r="IQ37" s="3"/>
      <c r="IR37" s="3"/>
      <c r="IS37" s="3"/>
      <c r="IT37" s="3"/>
      <c r="IU37" s="3"/>
    </row>
    <row r="38" spans="1:255" x14ac:dyDescent="0.2">
      <c r="A38" s="256">
        <f t="shared" si="3"/>
        <v>26</v>
      </c>
      <c r="B38" s="92" t="s">
        <v>270</v>
      </c>
      <c r="C38" s="49" t="s">
        <v>299</v>
      </c>
      <c r="D38" s="49" t="s">
        <v>323</v>
      </c>
      <c r="E38" s="49" t="s">
        <v>300</v>
      </c>
      <c r="F38" s="369" t="s">
        <v>290</v>
      </c>
      <c r="G38" s="94" t="s">
        <v>269</v>
      </c>
      <c r="H38" s="94" t="s">
        <v>96</v>
      </c>
      <c r="I38" s="178" t="s">
        <v>84</v>
      </c>
      <c r="J38" s="27"/>
      <c r="K38" s="219">
        <v>3000</v>
      </c>
      <c r="L38" s="220"/>
      <c r="M38" s="48">
        <v>43871</v>
      </c>
      <c r="N38" s="37">
        <v>43874</v>
      </c>
      <c r="O38" s="47" t="s">
        <v>335</v>
      </c>
      <c r="P38" s="37"/>
      <c r="Q38" s="37"/>
      <c r="R38" s="224">
        <v>16</v>
      </c>
      <c r="S38" s="224">
        <v>16</v>
      </c>
      <c r="T38" s="224"/>
      <c r="U38" s="59">
        <f t="shared" si="25"/>
        <v>0</v>
      </c>
      <c r="V38" s="40"/>
      <c r="W38" s="37"/>
      <c r="X38" s="227"/>
      <c r="Y38" s="101"/>
      <c r="Z38" s="104"/>
      <c r="AA38" s="227"/>
      <c r="AB38" s="210" t="str">
        <f t="shared" si="4"/>
        <v/>
      </c>
      <c r="AC38" s="86"/>
      <c r="AD38" s="157"/>
      <c r="AE38" s="36"/>
      <c r="AF38" s="37"/>
      <c r="AG38" s="37"/>
      <c r="AH38" s="37"/>
      <c r="AI38" s="48"/>
      <c r="AJ38" s="233"/>
      <c r="AK38" s="234"/>
      <c r="AL38" s="234"/>
      <c r="AM38" s="234"/>
      <c r="AN38" s="236" t="str">
        <f t="shared" si="5"/>
        <v/>
      </c>
      <c r="AO38" s="237"/>
      <c r="AP38" s="234"/>
      <c r="AQ38" s="234"/>
      <c r="AR38" s="234"/>
      <c r="AS38" s="236" t="str">
        <f t="shared" si="6"/>
        <v/>
      </c>
      <c r="AT38" s="150" t="str">
        <f t="shared" si="22"/>
        <v/>
      </c>
      <c r="AU38" s="165"/>
      <c r="AV38" s="125"/>
      <c r="AW38" s="125"/>
      <c r="AX38" s="127"/>
      <c r="AY38" s="198" t="str">
        <f t="shared" si="7"/>
        <v/>
      </c>
      <c r="AZ38" s="40"/>
      <c r="BA38" s="37"/>
      <c r="BB38" s="37"/>
      <c r="BC38" s="37"/>
      <c r="BD38" s="61">
        <f t="shared" si="8"/>
        <v>162</v>
      </c>
      <c r="BE38" s="61">
        <f t="shared" si="0"/>
        <v>40.5</v>
      </c>
      <c r="BF38" s="61">
        <f t="shared" si="1"/>
        <v>27</v>
      </c>
      <c r="BG38" s="61">
        <f t="shared" si="2"/>
        <v>40.5</v>
      </c>
      <c r="BH38" s="61">
        <f t="shared" si="9"/>
        <v>270</v>
      </c>
      <c r="BI38" s="134"/>
      <c r="BJ38" s="134"/>
      <c r="BK38" s="138"/>
      <c r="BL38" s="134"/>
      <c r="BM38" s="136" t="str">
        <f t="shared" si="10"/>
        <v/>
      </c>
      <c r="BN38" s="137"/>
      <c r="BO38" s="63" t="str">
        <f t="shared" si="11"/>
        <v/>
      </c>
      <c r="BP38" s="339" t="str">
        <f t="shared" si="12"/>
        <v/>
      </c>
      <c r="BQ38" s="63" t="str">
        <f t="shared" si="23"/>
        <v/>
      </c>
      <c r="BR38" s="64" t="str">
        <f t="shared" si="13"/>
        <v/>
      </c>
      <c r="BS38" s="160"/>
      <c r="BT38" s="169">
        <f t="shared" si="14"/>
        <v>36</v>
      </c>
      <c r="BU38" s="36"/>
      <c r="BV38" s="37"/>
      <c r="BW38" s="37"/>
      <c r="BX38" s="37"/>
      <c r="BY38" s="125"/>
      <c r="BZ38" s="69" t="str">
        <f t="shared" si="15"/>
        <v/>
      </c>
      <c r="CA38" s="129"/>
      <c r="CB38" s="129"/>
      <c r="CC38" s="153" t="str">
        <f t="shared" si="16"/>
        <v/>
      </c>
      <c r="CD38" s="203" t="str">
        <f t="shared" si="17"/>
        <v/>
      </c>
      <c r="CE38" s="154" t="str">
        <f t="shared" si="18"/>
        <v/>
      </c>
      <c r="CF38" s="70" t="str">
        <f t="shared" si="19"/>
        <v/>
      </c>
      <c r="CG38" s="71" t="str">
        <f t="shared" si="24"/>
        <v/>
      </c>
      <c r="CH38" s="160"/>
      <c r="CI38" s="28"/>
      <c r="CJ38" s="171"/>
      <c r="CK38" s="271"/>
      <c r="CL38" s="275">
        <f t="shared" si="20"/>
        <v>270</v>
      </c>
      <c r="CM38" s="275" t="str">
        <f t="shared" si="21"/>
        <v/>
      </c>
      <c r="CO38" s="3">
        <v>3</v>
      </c>
      <c r="CP38" s="3">
        <v>1</v>
      </c>
      <c r="CQ38" s="3">
        <v>3</v>
      </c>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c r="HF38" s="3"/>
      <c r="HG38" s="3"/>
      <c r="HH38" s="3"/>
      <c r="HI38" s="3"/>
      <c r="HJ38" s="3"/>
      <c r="HK38" s="3"/>
      <c r="HL38" s="3"/>
      <c r="HM38" s="3"/>
      <c r="HN38" s="3"/>
      <c r="HO38" s="3"/>
      <c r="HP38" s="3"/>
      <c r="HQ38" s="3"/>
      <c r="HR38" s="3"/>
      <c r="HS38" s="3"/>
      <c r="HT38" s="3"/>
      <c r="HU38" s="3"/>
      <c r="HV38" s="3"/>
      <c r="HW38" s="3"/>
      <c r="HX38" s="3"/>
      <c r="HY38" s="3"/>
      <c r="HZ38" s="3"/>
      <c r="IA38" s="3"/>
      <c r="IB38" s="3"/>
      <c r="IC38" s="3"/>
      <c r="ID38" s="3"/>
      <c r="IE38" s="3"/>
      <c r="IF38" s="3"/>
      <c r="IG38" s="3"/>
      <c r="IH38" s="3"/>
      <c r="II38" s="3"/>
      <c r="IJ38" s="3"/>
      <c r="IK38" s="3"/>
      <c r="IL38" s="3"/>
      <c r="IM38" s="3"/>
      <c r="IN38" s="3"/>
      <c r="IO38" s="3"/>
      <c r="IP38" s="3"/>
      <c r="IQ38" s="3"/>
      <c r="IR38" s="3"/>
      <c r="IS38" s="3"/>
      <c r="IT38" s="3"/>
      <c r="IU38" s="3"/>
    </row>
    <row r="39" spans="1:255" x14ac:dyDescent="0.2">
      <c r="A39" s="256">
        <f t="shared" si="3"/>
        <v>27</v>
      </c>
      <c r="B39" s="92" t="s">
        <v>270</v>
      </c>
      <c r="C39" s="49" t="s">
        <v>299</v>
      </c>
      <c r="D39" s="49" t="s">
        <v>324</v>
      </c>
      <c r="E39" s="49" t="s">
        <v>300</v>
      </c>
      <c r="F39" s="369" t="s">
        <v>290</v>
      </c>
      <c r="G39" s="94" t="s">
        <v>269</v>
      </c>
      <c r="H39" s="94" t="s">
        <v>96</v>
      </c>
      <c r="I39" s="178" t="s">
        <v>84</v>
      </c>
      <c r="J39" s="27"/>
      <c r="K39" s="219">
        <v>3000</v>
      </c>
      <c r="L39" s="220"/>
      <c r="M39" s="48">
        <v>43875</v>
      </c>
      <c r="N39" s="48">
        <v>43879</v>
      </c>
      <c r="O39" s="47" t="s">
        <v>335</v>
      </c>
      <c r="P39" s="37"/>
      <c r="Q39" s="37"/>
      <c r="R39" s="224">
        <v>16</v>
      </c>
      <c r="S39" s="224">
        <v>16</v>
      </c>
      <c r="T39" s="224"/>
      <c r="U39" s="59">
        <f t="shared" si="25"/>
        <v>0</v>
      </c>
      <c r="V39" s="40"/>
      <c r="W39" s="37"/>
      <c r="X39" s="227"/>
      <c r="Y39" s="101"/>
      <c r="Z39" s="104"/>
      <c r="AA39" s="227"/>
      <c r="AB39" s="210" t="str">
        <f t="shared" si="4"/>
        <v/>
      </c>
      <c r="AC39" s="86"/>
      <c r="AD39" s="157"/>
      <c r="AE39" s="36"/>
      <c r="AF39" s="37"/>
      <c r="AG39" s="37"/>
      <c r="AH39" s="37"/>
      <c r="AI39" s="48"/>
      <c r="AJ39" s="233"/>
      <c r="AK39" s="234"/>
      <c r="AL39" s="234"/>
      <c r="AM39" s="234"/>
      <c r="AN39" s="236" t="str">
        <f t="shared" si="5"/>
        <v/>
      </c>
      <c r="AO39" s="237"/>
      <c r="AP39" s="234"/>
      <c r="AQ39" s="234"/>
      <c r="AR39" s="234"/>
      <c r="AS39" s="236" t="str">
        <f t="shared" si="6"/>
        <v/>
      </c>
      <c r="AT39" s="150" t="str">
        <f t="shared" si="22"/>
        <v/>
      </c>
      <c r="AU39" s="165"/>
      <c r="AV39" s="125"/>
      <c r="AW39" s="125"/>
      <c r="AX39" s="127"/>
      <c r="AY39" s="198" t="str">
        <f t="shared" si="7"/>
        <v/>
      </c>
      <c r="AZ39" s="40"/>
      <c r="BA39" s="37"/>
      <c r="BB39" s="37"/>
      <c r="BC39" s="37"/>
      <c r="BD39" s="61">
        <f t="shared" si="8"/>
        <v>162</v>
      </c>
      <c r="BE39" s="61">
        <f t="shared" si="0"/>
        <v>40.5</v>
      </c>
      <c r="BF39" s="61">
        <f t="shared" si="1"/>
        <v>27</v>
      </c>
      <c r="BG39" s="61">
        <f t="shared" si="2"/>
        <v>40.5</v>
      </c>
      <c r="BH39" s="61">
        <f t="shared" si="9"/>
        <v>270</v>
      </c>
      <c r="BI39" s="134"/>
      <c r="BJ39" s="134"/>
      <c r="BK39" s="138"/>
      <c r="BL39" s="134"/>
      <c r="BM39" s="136" t="str">
        <f t="shared" si="10"/>
        <v/>
      </c>
      <c r="BN39" s="137"/>
      <c r="BO39" s="63" t="str">
        <f t="shared" si="11"/>
        <v/>
      </c>
      <c r="BP39" s="339" t="str">
        <f t="shared" si="12"/>
        <v/>
      </c>
      <c r="BQ39" s="63" t="str">
        <f t="shared" si="23"/>
        <v/>
      </c>
      <c r="BR39" s="64" t="str">
        <f t="shared" si="13"/>
        <v/>
      </c>
      <c r="BS39" s="160"/>
      <c r="BT39" s="169">
        <f t="shared" si="14"/>
        <v>36</v>
      </c>
      <c r="BU39" s="36"/>
      <c r="BV39" s="37"/>
      <c r="BW39" s="37"/>
      <c r="BX39" s="37"/>
      <c r="BY39" s="125"/>
      <c r="BZ39" s="69" t="str">
        <f t="shared" si="15"/>
        <v/>
      </c>
      <c r="CA39" s="129"/>
      <c r="CB39" s="129"/>
      <c r="CC39" s="153" t="str">
        <f t="shared" si="16"/>
        <v/>
      </c>
      <c r="CD39" s="203" t="str">
        <f t="shared" si="17"/>
        <v/>
      </c>
      <c r="CE39" s="154" t="str">
        <f t="shared" si="18"/>
        <v/>
      </c>
      <c r="CF39" s="70" t="str">
        <f t="shared" si="19"/>
        <v/>
      </c>
      <c r="CG39" s="71" t="str">
        <f t="shared" si="24"/>
        <v/>
      </c>
      <c r="CH39" s="160"/>
      <c r="CI39" s="28"/>
      <c r="CJ39" s="171"/>
      <c r="CK39" s="271"/>
      <c r="CL39" s="275">
        <f t="shared" si="20"/>
        <v>270</v>
      </c>
      <c r="CM39" s="275" t="str">
        <f t="shared" si="21"/>
        <v/>
      </c>
      <c r="CO39" s="3">
        <v>3</v>
      </c>
      <c r="CP39" s="3">
        <v>1</v>
      </c>
      <c r="CQ39" s="3">
        <v>3</v>
      </c>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c r="HF39" s="3"/>
      <c r="HG39" s="3"/>
      <c r="HH39" s="3"/>
      <c r="HI39" s="3"/>
      <c r="HJ39" s="3"/>
      <c r="HK39" s="3"/>
      <c r="HL39" s="3"/>
      <c r="HM39" s="3"/>
      <c r="HN39" s="3"/>
      <c r="HO39" s="3"/>
      <c r="HP39" s="3"/>
      <c r="HQ39" s="3"/>
      <c r="HR39" s="3"/>
      <c r="HS39" s="3"/>
      <c r="HT39" s="3"/>
      <c r="HU39" s="3"/>
      <c r="HV39" s="3"/>
      <c r="HW39" s="3"/>
      <c r="HX39" s="3"/>
      <c r="HY39" s="3"/>
      <c r="HZ39" s="3"/>
      <c r="IA39" s="3"/>
      <c r="IB39" s="3"/>
      <c r="IC39" s="3"/>
      <c r="ID39" s="3"/>
      <c r="IE39" s="3"/>
      <c r="IF39" s="3"/>
      <c r="IG39" s="3"/>
      <c r="IH39" s="3"/>
      <c r="II39" s="3"/>
      <c r="IJ39" s="3"/>
      <c r="IK39" s="3"/>
      <c r="IL39" s="3"/>
      <c r="IM39" s="3"/>
      <c r="IN39" s="3"/>
      <c r="IO39" s="3"/>
      <c r="IP39" s="3"/>
      <c r="IQ39" s="3"/>
      <c r="IR39" s="3"/>
      <c r="IS39" s="3"/>
      <c r="IT39" s="3"/>
      <c r="IU39" s="3"/>
    </row>
    <row r="40" spans="1:255" x14ac:dyDescent="0.2">
      <c r="A40" s="256">
        <f t="shared" si="3"/>
        <v>28</v>
      </c>
      <c r="B40" s="92" t="s">
        <v>270</v>
      </c>
      <c r="C40" s="49" t="s">
        <v>299</v>
      </c>
      <c r="D40" s="49" t="s">
        <v>325</v>
      </c>
      <c r="E40" s="49" t="s">
        <v>300</v>
      </c>
      <c r="F40" s="369" t="s">
        <v>290</v>
      </c>
      <c r="G40" s="94" t="s">
        <v>269</v>
      </c>
      <c r="H40" s="94" t="s">
        <v>96</v>
      </c>
      <c r="I40" s="178" t="s">
        <v>84</v>
      </c>
      <c r="J40" s="27"/>
      <c r="K40" s="219">
        <v>1500</v>
      </c>
      <c r="L40" s="220"/>
      <c r="M40" s="48">
        <v>43880</v>
      </c>
      <c r="N40" s="37">
        <v>43881</v>
      </c>
      <c r="O40" s="107" t="s">
        <v>334</v>
      </c>
      <c r="P40" s="37"/>
      <c r="Q40" s="37"/>
      <c r="R40" s="224">
        <v>10</v>
      </c>
      <c r="S40" s="224">
        <v>10</v>
      </c>
      <c r="T40" s="224"/>
      <c r="U40" s="59">
        <f t="shared" si="25"/>
        <v>0</v>
      </c>
      <c r="V40" s="40"/>
      <c r="W40" s="37"/>
      <c r="X40" s="227"/>
      <c r="Y40" s="101"/>
      <c r="Z40" s="104"/>
      <c r="AA40" s="227"/>
      <c r="AB40" s="210" t="str">
        <f t="shared" si="4"/>
        <v/>
      </c>
      <c r="AC40" s="86"/>
      <c r="AD40" s="157"/>
      <c r="AE40" s="36"/>
      <c r="AF40" s="37"/>
      <c r="AG40" s="37"/>
      <c r="AH40" s="37"/>
      <c r="AI40" s="48"/>
      <c r="AJ40" s="233"/>
      <c r="AK40" s="234"/>
      <c r="AL40" s="234"/>
      <c r="AM40" s="234"/>
      <c r="AN40" s="236" t="str">
        <f t="shared" si="5"/>
        <v/>
      </c>
      <c r="AO40" s="237"/>
      <c r="AP40" s="234"/>
      <c r="AQ40" s="234"/>
      <c r="AR40" s="234"/>
      <c r="AS40" s="236" t="str">
        <f t="shared" si="6"/>
        <v/>
      </c>
      <c r="AT40" s="150" t="str">
        <f t="shared" si="22"/>
        <v/>
      </c>
      <c r="AU40" s="165"/>
      <c r="AV40" s="125"/>
      <c r="AW40" s="125"/>
      <c r="AX40" s="127"/>
      <c r="AY40" s="198" t="str">
        <f t="shared" si="7"/>
        <v/>
      </c>
      <c r="AZ40" s="40"/>
      <c r="BA40" s="37"/>
      <c r="BB40" s="37"/>
      <c r="BC40" s="37"/>
      <c r="BD40" s="61">
        <f t="shared" si="8"/>
        <v>81</v>
      </c>
      <c r="BE40" s="61">
        <f t="shared" si="0"/>
        <v>20.25</v>
      </c>
      <c r="BF40" s="61">
        <f t="shared" si="1"/>
        <v>13.5</v>
      </c>
      <c r="BG40" s="61">
        <f t="shared" si="2"/>
        <v>20.25</v>
      </c>
      <c r="BH40" s="61">
        <f t="shared" si="9"/>
        <v>135</v>
      </c>
      <c r="BI40" s="134"/>
      <c r="BJ40" s="134"/>
      <c r="BK40" s="138"/>
      <c r="BL40" s="134"/>
      <c r="BM40" s="136" t="str">
        <f t="shared" si="10"/>
        <v/>
      </c>
      <c r="BN40" s="137"/>
      <c r="BO40" s="63" t="str">
        <f t="shared" si="11"/>
        <v/>
      </c>
      <c r="BP40" s="339" t="str">
        <f t="shared" si="12"/>
        <v/>
      </c>
      <c r="BQ40" s="63" t="str">
        <f t="shared" si="23"/>
        <v/>
      </c>
      <c r="BR40" s="64" t="str">
        <f t="shared" si="13"/>
        <v/>
      </c>
      <c r="BS40" s="160"/>
      <c r="BT40" s="169">
        <f t="shared" si="14"/>
        <v>18</v>
      </c>
      <c r="BU40" s="36"/>
      <c r="BV40" s="37"/>
      <c r="BW40" s="37"/>
      <c r="BX40" s="37"/>
      <c r="BY40" s="125"/>
      <c r="BZ40" s="69" t="str">
        <f t="shared" si="15"/>
        <v/>
      </c>
      <c r="CA40" s="129"/>
      <c r="CB40" s="129"/>
      <c r="CC40" s="153" t="str">
        <f t="shared" si="16"/>
        <v/>
      </c>
      <c r="CD40" s="203" t="str">
        <f t="shared" si="17"/>
        <v/>
      </c>
      <c r="CE40" s="154" t="str">
        <f t="shared" si="18"/>
        <v/>
      </c>
      <c r="CF40" s="70" t="str">
        <f t="shared" si="19"/>
        <v/>
      </c>
      <c r="CG40" s="71" t="str">
        <f t="shared" si="24"/>
        <v/>
      </c>
      <c r="CH40" s="160"/>
      <c r="CI40" s="28"/>
      <c r="CJ40" s="171"/>
      <c r="CK40" s="271"/>
      <c r="CL40" s="275">
        <f t="shared" si="20"/>
        <v>135</v>
      </c>
      <c r="CM40" s="275" t="str">
        <f t="shared" si="21"/>
        <v/>
      </c>
      <c r="CO40" s="3">
        <v>2</v>
      </c>
      <c r="CP40" s="3">
        <v>1</v>
      </c>
      <c r="CQ40" s="3">
        <v>2</v>
      </c>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c r="HF40" s="3"/>
      <c r="HG40" s="3"/>
      <c r="HH40" s="3"/>
      <c r="HI40" s="3"/>
      <c r="HJ40" s="3"/>
      <c r="HK40" s="3"/>
      <c r="HL40" s="3"/>
      <c r="HM40" s="3"/>
      <c r="HN40" s="3"/>
      <c r="HO40" s="3"/>
      <c r="HP40" s="3"/>
      <c r="HQ40" s="3"/>
      <c r="HR40" s="3"/>
      <c r="HS40" s="3"/>
      <c r="HT40" s="3"/>
      <c r="HU40" s="3"/>
      <c r="HV40" s="3"/>
      <c r="HW40" s="3"/>
      <c r="HX40" s="3"/>
      <c r="HY40" s="3"/>
      <c r="HZ40" s="3"/>
      <c r="IA40" s="3"/>
      <c r="IB40" s="3"/>
      <c r="IC40" s="3"/>
      <c r="ID40" s="3"/>
      <c r="IE40" s="3"/>
      <c r="IF40" s="3"/>
      <c r="IG40" s="3"/>
      <c r="IH40" s="3"/>
      <c r="II40" s="3"/>
      <c r="IJ40" s="3"/>
      <c r="IK40" s="3"/>
      <c r="IL40" s="3"/>
      <c r="IM40" s="3"/>
      <c r="IN40" s="3"/>
      <c r="IO40" s="3"/>
      <c r="IP40" s="3"/>
      <c r="IQ40" s="3"/>
      <c r="IR40" s="3"/>
      <c r="IS40" s="3"/>
      <c r="IT40" s="3"/>
      <c r="IU40" s="3"/>
    </row>
    <row r="41" spans="1:255" x14ac:dyDescent="0.2">
      <c r="A41" s="256">
        <f t="shared" si="3"/>
        <v>29</v>
      </c>
      <c r="B41" s="92" t="s">
        <v>270</v>
      </c>
      <c r="C41" s="49" t="s">
        <v>299</v>
      </c>
      <c r="D41" s="49" t="s">
        <v>326</v>
      </c>
      <c r="E41" s="49" t="s">
        <v>300</v>
      </c>
      <c r="F41" s="369" t="s">
        <v>290</v>
      </c>
      <c r="G41" s="94" t="s">
        <v>269</v>
      </c>
      <c r="H41" s="94" t="s">
        <v>96</v>
      </c>
      <c r="I41" s="178" t="s">
        <v>84</v>
      </c>
      <c r="J41" s="27"/>
      <c r="K41" s="219">
        <v>1000</v>
      </c>
      <c r="L41" s="220"/>
      <c r="M41" s="37">
        <v>43881</v>
      </c>
      <c r="N41" s="37">
        <v>43882</v>
      </c>
      <c r="O41" s="107" t="s">
        <v>334</v>
      </c>
      <c r="P41" s="37"/>
      <c r="Q41" s="37"/>
      <c r="R41" s="224">
        <v>10</v>
      </c>
      <c r="S41" s="224">
        <v>10</v>
      </c>
      <c r="T41" s="224"/>
      <c r="U41" s="59">
        <f t="shared" si="25"/>
        <v>0</v>
      </c>
      <c r="V41" s="40"/>
      <c r="W41" s="37"/>
      <c r="X41" s="227"/>
      <c r="Y41" s="101"/>
      <c r="Z41" s="104"/>
      <c r="AA41" s="227"/>
      <c r="AB41" s="210" t="str">
        <f t="shared" si="4"/>
        <v/>
      </c>
      <c r="AC41" s="86"/>
      <c r="AD41" s="157"/>
      <c r="AE41" s="36"/>
      <c r="AF41" s="37"/>
      <c r="AG41" s="37"/>
      <c r="AH41" s="37"/>
      <c r="AI41" s="48"/>
      <c r="AJ41" s="233"/>
      <c r="AK41" s="234"/>
      <c r="AL41" s="234"/>
      <c r="AM41" s="234"/>
      <c r="AN41" s="236" t="str">
        <f t="shared" si="5"/>
        <v/>
      </c>
      <c r="AO41" s="237"/>
      <c r="AP41" s="234"/>
      <c r="AQ41" s="234"/>
      <c r="AR41" s="234"/>
      <c r="AS41" s="236" t="str">
        <f t="shared" si="6"/>
        <v/>
      </c>
      <c r="AT41" s="150" t="str">
        <f t="shared" si="22"/>
        <v/>
      </c>
      <c r="AU41" s="165"/>
      <c r="AV41" s="125"/>
      <c r="AW41" s="125"/>
      <c r="AX41" s="127"/>
      <c r="AY41" s="198" t="str">
        <f t="shared" si="7"/>
        <v/>
      </c>
      <c r="AZ41" s="40"/>
      <c r="BA41" s="37"/>
      <c r="BB41" s="37"/>
      <c r="BC41" s="37"/>
      <c r="BD41" s="61">
        <f t="shared" si="8"/>
        <v>54</v>
      </c>
      <c r="BE41" s="61">
        <f t="shared" si="0"/>
        <v>13.5</v>
      </c>
      <c r="BF41" s="61">
        <f t="shared" si="1"/>
        <v>9</v>
      </c>
      <c r="BG41" s="61">
        <f t="shared" si="2"/>
        <v>13.5</v>
      </c>
      <c r="BH41" s="61">
        <f t="shared" si="9"/>
        <v>90</v>
      </c>
      <c r="BI41" s="134"/>
      <c r="BJ41" s="134"/>
      <c r="BK41" s="138"/>
      <c r="BL41" s="134"/>
      <c r="BM41" s="136" t="str">
        <f t="shared" si="10"/>
        <v/>
      </c>
      <c r="BN41" s="137"/>
      <c r="BO41" s="63" t="str">
        <f t="shared" si="11"/>
        <v/>
      </c>
      <c r="BP41" s="339" t="str">
        <f t="shared" si="12"/>
        <v/>
      </c>
      <c r="BQ41" s="63" t="str">
        <f t="shared" si="23"/>
        <v/>
      </c>
      <c r="BR41" s="64" t="str">
        <f t="shared" si="13"/>
        <v/>
      </c>
      <c r="BS41" s="160"/>
      <c r="BT41" s="169">
        <f t="shared" si="14"/>
        <v>12</v>
      </c>
      <c r="BU41" s="36"/>
      <c r="BV41" s="37"/>
      <c r="BW41" s="37"/>
      <c r="BX41" s="37"/>
      <c r="BY41" s="125"/>
      <c r="BZ41" s="69" t="str">
        <f t="shared" si="15"/>
        <v/>
      </c>
      <c r="CA41" s="129"/>
      <c r="CB41" s="129"/>
      <c r="CC41" s="153" t="str">
        <f t="shared" si="16"/>
        <v/>
      </c>
      <c r="CD41" s="203" t="str">
        <f t="shared" si="17"/>
        <v/>
      </c>
      <c r="CE41" s="154" t="str">
        <f t="shared" si="18"/>
        <v/>
      </c>
      <c r="CF41" s="70" t="str">
        <f t="shared" si="19"/>
        <v/>
      </c>
      <c r="CG41" s="71" t="str">
        <f t="shared" si="24"/>
        <v/>
      </c>
      <c r="CH41" s="160"/>
      <c r="CI41" s="28"/>
      <c r="CJ41" s="171"/>
      <c r="CK41" s="271"/>
      <c r="CL41" s="275">
        <f t="shared" si="20"/>
        <v>90</v>
      </c>
      <c r="CM41" s="275" t="str">
        <f t="shared" si="21"/>
        <v/>
      </c>
      <c r="CO41" s="3">
        <v>1</v>
      </c>
      <c r="CP41" s="3">
        <v>1</v>
      </c>
      <c r="CQ41" s="3">
        <v>1</v>
      </c>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c r="HF41" s="3"/>
      <c r="HG41" s="3"/>
      <c r="HH41" s="3"/>
      <c r="HI41" s="3"/>
      <c r="HJ41" s="3"/>
      <c r="HK41" s="3"/>
      <c r="HL41" s="3"/>
      <c r="HM41" s="3"/>
      <c r="HN41" s="3"/>
      <c r="HO41" s="3"/>
      <c r="HP41" s="3"/>
      <c r="HQ41" s="3"/>
      <c r="HR41" s="3"/>
      <c r="HS41" s="3"/>
      <c r="HT41" s="3"/>
      <c r="HU41" s="3"/>
      <c r="HV41" s="3"/>
      <c r="HW41" s="3"/>
      <c r="HX41" s="3"/>
      <c r="HY41" s="3"/>
      <c r="HZ41" s="3"/>
      <c r="IA41" s="3"/>
      <c r="IB41" s="3"/>
      <c r="IC41" s="3"/>
      <c r="ID41" s="3"/>
      <c r="IE41" s="3"/>
      <c r="IF41" s="3"/>
      <c r="IG41" s="3"/>
      <c r="IH41" s="3"/>
      <c r="II41" s="3"/>
      <c r="IJ41" s="3"/>
      <c r="IK41" s="3"/>
      <c r="IL41" s="3"/>
      <c r="IM41" s="3"/>
      <c r="IN41" s="3"/>
      <c r="IO41" s="3"/>
      <c r="IP41" s="3"/>
      <c r="IQ41" s="3"/>
      <c r="IR41" s="3"/>
      <c r="IS41" s="3"/>
      <c r="IT41" s="3"/>
      <c r="IU41" s="3"/>
    </row>
    <row r="42" spans="1:255" x14ac:dyDescent="0.2">
      <c r="A42" s="256">
        <f t="shared" si="3"/>
        <v>30</v>
      </c>
      <c r="B42" s="92" t="s">
        <v>270</v>
      </c>
      <c r="C42" s="49" t="s">
        <v>299</v>
      </c>
      <c r="D42" s="49" t="s">
        <v>327</v>
      </c>
      <c r="E42" s="49" t="s">
        <v>300</v>
      </c>
      <c r="F42" s="369" t="s">
        <v>290</v>
      </c>
      <c r="G42" s="94" t="s">
        <v>269</v>
      </c>
      <c r="H42" s="94" t="s">
        <v>96</v>
      </c>
      <c r="I42" s="178" t="s">
        <v>84</v>
      </c>
      <c r="J42" s="27"/>
      <c r="K42" s="219">
        <v>1000</v>
      </c>
      <c r="L42" s="220"/>
      <c r="M42" s="48">
        <v>43886</v>
      </c>
      <c r="N42" s="37">
        <v>43887</v>
      </c>
      <c r="O42" s="107" t="s">
        <v>334</v>
      </c>
      <c r="P42" s="37"/>
      <c r="Q42" s="37"/>
      <c r="R42" s="224">
        <v>10</v>
      </c>
      <c r="S42" s="224">
        <v>10</v>
      </c>
      <c r="T42" s="224"/>
      <c r="U42" s="59">
        <f t="shared" si="25"/>
        <v>0</v>
      </c>
      <c r="V42" s="40"/>
      <c r="W42" s="37"/>
      <c r="X42" s="227"/>
      <c r="Y42" s="101"/>
      <c r="Z42" s="104"/>
      <c r="AA42" s="227"/>
      <c r="AB42" s="210" t="str">
        <f t="shared" si="4"/>
        <v/>
      </c>
      <c r="AC42" s="86"/>
      <c r="AD42" s="157"/>
      <c r="AE42" s="36"/>
      <c r="AF42" s="37"/>
      <c r="AG42" s="37"/>
      <c r="AH42" s="37"/>
      <c r="AI42" s="48"/>
      <c r="AJ42" s="233"/>
      <c r="AK42" s="234"/>
      <c r="AL42" s="234"/>
      <c r="AM42" s="234"/>
      <c r="AN42" s="236" t="str">
        <f t="shared" si="5"/>
        <v/>
      </c>
      <c r="AO42" s="237"/>
      <c r="AP42" s="234"/>
      <c r="AQ42" s="234"/>
      <c r="AR42" s="234"/>
      <c r="AS42" s="236" t="str">
        <f t="shared" si="6"/>
        <v/>
      </c>
      <c r="AT42" s="150" t="str">
        <f t="shared" si="22"/>
        <v/>
      </c>
      <c r="AU42" s="165"/>
      <c r="AV42" s="125"/>
      <c r="AW42" s="125"/>
      <c r="AX42" s="127"/>
      <c r="AY42" s="198" t="str">
        <f t="shared" si="7"/>
        <v/>
      </c>
      <c r="AZ42" s="40"/>
      <c r="BA42" s="37"/>
      <c r="BB42" s="37"/>
      <c r="BC42" s="37"/>
      <c r="BD42" s="61">
        <f t="shared" si="8"/>
        <v>54</v>
      </c>
      <c r="BE42" s="61">
        <f t="shared" si="0"/>
        <v>13.5</v>
      </c>
      <c r="BF42" s="61">
        <f t="shared" si="1"/>
        <v>9</v>
      </c>
      <c r="BG42" s="61">
        <f t="shared" si="2"/>
        <v>13.5</v>
      </c>
      <c r="BH42" s="61">
        <f t="shared" si="9"/>
        <v>90</v>
      </c>
      <c r="BI42" s="134"/>
      <c r="BJ42" s="134"/>
      <c r="BK42" s="138"/>
      <c r="BL42" s="134"/>
      <c r="BM42" s="136" t="str">
        <f t="shared" si="10"/>
        <v/>
      </c>
      <c r="BN42" s="137"/>
      <c r="BO42" s="63" t="str">
        <f t="shared" si="11"/>
        <v/>
      </c>
      <c r="BP42" s="339" t="str">
        <f t="shared" si="12"/>
        <v/>
      </c>
      <c r="BQ42" s="63" t="str">
        <f t="shared" si="23"/>
        <v/>
      </c>
      <c r="BR42" s="64" t="str">
        <f t="shared" si="13"/>
        <v/>
      </c>
      <c r="BS42" s="160"/>
      <c r="BT42" s="169">
        <f t="shared" si="14"/>
        <v>12</v>
      </c>
      <c r="BU42" s="36"/>
      <c r="BV42" s="37"/>
      <c r="BW42" s="37"/>
      <c r="BX42" s="37"/>
      <c r="BY42" s="125"/>
      <c r="BZ42" s="69" t="str">
        <f t="shared" si="15"/>
        <v/>
      </c>
      <c r="CA42" s="129"/>
      <c r="CB42" s="129"/>
      <c r="CC42" s="153" t="str">
        <f t="shared" si="16"/>
        <v/>
      </c>
      <c r="CD42" s="203" t="str">
        <f t="shared" si="17"/>
        <v/>
      </c>
      <c r="CE42" s="154" t="str">
        <f t="shared" si="18"/>
        <v/>
      </c>
      <c r="CF42" s="70" t="str">
        <f t="shared" si="19"/>
        <v/>
      </c>
      <c r="CG42" s="71" t="str">
        <f t="shared" si="24"/>
        <v/>
      </c>
      <c r="CH42" s="160"/>
      <c r="CI42" s="28"/>
      <c r="CJ42" s="171"/>
      <c r="CK42" s="271"/>
      <c r="CL42" s="275">
        <f t="shared" si="20"/>
        <v>90</v>
      </c>
      <c r="CM42" s="275" t="str">
        <f t="shared" si="21"/>
        <v/>
      </c>
      <c r="CO42" s="3">
        <v>1</v>
      </c>
      <c r="CP42" s="3">
        <v>1</v>
      </c>
      <c r="CQ42" s="3">
        <v>1</v>
      </c>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c r="HF42" s="3"/>
      <c r="HG42" s="3"/>
      <c r="HH42" s="3"/>
      <c r="HI42" s="3"/>
      <c r="HJ42" s="3"/>
      <c r="HK42" s="3"/>
      <c r="HL42" s="3"/>
      <c r="HM42" s="3"/>
      <c r="HN42" s="3"/>
      <c r="HO42" s="3"/>
      <c r="HP42" s="3"/>
      <c r="HQ42" s="3"/>
      <c r="HR42" s="3"/>
      <c r="HS42" s="3"/>
      <c r="HT42" s="3"/>
      <c r="HU42" s="3"/>
      <c r="HV42" s="3"/>
      <c r="HW42" s="3"/>
      <c r="HX42" s="3"/>
      <c r="HY42" s="3"/>
      <c r="HZ42" s="3"/>
      <c r="IA42" s="3"/>
      <c r="IB42" s="3"/>
      <c r="IC42" s="3"/>
      <c r="ID42" s="3"/>
      <c r="IE42" s="3"/>
      <c r="IF42" s="3"/>
      <c r="IG42" s="3"/>
      <c r="IH42" s="3"/>
      <c r="II42" s="3"/>
      <c r="IJ42" s="3"/>
      <c r="IK42" s="3"/>
      <c r="IL42" s="3"/>
      <c r="IM42" s="3"/>
      <c r="IN42" s="3"/>
      <c r="IO42" s="3"/>
      <c r="IP42" s="3"/>
      <c r="IQ42" s="3"/>
      <c r="IR42" s="3"/>
      <c r="IS42" s="3"/>
      <c r="IT42" s="3"/>
      <c r="IU42" s="3"/>
    </row>
    <row r="43" spans="1:255" x14ac:dyDescent="0.2">
      <c r="A43" s="256">
        <f t="shared" si="3"/>
        <v>31</v>
      </c>
      <c r="B43" s="92" t="s">
        <v>270</v>
      </c>
      <c r="C43" s="49" t="s">
        <v>299</v>
      </c>
      <c r="D43" s="49" t="s">
        <v>328</v>
      </c>
      <c r="E43" s="49" t="s">
        <v>300</v>
      </c>
      <c r="F43" s="369" t="s">
        <v>290</v>
      </c>
      <c r="G43" s="94" t="s">
        <v>269</v>
      </c>
      <c r="H43" s="94" t="s">
        <v>96</v>
      </c>
      <c r="I43" s="178" t="s">
        <v>84</v>
      </c>
      <c r="J43" s="27"/>
      <c r="K43" s="219">
        <v>5000</v>
      </c>
      <c r="L43" s="220"/>
      <c r="M43" s="48">
        <v>43888</v>
      </c>
      <c r="N43" s="37">
        <v>43893</v>
      </c>
      <c r="O43" s="107" t="s">
        <v>334</v>
      </c>
      <c r="P43" s="37"/>
      <c r="Q43" s="37"/>
      <c r="R43" s="224">
        <v>16</v>
      </c>
      <c r="S43" s="224">
        <v>16</v>
      </c>
      <c r="T43" s="224"/>
      <c r="U43" s="59">
        <f t="shared" si="25"/>
        <v>0</v>
      </c>
      <c r="V43" s="40"/>
      <c r="W43" s="37"/>
      <c r="X43" s="227"/>
      <c r="Y43" s="101"/>
      <c r="Z43" s="104"/>
      <c r="AA43" s="227"/>
      <c r="AB43" s="210" t="str">
        <f t="shared" si="4"/>
        <v/>
      </c>
      <c r="AC43" s="86"/>
      <c r="AD43" s="157"/>
      <c r="AE43" s="36"/>
      <c r="AF43" s="37"/>
      <c r="AG43" s="37"/>
      <c r="AH43" s="37"/>
      <c r="AI43" s="48"/>
      <c r="AJ43" s="233"/>
      <c r="AK43" s="234"/>
      <c r="AL43" s="234"/>
      <c r="AM43" s="234"/>
      <c r="AN43" s="236" t="str">
        <f t="shared" si="5"/>
        <v/>
      </c>
      <c r="AO43" s="237"/>
      <c r="AP43" s="234"/>
      <c r="AQ43" s="234"/>
      <c r="AR43" s="234"/>
      <c r="AS43" s="236" t="str">
        <f t="shared" si="6"/>
        <v/>
      </c>
      <c r="AT43" s="150" t="str">
        <f t="shared" si="22"/>
        <v/>
      </c>
      <c r="AU43" s="165"/>
      <c r="AV43" s="125"/>
      <c r="AW43" s="125"/>
      <c r="AX43" s="127"/>
      <c r="AY43" s="198" t="str">
        <f t="shared" si="7"/>
        <v/>
      </c>
      <c r="AZ43" s="40"/>
      <c r="BA43" s="37"/>
      <c r="BB43" s="37"/>
      <c r="BC43" s="37"/>
      <c r="BD43" s="61">
        <f t="shared" si="8"/>
        <v>270</v>
      </c>
      <c r="BE43" s="61">
        <f t="shared" si="0"/>
        <v>67.5</v>
      </c>
      <c r="BF43" s="61">
        <f t="shared" si="1"/>
        <v>45</v>
      </c>
      <c r="BG43" s="61">
        <f t="shared" si="2"/>
        <v>67.5</v>
      </c>
      <c r="BH43" s="61">
        <f t="shared" si="9"/>
        <v>450</v>
      </c>
      <c r="BI43" s="134"/>
      <c r="BJ43" s="134"/>
      <c r="BK43" s="138"/>
      <c r="BL43" s="134"/>
      <c r="BM43" s="136" t="str">
        <f t="shared" si="10"/>
        <v/>
      </c>
      <c r="BN43" s="137"/>
      <c r="BO43" s="63" t="str">
        <f t="shared" si="11"/>
        <v/>
      </c>
      <c r="BP43" s="339" t="str">
        <f t="shared" si="12"/>
        <v/>
      </c>
      <c r="BQ43" s="63" t="str">
        <f t="shared" si="23"/>
        <v/>
      </c>
      <c r="BR43" s="64" t="str">
        <f t="shared" si="13"/>
        <v/>
      </c>
      <c r="BS43" s="160"/>
      <c r="BT43" s="169">
        <f t="shared" si="14"/>
        <v>60</v>
      </c>
      <c r="BU43" s="36"/>
      <c r="BV43" s="37"/>
      <c r="BW43" s="37"/>
      <c r="BX43" s="37"/>
      <c r="BY43" s="125"/>
      <c r="BZ43" s="69" t="str">
        <f t="shared" si="15"/>
        <v/>
      </c>
      <c r="CA43" s="129"/>
      <c r="CB43" s="129"/>
      <c r="CC43" s="153" t="str">
        <f t="shared" si="16"/>
        <v/>
      </c>
      <c r="CD43" s="203" t="str">
        <f t="shared" si="17"/>
        <v/>
      </c>
      <c r="CE43" s="154" t="str">
        <f t="shared" si="18"/>
        <v/>
      </c>
      <c r="CF43" s="70" t="str">
        <f t="shared" si="19"/>
        <v/>
      </c>
      <c r="CG43" s="71" t="str">
        <f t="shared" si="24"/>
        <v/>
      </c>
      <c r="CH43" s="160"/>
      <c r="CI43" s="28"/>
      <c r="CJ43" s="171"/>
      <c r="CK43" s="271"/>
      <c r="CL43" s="275">
        <f t="shared" si="20"/>
        <v>450</v>
      </c>
      <c r="CM43" s="275" t="str">
        <f t="shared" si="21"/>
        <v/>
      </c>
      <c r="CO43" s="3">
        <v>4</v>
      </c>
      <c r="CP43" s="3">
        <v>2</v>
      </c>
      <c r="CQ43" s="3">
        <v>4</v>
      </c>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c r="HF43" s="3"/>
      <c r="HG43" s="3"/>
      <c r="HH43" s="3"/>
      <c r="HI43" s="3"/>
      <c r="HJ43" s="3"/>
      <c r="HK43" s="3"/>
      <c r="HL43" s="3"/>
      <c r="HM43" s="3"/>
      <c r="HN43" s="3"/>
      <c r="HO43" s="3"/>
      <c r="HP43" s="3"/>
      <c r="HQ43" s="3"/>
      <c r="HR43" s="3"/>
      <c r="HS43" s="3"/>
      <c r="HT43" s="3"/>
      <c r="HU43" s="3"/>
      <c r="HV43" s="3"/>
      <c r="HW43" s="3"/>
      <c r="HX43" s="3"/>
      <c r="HY43" s="3"/>
      <c r="HZ43" s="3"/>
      <c r="IA43" s="3"/>
      <c r="IB43" s="3"/>
      <c r="IC43" s="3"/>
      <c r="ID43" s="3"/>
      <c r="IE43" s="3"/>
      <c r="IF43" s="3"/>
      <c r="IG43" s="3"/>
      <c r="IH43" s="3"/>
      <c r="II43" s="3"/>
      <c r="IJ43" s="3"/>
      <c r="IK43" s="3"/>
      <c r="IL43" s="3"/>
      <c r="IM43" s="3"/>
      <c r="IN43" s="3"/>
      <c r="IO43" s="3"/>
      <c r="IP43" s="3"/>
      <c r="IQ43" s="3"/>
      <c r="IR43" s="3"/>
      <c r="IS43" s="3"/>
      <c r="IT43" s="3"/>
      <c r="IU43" s="3"/>
    </row>
    <row r="44" spans="1:255" x14ac:dyDescent="0.2">
      <c r="A44" s="256" t="str">
        <f t="shared" si="3"/>
        <v/>
      </c>
      <c r="B44" s="92"/>
      <c r="C44" s="49"/>
      <c r="D44" s="24"/>
      <c r="E44" s="24"/>
      <c r="F44" s="24"/>
      <c r="G44" s="25"/>
      <c r="H44" s="25"/>
      <c r="I44" s="26"/>
      <c r="J44" s="27"/>
      <c r="K44" s="219"/>
      <c r="L44" s="220"/>
      <c r="M44" s="48"/>
      <c r="N44" s="37"/>
      <c r="O44" s="37"/>
      <c r="P44" s="37"/>
      <c r="Q44" s="37"/>
      <c r="R44" s="224"/>
      <c r="S44" s="224"/>
      <c r="T44" s="224"/>
      <c r="U44" s="59" t="str">
        <f t="shared" si="25"/>
        <v/>
      </c>
      <c r="V44" s="40"/>
      <c r="W44" s="37"/>
      <c r="X44" s="227"/>
      <c r="Y44" s="101"/>
      <c r="Z44" s="104"/>
      <c r="AA44" s="227"/>
      <c r="AB44" s="210" t="str">
        <f t="shared" si="4"/>
        <v/>
      </c>
      <c r="AC44" s="86"/>
      <c r="AD44" s="157"/>
      <c r="AE44" s="36"/>
      <c r="AF44" s="37"/>
      <c r="AG44" s="37"/>
      <c r="AH44" s="37"/>
      <c r="AI44" s="48"/>
      <c r="AJ44" s="233"/>
      <c r="AK44" s="234"/>
      <c r="AL44" s="234"/>
      <c r="AM44" s="234"/>
      <c r="AN44" s="236" t="str">
        <f t="shared" si="5"/>
        <v/>
      </c>
      <c r="AO44" s="237"/>
      <c r="AP44" s="234"/>
      <c r="AQ44" s="234"/>
      <c r="AR44" s="234"/>
      <c r="AS44" s="236" t="str">
        <f t="shared" si="6"/>
        <v/>
      </c>
      <c r="AT44" s="150" t="str">
        <f t="shared" si="22"/>
        <v/>
      </c>
      <c r="AU44" s="165"/>
      <c r="AV44" s="125"/>
      <c r="AW44" s="125"/>
      <c r="AX44" s="127"/>
      <c r="AY44" s="198" t="str">
        <f t="shared" si="7"/>
        <v/>
      </c>
      <c r="AZ44" s="40"/>
      <c r="BA44" s="37"/>
      <c r="BB44" s="37"/>
      <c r="BC44" s="37"/>
      <c r="BD44" s="61" t="str">
        <f t="shared" si="8"/>
        <v/>
      </c>
      <c r="BE44" s="61" t="str">
        <f t="shared" si="0"/>
        <v/>
      </c>
      <c r="BF44" s="61" t="str">
        <f t="shared" si="1"/>
        <v/>
      </c>
      <c r="BG44" s="61" t="str">
        <f t="shared" si="2"/>
        <v/>
      </c>
      <c r="BH44" s="61" t="str">
        <f t="shared" si="9"/>
        <v/>
      </c>
      <c r="BI44" s="134"/>
      <c r="BJ44" s="134"/>
      <c r="BK44" s="138"/>
      <c r="BL44" s="134"/>
      <c r="BM44" s="136" t="str">
        <f t="shared" si="10"/>
        <v/>
      </c>
      <c r="BN44" s="137"/>
      <c r="BO44" s="63" t="str">
        <f t="shared" si="11"/>
        <v/>
      </c>
      <c r="BP44" s="339" t="str">
        <f t="shared" si="12"/>
        <v/>
      </c>
      <c r="BQ44" s="63" t="str">
        <f t="shared" si="23"/>
        <v/>
      </c>
      <c r="BR44" s="64" t="str">
        <f t="shared" si="13"/>
        <v/>
      </c>
      <c r="BS44" s="160"/>
      <c r="BT44" s="169" t="str">
        <f t="shared" si="14"/>
        <v/>
      </c>
      <c r="BU44" s="36"/>
      <c r="BV44" s="37"/>
      <c r="BW44" s="37"/>
      <c r="BX44" s="37"/>
      <c r="BY44" s="125"/>
      <c r="BZ44" s="69" t="str">
        <f t="shared" si="15"/>
        <v/>
      </c>
      <c r="CA44" s="129"/>
      <c r="CB44" s="129"/>
      <c r="CC44" s="153" t="str">
        <f t="shared" si="16"/>
        <v/>
      </c>
      <c r="CD44" s="203" t="str">
        <f t="shared" si="17"/>
        <v/>
      </c>
      <c r="CE44" s="154" t="str">
        <f t="shared" si="18"/>
        <v/>
      </c>
      <c r="CF44" s="70" t="str">
        <f t="shared" si="19"/>
        <v/>
      </c>
      <c r="CG44" s="71" t="str">
        <f t="shared" si="24"/>
        <v/>
      </c>
      <c r="CH44" s="160"/>
      <c r="CI44" s="28"/>
      <c r="CJ44" s="171"/>
      <c r="CK44" s="271"/>
      <c r="CL44" s="275" t="str">
        <f t="shared" si="20"/>
        <v/>
      </c>
      <c r="CM44" s="275" t="str">
        <f t="shared" si="21"/>
        <v/>
      </c>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c r="HF44" s="3"/>
      <c r="HG44" s="3"/>
      <c r="HH44" s="3"/>
      <c r="HI44" s="3"/>
      <c r="HJ44" s="3"/>
      <c r="HK44" s="3"/>
      <c r="HL44" s="3"/>
      <c r="HM44" s="3"/>
      <c r="HN44" s="3"/>
      <c r="HO44" s="3"/>
      <c r="HP44" s="3"/>
      <c r="HQ44" s="3"/>
      <c r="HR44" s="3"/>
      <c r="HS44" s="3"/>
      <c r="HT44" s="3"/>
      <c r="HU44" s="3"/>
      <c r="HV44" s="3"/>
      <c r="HW44" s="3"/>
      <c r="HX44" s="3"/>
      <c r="HY44" s="3"/>
      <c r="HZ44" s="3"/>
      <c r="IA44" s="3"/>
      <c r="IB44" s="3"/>
      <c r="IC44" s="3"/>
      <c r="ID44" s="3"/>
      <c r="IE44" s="3"/>
      <c r="IF44" s="3"/>
      <c r="IG44" s="3"/>
      <c r="IH44" s="3"/>
      <c r="II44" s="3"/>
      <c r="IJ44" s="3"/>
      <c r="IK44" s="3"/>
      <c r="IL44" s="3"/>
      <c r="IM44" s="3"/>
      <c r="IN44" s="3"/>
      <c r="IO44" s="3"/>
      <c r="IP44" s="3"/>
      <c r="IQ44" s="3"/>
      <c r="IR44" s="3"/>
      <c r="IS44" s="3"/>
      <c r="IT44" s="3"/>
      <c r="IU44" s="3"/>
    </row>
    <row r="45" spans="1:255" x14ac:dyDescent="0.2">
      <c r="A45" s="256" t="str">
        <f t="shared" si="3"/>
        <v/>
      </c>
      <c r="B45" s="24"/>
      <c r="C45" s="24"/>
      <c r="D45" s="24"/>
      <c r="E45" s="24"/>
      <c r="F45" s="24"/>
      <c r="G45" s="25"/>
      <c r="H45" s="25"/>
      <c r="I45" s="26"/>
      <c r="J45" s="27"/>
      <c r="K45" s="219"/>
      <c r="L45" s="220"/>
      <c r="M45" s="48"/>
      <c r="N45" s="37"/>
      <c r="O45" s="37"/>
      <c r="P45" s="37"/>
      <c r="Q45" s="37"/>
      <c r="R45" s="224"/>
      <c r="S45" s="224"/>
      <c r="T45" s="224"/>
      <c r="U45" s="59" t="str">
        <f t="shared" si="25"/>
        <v/>
      </c>
      <c r="V45" s="40"/>
      <c r="W45" s="37"/>
      <c r="X45" s="227"/>
      <c r="Y45" s="101"/>
      <c r="Z45" s="104"/>
      <c r="AA45" s="227"/>
      <c r="AB45" s="210" t="str">
        <f t="shared" si="4"/>
        <v/>
      </c>
      <c r="AC45" s="86"/>
      <c r="AD45" s="157"/>
      <c r="AE45" s="36"/>
      <c r="AF45" s="37"/>
      <c r="AG45" s="37"/>
      <c r="AH45" s="37"/>
      <c r="AI45" s="48"/>
      <c r="AJ45" s="233"/>
      <c r="AK45" s="234"/>
      <c r="AL45" s="234"/>
      <c r="AM45" s="234"/>
      <c r="AN45" s="236" t="str">
        <f t="shared" si="5"/>
        <v/>
      </c>
      <c r="AO45" s="237"/>
      <c r="AP45" s="234"/>
      <c r="AQ45" s="234"/>
      <c r="AR45" s="234"/>
      <c r="AS45" s="236" t="str">
        <f t="shared" si="6"/>
        <v/>
      </c>
      <c r="AT45" s="150" t="str">
        <f t="shared" si="22"/>
        <v/>
      </c>
      <c r="AU45" s="165"/>
      <c r="AV45" s="125"/>
      <c r="AW45" s="125"/>
      <c r="AX45" s="127"/>
      <c r="AY45" s="198" t="str">
        <f t="shared" si="7"/>
        <v/>
      </c>
      <c r="AZ45" s="40"/>
      <c r="BA45" s="37"/>
      <c r="BB45" s="37"/>
      <c r="BC45" s="37"/>
      <c r="BD45" s="61" t="str">
        <f t="shared" si="8"/>
        <v/>
      </c>
      <c r="BE45" s="61" t="str">
        <f t="shared" si="0"/>
        <v/>
      </c>
      <c r="BF45" s="61" t="str">
        <f t="shared" si="1"/>
        <v/>
      </c>
      <c r="BG45" s="61" t="str">
        <f t="shared" si="2"/>
        <v/>
      </c>
      <c r="BH45" s="61" t="str">
        <f t="shared" si="9"/>
        <v/>
      </c>
      <c r="BI45" s="134"/>
      <c r="BJ45" s="134"/>
      <c r="BK45" s="138"/>
      <c r="BL45" s="134"/>
      <c r="BM45" s="136" t="str">
        <f t="shared" si="10"/>
        <v/>
      </c>
      <c r="BN45" s="137"/>
      <c r="BO45" s="63" t="str">
        <f t="shared" si="11"/>
        <v/>
      </c>
      <c r="BP45" s="339" t="str">
        <f t="shared" si="12"/>
        <v/>
      </c>
      <c r="BQ45" s="63" t="str">
        <f t="shared" si="23"/>
        <v/>
      </c>
      <c r="BR45" s="64" t="str">
        <f t="shared" si="13"/>
        <v/>
      </c>
      <c r="BS45" s="160"/>
      <c r="BT45" s="169" t="str">
        <f t="shared" si="14"/>
        <v/>
      </c>
      <c r="BU45" s="36"/>
      <c r="BV45" s="37"/>
      <c r="BW45" s="37"/>
      <c r="BX45" s="37"/>
      <c r="BY45" s="125"/>
      <c r="BZ45" s="69" t="str">
        <f t="shared" si="15"/>
        <v/>
      </c>
      <c r="CA45" s="129"/>
      <c r="CB45" s="129"/>
      <c r="CC45" s="153" t="str">
        <f t="shared" si="16"/>
        <v/>
      </c>
      <c r="CD45" s="203" t="str">
        <f t="shared" si="17"/>
        <v/>
      </c>
      <c r="CE45" s="154" t="str">
        <f t="shared" si="18"/>
        <v/>
      </c>
      <c r="CF45" s="70" t="str">
        <f t="shared" si="19"/>
        <v/>
      </c>
      <c r="CG45" s="71" t="str">
        <f t="shared" si="24"/>
        <v/>
      </c>
      <c r="CH45" s="160"/>
      <c r="CI45" s="28"/>
      <c r="CJ45" s="171"/>
      <c r="CK45" s="271"/>
      <c r="CL45" s="275" t="str">
        <f t="shared" si="20"/>
        <v/>
      </c>
      <c r="CM45" s="275" t="str">
        <f t="shared" si="21"/>
        <v/>
      </c>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c r="HF45" s="3"/>
      <c r="HG45" s="3"/>
      <c r="HH45" s="3"/>
      <c r="HI45" s="3"/>
      <c r="HJ45" s="3"/>
      <c r="HK45" s="3"/>
      <c r="HL45" s="3"/>
      <c r="HM45" s="3"/>
      <c r="HN45" s="3"/>
      <c r="HO45" s="3"/>
      <c r="HP45" s="3"/>
      <c r="HQ45" s="3"/>
      <c r="HR45" s="3"/>
      <c r="HS45" s="3"/>
      <c r="HT45" s="3"/>
      <c r="HU45" s="3"/>
      <c r="HV45" s="3"/>
      <c r="HW45" s="3"/>
      <c r="HX45" s="3"/>
      <c r="HY45" s="3"/>
      <c r="HZ45" s="3"/>
      <c r="IA45" s="3"/>
      <c r="IB45" s="3"/>
      <c r="IC45" s="3"/>
      <c r="ID45" s="3"/>
      <c r="IE45" s="3"/>
      <c r="IF45" s="3"/>
      <c r="IG45" s="3"/>
      <c r="IH45" s="3"/>
      <c r="II45" s="3"/>
      <c r="IJ45" s="3"/>
      <c r="IK45" s="3"/>
      <c r="IL45" s="3"/>
      <c r="IM45" s="3"/>
      <c r="IN45" s="3"/>
      <c r="IO45" s="3"/>
      <c r="IP45" s="3"/>
      <c r="IQ45" s="3"/>
      <c r="IR45" s="3"/>
      <c r="IS45" s="3"/>
      <c r="IT45" s="3"/>
      <c r="IU45" s="3"/>
    </row>
    <row r="46" spans="1:255" x14ac:dyDescent="0.2">
      <c r="A46" s="256" t="str">
        <f t="shared" si="3"/>
        <v/>
      </c>
      <c r="B46" s="24"/>
      <c r="C46" s="24"/>
      <c r="D46" s="24"/>
      <c r="E46" s="24"/>
      <c r="F46" s="24"/>
      <c r="G46" s="25"/>
      <c r="H46" s="25"/>
      <c r="I46" s="26"/>
      <c r="J46" s="27"/>
      <c r="K46" s="219"/>
      <c r="L46" s="220"/>
      <c r="M46" s="48"/>
      <c r="N46" s="37"/>
      <c r="O46" s="37"/>
      <c r="P46" s="37"/>
      <c r="Q46" s="37"/>
      <c r="R46" s="224"/>
      <c r="S46" s="224"/>
      <c r="T46" s="224"/>
      <c r="U46" s="59" t="str">
        <f t="shared" si="25"/>
        <v/>
      </c>
      <c r="V46" s="40"/>
      <c r="W46" s="37"/>
      <c r="X46" s="227"/>
      <c r="Y46" s="101"/>
      <c r="Z46" s="104"/>
      <c r="AA46" s="227"/>
      <c r="AB46" s="210" t="str">
        <f t="shared" si="4"/>
        <v/>
      </c>
      <c r="AC46" s="86"/>
      <c r="AD46" s="157"/>
      <c r="AE46" s="36"/>
      <c r="AF46" s="37"/>
      <c r="AG46" s="37"/>
      <c r="AH46" s="37"/>
      <c r="AI46" s="48"/>
      <c r="AJ46" s="233"/>
      <c r="AK46" s="234"/>
      <c r="AL46" s="234"/>
      <c r="AM46" s="234"/>
      <c r="AN46" s="236" t="str">
        <f t="shared" si="5"/>
        <v/>
      </c>
      <c r="AO46" s="237"/>
      <c r="AP46" s="234"/>
      <c r="AQ46" s="234"/>
      <c r="AR46" s="234"/>
      <c r="AS46" s="236" t="str">
        <f t="shared" si="6"/>
        <v/>
      </c>
      <c r="AT46" s="150" t="str">
        <f t="shared" si="22"/>
        <v/>
      </c>
      <c r="AU46" s="165"/>
      <c r="AV46" s="125"/>
      <c r="AW46" s="125"/>
      <c r="AX46" s="127"/>
      <c r="AY46" s="198" t="str">
        <f t="shared" si="7"/>
        <v/>
      </c>
      <c r="AZ46" s="40"/>
      <c r="BA46" s="37"/>
      <c r="BB46" s="37"/>
      <c r="BC46" s="37"/>
      <c r="BD46" s="61" t="str">
        <f t="shared" si="8"/>
        <v/>
      </c>
      <c r="BE46" s="61" t="str">
        <f t="shared" si="0"/>
        <v/>
      </c>
      <c r="BF46" s="61" t="str">
        <f t="shared" si="1"/>
        <v/>
      </c>
      <c r="BG46" s="61" t="str">
        <f t="shared" si="2"/>
        <v/>
      </c>
      <c r="BH46" s="61" t="str">
        <f t="shared" si="9"/>
        <v/>
      </c>
      <c r="BI46" s="134"/>
      <c r="BJ46" s="134"/>
      <c r="BK46" s="138"/>
      <c r="BL46" s="134"/>
      <c r="BM46" s="136" t="str">
        <f t="shared" si="10"/>
        <v/>
      </c>
      <c r="BN46" s="137"/>
      <c r="BO46" s="63" t="str">
        <f t="shared" si="11"/>
        <v/>
      </c>
      <c r="BP46" s="339" t="str">
        <f t="shared" si="12"/>
        <v/>
      </c>
      <c r="BQ46" s="63" t="str">
        <f t="shared" si="23"/>
        <v/>
      </c>
      <c r="BR46" s="64" t="str">
        <f t="shared" si="13"/>
        <v/>
      </c>
      <c r="BS46" s="160"/>
      <c r="BT46" s="169" t="str">
        <f t="shared" si="14"/>
        <v/>
      </c>
      <c r="BU46" s="36"/>
      <c r="BV46" s="37"/>
      <c r="BW46" s="37"/>
      <c r="BX46" s="37"/>
      <c r="BY46" s="125"/>
      <c r="BZ46" s="69" t="str">
        <f t="shared" si="15"/>
        <v/>
      </c>
      <c r="CA46" s="129"/>
      <c r="CB46" s="129"/>
      <c r="CC46" s="153" t="str">
        <f t="shared" si="16"/>
        <v/>
      </c>
      <c r="CD46" s="203" t="str">
        <f t="shared" si="17"/>
        <v/>
      </c>
      <c r="CE46" s="154" t="str">
        <f t="shared" si="18"/>
        <v/>
      </c>
      <c r="CF46" s="70" t="str">
        <f t="shared" si="19"/>
        <v/>
      </c>
      <c r="CG46" s="71" t="str">
        <f t="shared" si="24"/>
        <v/>
      </c>
      <c r="CH46" s="160"/>
      <c r="CI46" s="28"/>
      <c r="CJ46" s="171"/>
      <c r="CK46" s="271"/>
      <c r="CL46" s="275" t="str">
        <f t="shared" si="20"/>
        <v/>
      </c>
      <c r="CM46" s="275" t="str">
        <f t="shared" si="21"/>
        <v/>
      </c>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c r="HF46" s="3"/>
      <c r="HG46" s="3"/>
      <c r="HH46" s="3"/>
      <c r="HI46" s="3"/>
      <c r="HJ46" s="3"/>
      <c r="HK46" s="3"/>
      <c r="HL46" s="3"/>
      <c r="HM46" s="3"/>
      <c r="HN46" s="3"/>
      <c r="HO46" s="3"/>
      <c r="HP46" s="3"/>
      <c r="HQ46" s="3"/>
      <c r="HR46" s="3"/>
      <c r="HS46" s="3"/>
      <c r="HT46" s="3"/>
      <c r="HU46" s="3"/>
      <c r="HV46" s="3"/>
      <c r="HW46" s="3"/>
      <c r="HX46" s="3"/>
      <c r="HY46" s="3"/>
      <c r="HZ46" s="3"/>
      <c r="IA46" s="3"/>
      <c r="IB46" s="3"/>
      <c r="IC46" s="3"/>
      <c r="ID46" s="3"/>
      <c r="IE46" s="3"/>
      <c r="IF46" s="3"/>
      <c r="IG46" s="3"/>
      <c r="IH46" s="3"/>
      <c r="II46" s="3"/>
      <c r="IJ46" s="3"/>
      <c r="IK46" s="3"/>
      <c r="IL46" s="3"/>
      <c r="IM46" s="3"/>
      <c r="IN46" s="3"/>
      <c r="IO46" s="3"/>
      <c r="IP46" s="3"/>
      <c r="IQ46" s="3"/>
      <c r="IR46" s="3"/>
      <c r="IS46" s="3"/>
      <c r="IT46" s="3"/>
      <c r="IU46" s="3"/>
    </row>
    <row r="47" spans="1:255" x14ac:dyDescent="0.2">
      <c r="A47" s="256" t="str">
        <f t="shared" si="3"/>
        <v/>
      </c>
      <c r="B47" s="24"/>
      <c r="C47" s="24"/>
      <c r="D47" s="24"/>
      <c r="E47" s="24"/>
      <c r="F47" s="24"/>
      <c r="G47" s="25"/>
      <c r="H47" s="25"/>
      <c r="I47" s="26"/>
      <c r="J47" s="27"/>
      <c r="K47" s="219"/>
      <c r="L47" s="220"/>
      <c r="M47" s="48"/>
      <c r="N47" s="37"/>
      <c r="O47" s="37"/>
      <c r="P47" s="37"/>
      <c r="Q47" s="37"/>
      <c r="R47" s="224"/>
      <c r="S47" s="224"/>
      <c r="T47" s="224"/>
      <c r="U47" s="59" t="str">
        <f t="shared" si="25"/>
        <v/>
      </c>
      <c r="V47" s="40"/>
      <c r="W47" s="37"/>
      <c r="X47" s="227"/>
      <c r="Y47" s="101"/>
      <c r="Z47" s="104"/>
      <c r="AA47" s="227"/>
      <c r="AB47" s="210" t="str">
        <f t="shared" si="4"/>
        <v/>
      </c>
      <c r="AC47" s="86"/>
      <c r="AD47" s="157"/>
      <c r="AE47" s="36"/>
      <c r="AF47" s="37"/>
      <c r="AG47" s="37"/>
      <c r="AH47" s="37"/>
      <c r="AI47" s="48"/>
      <c r="AJ47" s="233"/>
      <c r="AK47" s="234"/>
      <c r="AL47" s="234"/>
      <c r="AM47" s="234"/>
      <c r="AN47" s="236" t="str">
        <f t="shared" si="5"/>
        <v/>
      </c>
      <c r="AO47" s="237"/>
      <c r="AP47" s="234"/>
      <c r="AQ47" s="234"/>
      <c r="AR47" s="234"/>
      <c r="AS47" s="236" t="str">
        <f t="shared" si="6"/>
        <v/>
      </c>
      <c r="AT47" s="150" t="str">
        <f t="shared" si="22"/>
        <v/>
      </c>
      <c r="AU47" s="165"/>
      <c r="AV47" s="125"/>
      <c r="AW47" s="125"/>
      <c r="AX47" s="127"/>
      <c r="AY47" s="198" t="str">
        <f t="shared" si="7"/>
        <v/>
      </c>
      <c r="AZ47" s="40"/>
      <c r="BA47" s="37"/>
      <c r="BB47" s="37"/>
      <c r="BC47" s="37"/>
      <c r="BD47" s="61" t="str">
        <f t="shared" si="8"/>
        <v/>
      </c>
      <c r="BE47" s="61" t="str">
        <f t="shared" si="0"/>
        <v/>
      </c>
      <c r="BF47" s="61" t="str">
        <f t="shared" si="1"/>
        <v/>
      </c>
      <c r="BG47" s="61" t="str">
        <f t="shared" si="2"/>
        <v/>
      </c>
      <c r="BH47" s="61" t="str">
        <f t="shared" si="9"/>
        <v/>
      </c>
      <c r="BI47" s="134"/>
      <c r="BJ47" s="134"/>
      <c r="BK47" s="138"/>
      <c r="BL47" s="134"/>
      <c r="BM47" s="136" t="str">
        <f t="shared" si="10"/>
        <v/>
      </c>
      <c r="BN47" s="137"/>
      <c r="BO47" s="63" t="str">
        <f t="shared" si="11"/>
        <v/>
      </c>
      <c r="BP47" s="339" t="str">
        <f t="shared" si="12"/>
        <v/>
      </c>
      <c r="BQ47" s="63" t="str">
        <f t="shared" si="23"/>
        <v/>
      </c>
      <c r="BR47" s="64" t="str">
        <f t="shared" si="13"/>
        <v/>
      </c>
      <c r="BS47" s="160"/>
      <c r="BT47" s="169" t="str">
        <f t="shared" si="14"/>
        <v/>
      </c>
      <c r="BU47" s="36"/>
      <c r="BV47" s="37"/>
      <c r="BW47" s="37"/>
      <c r="BX47" s="37"/>
      <c r="BY47" s="125"/>
      <c r="BZ47" s="69" t="str">
        <f t="shared" si="15"/>
        <v/>
      </c>
      <c r="CA47" s="129"/>
      <c r="CB47" s="129"/>
      <c r="CC47" s="153" t="str">
        <f t="shared" si="16"/>
        <v/>
      </c>
      <c r="CD47" s="203" t="str">
        <f t="shared" si="17"/>
        <v/>
      </c>
      <c r="CE47" s="154" t="str">
        <f t="shared" si="18"/>
        <v/>
      </c>
      <c r="CF47" s="70" t="str">
        <f t="shared" si="19"/>
        <v/>
      </c>
      <c r="CG47" s="71" t="str">
        <f t="shared" si="24"/>
        <v/>
      </c>
      <c r="CH47" s="160"/>
      <c r="CI47" s="28"/>
      <c r="CJ47" s="171"/>
      <c r="CK47" s="271"/>
      <c r="CL47" s="275" t="str">
        <f t="shared" si="20"/>
        <v/>
      </c>
      <c r="CM47" s="275" t="str">
        <f t="shared" si="21"/>
        <v/>
      </c>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c r="HF47" s="3"/>
      <c r="HG47" s="3"/>
      <c r="HH47" s="3"/>
      <c r="HI47" s="3"/>
      <c r="HJ47" s="3"/>
      <c r="HK47" s="3"/>
      <c r="HL47" s="3"/>
      <c r="HM47" s="3"/>
      <c r="HN47" s="3"/>
      <c r="HO47" s="3"/>
      <c r="HP47" s="3"/>
      <c r="HQ47" s="3"/>
      <c r="HR47" s="3"/>
      <c r="HS47" s="3"/>
      <c r="HT47" s="3"/>
      <c r="HU47" s="3"/>
      <c r="HV47" s="3"/>
      <c r="HW47" s="3"/>
      <c r="HX47" s="3"/>
      <c r="HY47" s="3"/>
      <c r="HZ47" s="3"/>
      <c r="IA47" s="3"/>
      <c r="IB47" s="3"/>
      <c r="IC47" s="3"/>
      <c r="ID47" s="3"/>
      <c r="IE47" s="3"/>
      <c r="IF47" s="3"/>
      <c r="IG47" s="3"/>
      <c r="IH47" s="3"/>
      <c r="II47" s="3"/>
      <c r="IJ47" s="3"/>
      <c r="IK47" s="3"/>
      <c r="IL47" s="3"/>
      <c r="IM47" s="3"/>
      <c r="IN47" s="3"/>
      <c r="IO47" s="3"/>
      <c r="IP47" s="3"/>
      <c r="IQ47" s="3"/>
      <c r="IR47" s="3"/>
      <c r="IS47" s="3"/>
      <c r="IT47" s="3"/>
      <c r="IU47" s="3"/>
    </row>
    <row r="48" spans="1:255" x14ac:dyDescent="0.2">
      <c r="A48" s="256" t="str">
        <f t="shared" si="3"/>
        <v/>
      </c>
      <c r="B48" s="24"/>
      <c r="C48" s="24"/>
      <c r="D48" s="24"/>
      <c r="E48" s="24"/>
      <c r="F48" s="24"/>
      <c r="G48" s="25"/>
      <c r="H48" s="25"/>
      <c r="I48" s="26"/>
      <c r="J48" s="27"/>
      <c r="K48" s="219"/>
      <c r="L48" s="220"/>
      <c r="M48" s="48"/>
      <c r="N48" s="37"/>
      <c r="O48" s="37"/>
      <c r="P48" s="37"/>
      <c r="Q48" s="37"/>
      <c r="R48" s="224"/>
      <c r="S48" s="224"/>
      <c r="T48" s="224"/>
      <c r="U48" s="59" t="str">
        <f t="shared" si="25"/>
        <v/>
      </c>
      <c r="V48" s="40"/>
      <c r="W48" s="37"/>
      <c r="X48" s="227"/>
      <c r="Y48" s="101"/>
      <c r="Z48" s="104"/>
      <c r="AA48" s="227"/>
      <c r="AB48" s="210" t="str">
        <f t="shared" si="4"/>
        <v/>
      </c>
      <c r="AC48" s="86"/>
      <c r="AD48" s="157"/>
      <c r="AE48" s="36"/>
      <c r="AF48" s="37"/>
      <c r="AG48" s="37"/>
      <c r="AH48" s="37"/>
      <c r="AI48" s="48"/>
      <c r="AJ48" s="233"/>
      <c r="AK48" s="234"/>
      <c r="AL48" s="234"/>
      <c r="AM48" s="234"/>
      <c r="AN48" s="236" t="str">
        <f t="shared" si="5"/>
        <v/>
      </c>
      <c r="AO48" s="237"/>
      <c r="AP48" s="234"/>
      <c r="AQ48" s="234"/>
      <c r="AR48" s="234"/>
      <c r="AS48" s="236" t="str">
        <f t="shared" si="6"/>
        <v/>
      </c>
      <c r="AT48" s="150" t="str">
        <f t="shared" si="22"/>
        <v/>
      </c>
      <c r="AU48" s="165"/>
      <c r="AV48" s="125"/>
      <c r="AW48" s="125"/>
      <c r="AX48" s="127"/>
      <c r="AY48" s="198" t="str">
        <f t="shared" si="7"/>
        <v/>
      </c>
      <c r="AZ48" s="40"/>
      <c r="BA48" s="37"/>
      <c r="BB48" s="37"/>
      <c r="BC48" s="37"/>
      <c r="BD48" s="61" t="str">
        <f t="shared" si="8"/>
        <v/>
      </c>
      <c r="BE48" s="61" t="str">
        <f t="shared" si="0"/>
        <v/>
      </c>
      <c r="BF48" s="61" t="str">
        <f t="shared" si="1"/>
        <v/>
      </c>
      <c r="BG48" s="61" t="str">
        <f t="shared" si="2"/>
        <v/>
      </c>
      <c r="BH48" s="61" t="str">
        <f t="shared" si="9"/>
        <v/>
      </c>
      <c r="BI48" s="134"/>
      <c r="BJ48" s="134"/>
      <c r="BK48" s="138"/>
      <c r="BL48" s="134"/>
      <c r="BM48" s="136" t="str">
        <f t="shared" si="10"/>
        <v/>
      </c>
      <c r="BN48" s="137"/>
      <c r="BO48" s="63" t="str">
        <f t="shared" si="11"/>
        <v/>
      </c>
      <c r="BP48" s="339" t="str">
        <f t="shared" si="12"/>
        <v/>
      </c>
      <c r="BQ48" s="63" t="str">
        <f t="shared" si="23"/>
        <v/>
      </c>
      <c r="BR48" s="64" t="str">
        <f t="shared" si="13"/>
        <v/>
      </c>
      <c r="BS48" s="160"/>
      <c r="BT48" s="169" t="str">
        <f t="shared" si="14"/>
        <v/>
      </c>
      <c r="BU48" s="36"/>
      <c r="BV48" s="37"/>
      <c r="BW48" s="37"/>
      <c r="BX48" s="37"/>
      <c r="BY48" s="125"/>
      <c r="BZ48" s="69" t="str">
        <f t="shared" si="15"/>
        <v/>
      </c>
      <c r="CA48" s="129"/>
      <c r="CB48" s="129"/>
      <c r="CC48" s="153" t="str">
        <f t="shared" si="16"/>
        <v/>
      </c>
      <c r="CD48" s="203" t="str">
        <f t="shared" si="17"/>
        <v/>
      </c>
      <c r="CE48" s="154" t="str">
        <f t="shared" si="18"/>
        <v/>
      </c>
      <c r="CF48" s="70" t="str">
        <f t="shared" si="19"/>
        <v/>
      </c>
      <c r="CG48" s="71" t="str">
        <f t="shared" si="24"/>
        <v/>
      </c>
      <c r="CH48" s="160"/>
      <c r="CI48" s="28"/>
      <c r="CJ48" s="171"/>
      <c r="CK48" s="271"/>
      <c r="CL48" s="275" t="str">
        <f t="shared" si="20"/>
        <v/>
      </c>
      <c r="CM48" s="275" t="str">
        <f t="shared" si="21"/>
        <v/>
      </c>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c r="HF48" s="3"/>
      <c r="HG48" s="3"/>
      <c r="HH48" s="3"/>
      <c r="HI48" s="3"/>
      <c r="HJ48" s="3"/>
      <c r="HK48" s="3"/>
      <c r="HL48" s="3"/>
      <c r="HM48" s="3"/>
      <c r="HN48" s="3"/>
      <c r="HO48" s="3"/>
      <c r="HP48" s="3"/>
      <c r="HQ48" s="3"/>
      <c r="HR48" s="3"/>
      <c r="HS48" s="3"/>
      <c r="HT48" s="3"/>
      <c r="HU48" s="3"/>
      <c r="HV48" s="3"/>
      <c r="HW48" s="3"/>
      <c r="HX48" s="3"/>
      <c r="HY48" s="3"/>
      <c r="HZ48" s="3"/>
      <c r="IA48" s="3"/>
      <c r="IB48" s="3"/>
      <c r="IC48" s="3"/>
      <c r="ID48" s="3"/>
      <c r="IE48" s="3"/>
      <c r="IF48" s="3"/>
      <c r="IG48" s="3"/>
      <c r="IH48" s="3"/>
      <c r="II48" s="3"/>
      <c r="IJ48" s="3"/>
      <c r="IK48" s="3"/>
      <c r="IL48" s="3"/>
      <c r="IM48" s="3"/>
      <c r="IN48" s="3"/>
      <c r="IO48" s="3"/>
      <c r="IP48" s="3"/>
      <c r="IQ48" s="3"/>
      <c r="IR48" s="3"/>
      <c r="IS48" s="3"/>
      <c r="IT48" s="3"/>
      <c r="IU48" s="3"/>
    </row>
    <row r="49" spans="1:255" x14ac:dyDescent="0.2">
      <c r="A49" s="256" t="str">
        <f t="shared" si="3"/>
        <v/>
      </c>
      <c r="B49" s="24"/>
      <c r="C49" s="24"/>
      <c r="D49" s="24"/>
      <c r="E49" s="24"/>
      <c r="F49" s="24"/>
      <c r="G49" s="25"/>
      <c r="H49" s="25"/>
      <c r="I49" s="26"/>
      <c r="J49" s="27"/>
      <c r="K49" s="219"/>
      <c r="L49" s="220"/>
      <c r="M49" s="48"/>
      <c r="N49" s="37"/>
      <c r="O49" s="37"/>
      <c r="P49" s="37"/>
      <c r="Q49" s="37"/>
      <c r="R49" s="224"/>
      <c r="S49" s="224"/>
      <c r="T49" s="224"/>
      <c r="U49" s="59" t="str">
        <f t="shared" si="25"/>
        <v/>
      </c>
      <c r="V49" s="40"/>
      <c r="W49" s="37"/>
      <c r="X49" s="227"/>
      <c r="Y49" s="101"/>
      <c r="Z49" s="104"/>
      <c r="AA49" s="227"/>
      <c r="AB49" s="210" t="str">
        <f t="shared" si="4"/>
        <v/>
      </c>
      <c r="AC49" s="86"/>
      <c r="AD49" s="157"/>
      <c r="AE49" s="36"/>
      <c r="AF49" s="37"/>
      <c r="AG49" s="37"/>
      <c r="AH49" s="37"/>
      <c r="AI49" s="48"/>
      <c r="AJ49" s="233"/>
      <c r="AK49" s="234"/>
      <c r="AL49" s="234"/>
      <c r="AM49" s="234"/>
      <c r="AN49" s="236" t="str">
        <f t="shared" si="5"/>
        <v/>
      </c>
      <c r="AO49" s="237"/>
      <c r="AP49" s="234"/>
      <c r="AQ49" s="234"/>
      <c r="AR49" s="234"/>
      <c r="AS49" s="236" t="str">
        <f t="shared" si="6"/>
        <v/>
      </c>
      <c r="AT49" s="150" t="str">
        <f t="shared" si="22"/>
        <v/>
      </c>
      <c r="AU49" s="165"/>
      <c r="AV49" s="125"/>
      <c r="AW49" s="125"/>
      <c r="AX49" s="127"/>
      <c r="AY49" s="198" t="str">
        <f t="shared" si="7"/>
        <v/>
      </c>
      <c r="AZ49" s="40"/>
      <c r="BA49" s="37"/>
      <c r="BB49" s="37"/>
      <c r="BC49" s="37"/>
      <c r="BD49" s="61" t="str">
        <f t="shared" si="8"/>
        <v/>
      </c>
      <c r="BE49" s="61" t="str">
        <f t="shared" si="0"/>
        <v/>
      </c>
      <c r="BF49" s="61" t="str">
        <f t="shared" si="1"/>
        <v/>
      </c>
      <c r="BG49" s="61" t="str">
        <f t="shared" si="2"/>
        <v/>
      </c>
      <c r="BH49" s="61" t="str">
        <f t="shared" si="9"/>
        <v/>
      </c>
      <c r="BI49" s="134"/>
      <c r="BJ49" s="134"/>
      <c r="BK49" s="138"/>
      <c r="BL49" s="134"/>
      <c r="BM49" s="136" t="str">
        <f t="shared" si="10"/>
        <v/>
      </c>
      <c r="BN49" s="137"/>
      <c r="BO49" s="63" t="str">
        <f t="shared" si="11"/>
        <v/>
      </c>
      <c r="BP49" s="339" t="str">
        <f t="shared" si="12"/>
        <v/>
      </c>
      <c r="BQ49" s="63" t="str">
        <f t="shared" si="23"/>
        <v/>
      </c>
      <c r="BR49" s="64" t="str">
        <f t="shared" si="13"/>
        <v/>
      </c>
      <c r="BS49" s="160"/>
      <c r="BT49" s="169" t="str">
        <f t="shared" si="14"/>
        <v/>
      </c>
      <c r="BU49" s="36"/>
      <c r="BV49" s="37"/>
      <c r="BW49" s="37"/>
      <c r="BX49" s="37"/>
      <c r="BY49" s="125"/>
      <c r="BZ49" s="69" t="str">
        <f t="shared" si="15"/>
        <v/>
      </c>
      <c r="CA49" s="129"/>
      <c r="CB49" s="129"/>
      <c r="CC49" s="153" t="str">
        <f t="shared" si="16"/>
        <v/>
      </c>
      <c r="CD49" s="203" t="str">
        <f t="shared" si="17"/>
        <v/>
      </c>
      <c r="CE49" s="154" t="str">
        <f t="shared" si="18"/>
        <v/>
      </c>
      <c r="CF49" s="70" t="str">
        <f t="shared" si="19"/>
        <v/>
      </c>
      <c r="CG49" s="71" t="str">
        <f t="shared" si="24"/>
        <v/>
      </c>
      <c r="CH49" s="160"/>
      <c r="CI49" s="28"/>
      <c r="CJ49" s="171"/>
      <c r="CK49" s="271"/>
      <c r="CL49" s="275" t="str">
        <f t="shared" si="20"/>
        <v/>
      </c>
      <c r="CM49" s="275" t="str">
        <f t="shared" si="21"/>
        <v/>
      </c>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c r="HF49" s="3"/>
      <c r="HG49" s="3"/>
      <c r="HH49" s="3"/>
      <c r="HI49" s="3"/>
      <c r="HJ49" s="3"/>
      <c r="HK49" s="3"/>
      <c r="HL49" s="3"/>
      <c r="HM49" s="3"/>
      <c r="HN49" s="3"/>
      <c r="HO49" s="3"/>
      <c r="HP49" s="3"/>
      <c r="HQ49" s="3"/>
      <c r="HR49" s="3"/>
      <c r="HS49" s="3"/>
      <c r="HT49" s="3"/>
      <c r="HU49" s="3"/>
      <c r="HV49" s="3"/>
      <c r="HW49" s="3"/>
      <c r="HX49" s="3"/>
      <c r="HY49" s="3"/>
      <c r="HZ49" s="3"/>
      <c r="IA49" s="3"/>
      <c r="IB49" s="3"/>
      <c r="IC49" s="3"/>
      <c r="ID49" s="3"/>
      <c r="IE49" s="3"/>
      <c r="IF49" s="3"/>
      <c r="IG49" s="3"/>
      <c r="IH49" s="3"/>
      <c r="II49" s="3"/>
      <c r="IJ49" s="3"/>
      <c r="IK49" s="3"/>
      <c r="IL49" s="3"/>
      <c r="IM49" s="3"/>
      <c r="IN49" s="3"/>
      <c r="IO49" s="3"/>
      <c r="IP49" s="3"/>
      <c r="IQ49" s="3"/>
      <c r="IR49" s="3"/>
      <c r="IS49" s="3"/>
      <c r="IT49" s="3"/>
      <c r="IU49" s="3"/>
    </row>
    <row r="50" spans="1:255" x14ac:dyDescent="0.2">
      <c r="A50" s="256" t="str">
        <f t="shared" si="3"/>
        <v/>
      </c>
      <c r="B50" s="24"/>
      <c r="C50" s="24"/>
      <c r="D50" s="24"/>
      <c r="E50" s="24"/>
      <c r="F50" s="24"/>
      <c r="G50" s="25"/>
      <c r="H50" s="25"/>
      <c r="I50" s="26"/>
      <c r="J50" s="27"/>
      <c r="K50" s="219"/>
      <c r="L50" s="220"/>
      <c r="M50" s="48"/>
      <c r="N50" s="37"/>
      <c r="O50" s="37"/>
      <c r="P50" s="37"/>
      <c r="Q50" s="37"/>
      <c r="R50" s="224"/>
      <c r="S50" s="224"/>
      <c r="T50" s="224"/>
      <c r="U50" s="59" t="str">
        <f t="shared" si="25"/>
        <v/>
      </c>
      <c r="V50" s="40"/>
      <c r="W50" s="37"/>
      <c r="X50" s="227"/>
      <c r="Y50" s="101"/>
      <c r="Z50" s="104"/>
      <c r="AA50" s="227"/>
      <c r="AB50" s="210" t="str">
        <f t="shared" si="4"/>
        <v/>
      </c>
      <c r="AC50" s="86"/>
      <c r="AD50" s="157"/>
      <c r="AE50" s="36"/>
      <c r="AF50" s="37"/>
      <c r="AG50" s="37"/>
      <c r="AH50" s="37"/>
      <c r="AI50" s="48"/>
      <c r="AJ50" s="233"/>
      <c r="AK50" s="234"/>
      <c r="AL50" s="234"/>
      <c r="AM50" s="234"/>
      <c r="AN50" s="236" t="str">
        <f t="shared" si="5"/>
        <v/>
      </c>
      <c r="AO50" s="237"/>
      <c r="AP50" s="234"/>
      <c r="AQ50" s="234"/>
      <c r="AR50" s="234"/>
      <c r="AS50" s="236" t="str">
        <f t="shared" si="6"/>
        <v/>
      </c>
      <c r="AT50" s="150" t="str">
        <f t="shared" si="22"/>
        <v/>
      </c>
      <c r="AU50" s="165"/>
      <c r="AV50" s="125"/>
      <c r="AW50" s="125"/>
      <c r="AX50" s="127"/>
      <c r="AY50" s="198" t="str">
        <f t="shared" si="7"/>
        <v/>
      </c>
      <c r="AZ50" s="40"/>
      <c r="BA50" s="37"/>
      <c r="BB50" s="37"/>
      <c r="BC50" s="37"/>
      <c r="BD50" s="61" t="str">
        <f t="shared" si="8"/>
        <v/>
      </c>
      <c r="BE50" s="61" t="str">
        <f t="shared" si="0"/>
        <v/>
      </c>
      <c r="BF50" s="61" t="str">
        <f t="shared" si="1"/>
        <v/>
      </c>
      <c r="BG50" s="61" t="str">
        <f t="shared" si="2"/>
        <v/>
      </c>
      <c r="BH50" s="61" t="str">
        <f t="shared" si="9"/>
        <v/>
      </c>
      <c r="BI50" s="134"/>
      <c r="BJ50" s="134"/>
      <c r="BK50" s="138"/>
      <c r="BL50" s="134"/>
      <c r="BM50" s="136" t="str">
        <f t="shared" si="10"/>
        <v/>
      </c>
      <c r="BN50" s="137"/>
      <c r="BO50" s="63" t="str">
        <f t="shared" si="11"/>
        <v/>
      </c>
      <c r="BP50" s="339" t="str">
        <f t="shared" si="12"/>
        <v/>
      </c>
      <c r="BQ50" s="63" t="str">
        <f t="shared" si="23"/>
        <v/>
      </c>
      <c r="BR50" s="64" t="str">
        <f t="shared" si="13"/>
        <v/>
      </c>
      <c r="BS50" s="160"/>
      <c r="BT50" s="169" t="str">
        <f t="shared" si="14"/>
        <v/>
      </c>
      <c r="BU50" s="36"/>
      <c r="BV50" s="37"/>
      <c r="BW50" s="37"/>
      <c r="BX50" s="37"/>
      <c r="BY50" s="125"/>
      <c r="BZ50" s="69" t="str">
        <f t="shared" si="15"/>
        <v/>
      </c>
      <c r="CA50" s="129"/>
      <c r="CB50" s="129"/>
      <c r="CC50" s="153" t="str">
        <f t="shared" si="16"/>
        <v/>
      </c>
      <c r="CD50" s="203" t="str">
        <f t="shared" si="17"/>
        <v/>
      </c>
      <c r="CE50" s="154" t="str">
        <f t="shared" si="18"/>
        <v/>
      </c>
      <c r="CF50" s="70" t="str">
        <f t="shared" si="19"/>
        <v/>
      </c>
      <c r="CG50" s="71" t="str">
        <f t="shared" si="24"/>
        <v/>
      </c>
      <c r="CH50" s="160"/>
      <c r="CI50" s="28"/>
      <c r="CJ50" s="171"/>
      <c r="CK50" s="271"/>
      <c r="CL50" s="275" t="str">
        <f t="shared" si="20"/>
        <v/>
      </c>
      <c r="CM50" s="275" t="str">
        <f t="shared" si="21"/>
        <v/>
      </c>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c r="HF50" s="3"/>
      <c r="HG50" s="3"/>
      <c r="HH50" s="3"/>
      <c r="HI50" s="3"/>
      <c r="HJ50" s="3"/>
      <c r="HK50" s="3"/>
      <c r="HL50" s="3"/>
      <c r="HM50" s="3"/>
      <c r="HN50" s="3"/>
      <c r="HO50" s="3"/>
      <c r="HP50" s="3"/>
      <c r="HQ50" s="3"/>
      <c r="HR50" s="3"/>
      <c r="HS50" s="3"/>
      <c r="HT50" s="3"/>
      <c r="HU50" s="3"/>
      <c r="HV50" s="3"/>
      <c r="HW50" s="3"/>
      <c r="HX50" s="3"/>
      <c r="HY50" s="3"/>
      <c r="HZ50" s="3"/>
      <c r="IA50" s="3"/>
      <c r="IB50" s="3"/>
      <c r="IC50" s="3"/>
      <c r="ID50" s="3"/>
      <c r="IE50" s="3"/>
      <c r="IF50" s="3"/>
      <c r="IG50" s="3"/>
      <c r="IH50" s="3"/>
      <c r="II50" s="3"/>
      <c r="IJ50" s="3"/>
      <c r="IK50" s="3"/>
      <c r="IL50" s="3"/>
      <c r="IM50" s="3"/>
      <c r="IN50" s="3"/>
      <c r="IO50" s="3"/>
      <c r="IP50" s="3"/>
      <c r="IQ50" s="3"/>
      <c r="IR50" s="3"/>
      <c r="IS50" s="3"/>
      <c r="IT50" s="3"/>
      <c r="IU50" s="3"/>
    </row>
    <row r="51" spans="1:255" x14ac:dyDescent="0.2">
      <c r="A51" s="256" t="str">
        <f t="shared" si="3"/>
        <v/>
      </c>
      <c r="B51" s="24"/>
      <c r="C51" s="24"/>
      <c r="D51" s="24"/>
      <c r="E51" s="24"/>
      <c r="F51" s="24"/>
      <c r="G51" s="25"/>
      <c r="H51" s="25"/>
      <c r="I51" s="26"/>
      <c r="J51" s="27"/>
      <c r="K51" s="219"/>
      <c r="L51" s="220"/>
      <c r="M51" s="48"/>
      <c r="N51" s="37"/>
      <c r="O51" s="37"/>
      <c r="P51" s="37"/>
      <c r="Q51" s="37"/>
      <c r="R51" s="224"/>
      <c r="S51" s="224"/>
      <c r="T51" s="224"/>
      <c r="U51" s="59" t="str">
        <f t="shared" si="25"/>
        <v/>
      </c>
      <c r="V51" s="40"/>
      <c r="W51" s="37"/>
      <c r="X51" s="227"/>
      <c r="Y51" s="101"/>
      <c r="Z51" s="104"/>
      <c r="AA51" s="227"/>
      <c r="AB51" s="210" t="str">
        <f t="shared" si="4"/>
        <v/>
      </c>
      <c r="AC51" s="86"/>
      <c r="AD51" s="157"/>
      <c r="AE51" s="36"/>
      <c r="AF51" s="37"/>
      <c r="AG51" s="37"/>
      <c r="AH51" s="37"/>
      <c r="AI51" s="48"/>
      <c r="AJ51" s="233"/>
      <c r="AK51" s="234"/>
      <c r="AL51" s="234"/>
      <c r="AM51" s="234"/>
      <c r="AN51" s="236" t="str">
        <f t="shared" si="5"/>
        <v/>
      </c>
      <c r="AO51" s="237"/>
      <c r="AP51" s="234"/>
      <c r="AQ51" s="234"/>
      <c r="AR51" s="234"/>
      <c r="AS51" s="236" t="str">
        <f t="shared" si="6"/>
        <v/>
      </c>
      <c r="AT51" s="150" t="str">
        <f t="shared" si="22"/>
        <v/>
      </c>
      <c r="AU51" s="165"/>
      <c r="AV51" s="125"/>
      <c r="AW51" s="125"/>
      <c r="AX51" s="127"/>
      <c r="AY51" s="198" t="str">
        <f t="shared" si="7"/>
        <v/>
      </c>
      <c r="AZ51" s="40"/>
      <c r="BA51" s="37"/>
      <c r="BB51" s="37"/>
      <c r="BC51" s="37"/>
      <c r="BD51" s="61" t="str">
        <f t="shared" si="8"/>
        <v/>
      </c>
      <c r="BE51" s="61" t="str">
        <f t="shared" si="0"/>
        <v/>
      </c>
      <c r="BF51" s="61" t="str">
        <f t="shared" si="1"/>
        <v/>
      </c>
      <c r="BG51" s="61" t="str">
        <f t="shared" si="2"/>
        <v/>
      </c>
      <c r="BH51" s="61" t="str">
        <f t="shared" si="9"/>
        <v/>
      </c>
      <c r="BI51" s="134"/>
      <c r="BJ51" s="134"/>
      <c r="BK51" s="138"/>
      <c r="BL51" s="134"/>
      <c r="BM51" s="136" t="str">
        <f t="shared" si="10"/>
        <v/>
      </c>
      <c r="BN51" s="137"/>
      <c r="BO51" s="63" t="str">
        <f t="shared" si="11"/>
        <v/>
      </c>
      <c r="BP51" s="339" t="str">
        <f t="shared" si="12"/>
        <v/>
      </c>
      <c r="BQ51" s="63" t="str">
        <f t="shared" si="23"/>
        <v/>
      </c>
      <c r="BR51" s="64" t="str">
        <f t="shared" si="13"/>
        <v/>
      </c>
      <c r="BS51" s="160"/>
      <c r="BT51" s="169" t="str">
        <f t="shared" si="14"/>
        <v/>
      </c>
      <c r="BU51" s="36"/>
      <c r="BV51" s="37"/>
      <c r="BW51" s="37"/>
      <c r="BX51" s="37"/>
      <c r="BY51" s="125"/>
      <c r="BZ51" s="69" t="str">
        <f t="shared" si="15"/>
        <v/>
      </c>
      <c r="CA51" s="129"/>
      <c r="CB51" s="129"/>
      <c r="CC51" s="153" t="str">
        <f t="shared" si="16"/>
        <v/>
      </c>
      <c r="CD51" s="203" t="str">
        <f t="shared" si="17"/>
        <v/>
      </c>
      <c r="CE51" s="154" t="str">
        <f t="shared" si="18"/>
        <v/>
      </c>
      <c r="CF51" s="70" t="str">
        <f t="shared" si="19"/>
        <v/>
      </c>
      <c r="CG51" s="71" t="str">
        <f t="shared" si="24"/>
        <v/>
      </c>
      <c r="CH51" s="160"/>
      <c r="CI51" s="28"/>
      <c r="CJ51" s="171"/>
      <c r="CK51" s="271"/>
      <c r="CL51" s="275" t="str">
        <f t="shared" si="20"/>
        <v/>
      </c>
      <c r="CM51" s="275" t="str">
        <f t="shared" si="21"/>
        <v/>
      </c>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c r="HF51" s="3"/>
      <c r="HG51" s="3"/>
      <c r="HH51" s="3"/>
      <c r="HI51" s="3"/>
      <c r="HJ51" s="3"/>
      <c r="HK51" s="3"/>
      <c r="HL51" s="3"/>
      <c r="HM51" s="3"/>
      <c r="HN51" s="3"/>
      <c r="HO51" s="3"/>
      <c r="HP51" s="3"/>
      <c r="HQ51" s="3"/>
      <c r="HR51" s="3"/>
      <c r="HS51" s="3"/>
      <c r="HT51" s="3"/>
      <c r="HU51" s="3"/>
      <c r="HV51" s="3"/>
      <c r="HW51" s="3"/>
      <c r="HX51" s="3"/>
      <c r="HY51" s="3"/>
      <c r="HZ51" s="3"/>
      <c r="IA51" s="3"/>
      <c r="IB51" s="3"/>
      <c r="IC51" s="3"/>
      <c r="ID51" s="3"/>
      <c r="IE51" s="3"/>
      <c r="IF51" s="3"/>
      <c r="IG51" s="3"/>
      <c r="IH51" s="3"/>
      <c r="II51" s="3"/>
      <c r="IJ51" s="3"/>
      <c r="IK51" s="3"/>
      <c r="IL51" s="3"/>
      <c r="IM51" s="3"/>
      <c r="IN51" s="3"/>
      <c r="IO51" s="3"/>
      <c r="IP51" s="3"/>
      <c r="IQ51" s="3"/>
      <c r="IR51" s="3"/>
      <c r="IS51" s="3"/>
      <c r="IT51" s="3"/>
      <c r="IU51" s="3"/>
    </row>
    <row r="52" spans="1:255" x14ac:dyDescent="0.2">
      <c r="A52" s="256" t="str">
        <f t="shared" si="3"/>
        <v/>
      </c>
      <c r="B52" s="24"/>
      <c r="C52" s="24"/>
      <c r="D52" s="24"/>
      <c r="E52" s="24"/>
      <c r="F52" s="24"/>
      <c r="G52" s="25"/>
      <c r="H52" s="25"/>
      <c r="I52" s="26"/>
      <c r="J52" s="27"/>
      <c r="K52" s="219"/>
      <c r="L52" s="220"/>
      <c r="M52" s="48"/>
      <c r="N52" s="37"/>
      <c r="O52" s="37"/>
      <c r="P52" s="37"/>
      <c r="Q52" s="37"/>
      <c r="R52" s="224"/>
      <c r="S52" s="224"/>
      <c r="T52" s="224"/>
      <c r="U52" s="59" t="str">
        <f t="shared" si="25"/>
        <v/>
      </c>
      <c r="V52" s="40"/>
      <c r="W52" s="37"/>
      <c r="X52" s="227"/>
      <c r="Y52" s="101"/>
      <c r="Z52" s="104"/>
      <c r="AA52" s="227"/>
      <c r="AB52" s="210" t="str">
        <f t="shared" si="4"/>
        <v/>
      </c>
      <c r="AC52" s="86"/>
      <c r="AD52" s="157"/>
      <c r="AE52" s="36"/>
      <c r="AF52" s="37"/>
      <c r="AG52" s="37"/>
      <c r="AH52" s="37"/>
      <c r="AI52" s="48"/>
      <c r="AJ52" s="233"/>
      <c r="AK52" s="234"/>
      <c r="AL52" s="234"/>
      <c r="AM52" s="234"/>
      <c r="AN52" s="236" t="str">
        <f t="shared" si="5"/>
        <v/>
      </c>
      <c r="AO52" s="237"/>
      <c r="AP52" s="234"/>
      <c r="AQ52" s="234"/>
      <c r="AR52" s="234"/>
      <c r="AS52" s="236" t="str">
        <f t="shared" si="6"/>
        <v/>
      </c>
      <c r="AT52" s="150" t="str">
        <f t="shared" si="22"/>
        <v/>
      </c>
      <c r="AU52" s="165"/>
      <c r="AV52" s="125"/>
      <c r="AW52" s="125"/>
      <c r="AX52" s="127"/>
      <c r="AY52" s="198" t="str">
        <f t="shared" si="7"/>
        <v/>
      </c>
      <c r="AZ52" s="40"/>
      <c r="BA52" s="37"/>
      <c r="BB52" s="37"/>
      <c r="BC52" s="37"/>
      <c r="BD52" s="61" t="str">
        <f t="shared" si="8"/>
        <v/>
      </c>
      <c r="BE52" s="61" t="str">
        <f t="shared" si="0"/>
        <v/>
      </c>
      <c r="BF52" s="61" t="str">
        <f t="shared" si="1"/>
        <v/>
      </c>
      <c r="BG52" s="61" t="str">
        <f t="shared" si="2"/>
        <v/>
      </c>
      <c r="BH52" s="61" t="str">
        <f t="shared" si="9"/>
        <v/>
      </c>
      <c r="BI52" s="134"/>
      <c r="BJ52" s="134"/>
      <c r="BK52" s="138"/>
      <c r="BL52" s="134"/>
      <c r="BM52" s="136" t="str">
        <f t="shared" si="10"/>
        <v/>
      </c>
      <c r="BN52" s="137"/>
      <c r="BO52" s="63" t="str">
        <f t="shared" si="11"/>
        <v/>
      </c>
      <c r="BP52" s="339" t="str">
        <f t="shared" si="12"/>
        <v/>
      </c>
      <c r="BQ52" s="63" t="str">
        <f t="shared" si="23"/>
        <v/>
      </c>
      <c r="BR52" s="64" t="str">
        <f t="shared" si="13"/>
        <v/>
      </c>
      <c r="BS52" s="160"/>
      <c r="BT52" s="169" t="str">
        <f t="shared" si="14"/>
        <v/>
      </c>
      <c r="BU52" s="36"/>
      <c r="BV52" s="37"/>
      <c r="BW52" s="37"/>
      <c r="BX52" s="37"/>
      <c r="BY52" s="125"/>
      <c r="BZ52" s="69" t="str">
        <f t="shared" si="15"/>
        <v/>
      </c>
      <c r="CA52" s="129"/>
      <c r="CB52" s="129"/>
      <c r="CC52" s="153" t="str">
        <f t="shared" si="16"/>
        <v/>
      </c>
      <c r="CD52" s="203" t="str">
        <f t="shared" si="17"/>
        <v/>
      </c>
      <c r="CE52" s="154" t="str">
        <f t="shared" si="18"/>
        <v/>
      </c>
      <c r="CF52" s="70" t="str">
        <f t="shared" si="19"/>
        <v/>
      </c>
      <c r="CG52" s="71" t="str">
        <f t="shared" si="24"/>
        <v/>
      </c>
      <c r="CH52" s="160"/>
      <c r="CI52" s="28"/>
      <c r="CJ52" s="171"/>
      <c r="CK52" s="271"/>
      <c r="CL52" s="275" t="str">
        <f t="shared" si="20"/>
        <v/>
      </c>
      <c r="CM52" s="275" t="str">
        <f t="shared" si="21"/>
        <v/>
      </c>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c r="HF52" s="3"/>
      <c r="HG52" s="3"/>
      <c r="HH52" s="3"/>
      <c r="HI52" s="3"/>
      <c r="HJ52" s="3"/>
      <c r="HK52" s="3"/>
      <c r="HL52" s="3"/>
      <c r="HM52" s="3"/>
      <c r="HN52" s="3"/>
      <c r="HO52" s="3"/>
      <c r="HP52" s="3"/>
      <c r="HQ52" s="3"/>
      <c r="HR52" s="3"/>
      <c r="HS52" s="3"/>
      <c r="HT52" s="3"/>
      <c r="HU52" s="3"/>
      <c r="HV52" s="3"/>
      <c r="HW52" s="3"/>
      <c r="HX52" s="3"/>
      <c r="HY52" s="3"/>
      <c r="HZ52" s="3"/>
      <c r="IA52" s="3"/>
      <c r="IB52" s="3"/>
      <c r="IC52" s="3"/>
      <c r="ID52" s="3"/>
      <c r="IE52" s="3"/>
      <c r="IF52" s="3"/>
      <c r="IG52" s="3"/>
      <c r="IH52" s="3"/>
      <c r="II52" s="3"/>
      <c r="IJ52" s="3"/>
      <c r="IK52" s="3"/>
      <c r="IL52" s="3"/>
      <c r="IM52" s="3"/>
      <c r="IN52" s="3"/>
      <c r="IO52" s="3"/>
      <c r="IP52" s="3"/>
      <c r="IQ52" s="3"/>
      <c r="IR52" s="3"/>
      <c r="IS52" s="3"/>
      <c r="IT52" s="3"/>
      <c r="IU52" s="3"/>
    </row>
    <row r="53" spans="1:255" x14ac:dyDescent="0.2">
      <c r="A53" s="256" t="str">
        <f t="shared" si="3"/>
        <v/>
      </c>
      <c r="B53" s="24"/>
      <c r="C53" s="24"/>
      <c r="D53" s="24"/>
      <c r="E53" s="24"/>
      <c r="F53" s="24"/>
      <c r="G53" s="25"/>
      <c r="H53" s="25"/>
      <c r="I53" s="26"/>
      <c r="J53" s="27"/>
      <c r="K53" s="219"/>
      <c r="L53" s="220"/>
      <c r="M53" s="48"/>
      <c r="N53" s="37"/>
      <c r="O53" s="37"/>
      <c r="P53" s="37"/>
      <c r="Q53" s="37"/>
      <c r="R53" s="224"/>
      <c r="S53" s="224"/>
      <c r="T53" s="224"/>
      <c r="U53" s="59" t="str">
        <f t="shared" si="25"/>
        <v/>
      </c>
      <c r="V53" s="40"/>
      <c r="W53" s="37"/>
      <c r="X53" s="227"/>
      <c r="Y53" s="101"/>
      <c r="Z53" s="104"/>
      <c r="AA53" s="227"/>
      <c r="AB53" s="210" t="str">
        <f t="shared" si="4"/>
        <v/>
      </c>
      <c r="AC53" s="86"/>
      <c r="AD53" s="157"/>
      <c r="AE53" s="36"/>
      <c r="AF53" s="37"/>
      <c r="AG53" s="37"/>
      <c r="AH53" s="37"/>
      <c r="AI53" s="48"/>
      <c r="AJ53" s="233"/>
      <c r="AK53" s="234"/>
      <c r="AL53" s="234"/>
      <c r="AM53" s="234"/>
      <c r="AN53" s="236" t="str">
        <f t="shared" si="5"/>
        <v/>
      </c>
      <c r="AO53" s="237"/>
      <c r="AP53" s="234"/>
      <c r="AQ53" s="234"/>
      <c r="AR53" s="234"/>
      <c r="AS53" s="236" t="str">
        <f t="shared" si="6"/>
        <v/>
      </c>
      <c r="AT53" s="150" t="str">
        <f t="shared" si="22"/>
        <v/>
      </c>
      <c r="AU53" s="165"/>
      <c r="AV53" s="125"/>
      <c r="AW53" s="125"/>
      <c r="AX53" s="127"/>
      <c r="AY53" s="198" t="str">
        <f t="shared" si="7"/>
        <v/>
      </c>
      <c r="AZ53" s="40"/>
      <c r="BA53" s="37"/>
      <c r="BB53" s="37"/>
      <c r="BC53" s="37"/>
      <c r="BD53" s="61" t="str">
        <f t="shared" si="8"/>
        <v/>
      </c>
      <c r="BE53" s="61" t="str">
        <f t="shared" si="0"/>
        <v/>
      </c>
      <c r="BF53" s="61" t="str">
        <f t="shared" si="1"/>
        <v/>
      </c>
      <c r="BG53" s="61" t="str">
        <f t="shared" si="2"/>
        <v/>
      </c>
      <c r="BH53" s="61" t="str">
        <f t="shared" si="9"/>
        <v/>
      </c>
      <c r="BI53" s="134"/>
      <c r="BJ53" s="134"/>
      <c r="BK53" s="138"/>
      <c r="BL53" s="134"/>
      <c r="BM53" s="136" t="str">
        <f t="shared" si="10"/>
        <v/>
      </c>
      <c r="BN53" s="137"/>
      <c r="BO53" s="63" t="str">
        <f t="shared" si="11"/>
        <v/>
      </c>
      <c r="BP53" s="339" t="str">
        <f t="shared" si="12"/>
        <v/>
      </c>
      <c r="BQ53" s="63" t="str">
        <f t="shared" si="23"/>
        <v/>
      </c>
      <c r="BR53" s="64" t="str">
        <f t="shared" si="13"/>
        <v/>
      </c>
      <c r="BS53" s="160"/>
      <c r="BT53" s="169" t="str">
        <f t="shared" si="14"/>
        <v/>
      </c>
      <c r="BU53" s="36"/>
      <c r="BV53" s="37"/>
      <c r="BW53" s="37"/>
      <c r="BX53" s="37"/>
      <c r="BY53" s="125"/>
      <c r="BZ53" s="69" t="str">
        <f t="shared" si="15"/>
        <v/>
      </c>
      <c r="CA53" s="129"/>
      <c r="CB53" s="129"/>
      <c r="CC53" s="153" t="str">
        <f t="shared" si="16"/>
        <v/>
      </c>
      <c r="CD53" s="203" t="str">
        <f t="shared" si="17"/>
        <v/>
      </c>
      <c r="CE53" s="154" t="str">
        <f t="shared" si="18"/>
        <v/>
      </c>
      <c r="CF53" s="70" t="str">
        <f t="shared" si="19"/>
        <v/>
      </c>
      <c r="CG53" s="71" t="str">
        <f t="shared" si="24"/>
        <v/>
      </c>
      <c r="CH53" s="160"/>
      <c r="CI53" s="30"/>
      <c r="CJ53" s="172"/>
      <c r="CK53" s="273"/>
      <c r="CL53" s="275" t="str">
        <f t="shared" si="20"/>
        <v/>
      </c>
      <c r="CM53" s="275" t="str">
        <f t="shared" si="21"/>
        <v/>
      </c>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c r="HF53" s="3"/>
      <c r="HG53" s="3"/>
      <c r="HH53" s="3"/>
      <c r="HI53" s="3"/>
      <c r="HJ53" s="3"/>
      <c r="HK53" s="3"/>
      <c r="HL53" s="3"/>
      <c r="HM53" s="3"/>
      <c r="HN53" s="3"/>
      <c r="HO53" s="3"/>
      <c r="HP53" s="3"/>
      <c r="HQ53" s="3"/>
      <c r="HR53" s="3"/>
      <c r="HS53" s="3"/>
      <c r="HT53" s="3"/>
      <c r="HU53" s="3"/>
      <c r="HV53" s="3"/>
      <c r="HW53" s="3"/>
      <c r="HX53" s="3"/>
      <c r="HY53" s="3"/>
      <c r="HZ53" s="3"/>
      <c r="IA53" s="3"/>
      <c r="IB53" s="3"/>
      <c r="IC53" s="3"/>
      <c r="ID53" s="3"/>
      <c r="IE53" s="3"/>
      <c r="IF53" s="3"/>
      <c r="IG53" s="3"/>
      <c r="IH53" s="3"/>
      <c r="II53" s="3"/>
      <c r="IJ53" s="3"/>
      <c r="IK53" s="3"/>
      <c r="IL53" s="3"/>
      <c r="IM53" s="3"/>
      <c r="IN53" s="3"/>
      <c r="IO53" s="3"/>
      <c r="IP53" s="3"/>
      <c r="IQ53" s="3"/>
      <c r="IR53" s="3"/>
      <c r="IS53" s="3"/>
      <c r="IT53" s="3"/>
      <c r="IU53" s="3"/>
    </row>
    <row r="54" spans="1:255" x14ac:dyDescent="0.2">
      <c r="A54" s="256" t="str">
        <f t="shared" si="3"/>
        <v/>
      </c>
      <c r="B54" s="24"/>
      <c r="C54" s="24"/>
      <c r="D54" s="24"/>
      <c r="E54" s="24"/>
      <c r="F54" s="24"/>
      <c r="G54" s="25"/>
      <c r="H54" s="25"/>
      <c r="I54" s="26"/>
      <c r="J54" s="27"/>
      <c r="K54" s="219"/>
      <c r="L54" s="220"/>
      <c r="M54" s="48"/>
      <c r="N54" s="37"/>
      <c r="O54" s="37"/>
      <c r="P54" s="37"/>
      <c r="Q54" s="37"/>
      <c r="R54" s="224"/>
      <c r="S54" s="224"/>
      <c r="T54" s="224"/>
      <c r="U54" s="59" t="str">
        <f t="shared" si="25"/>
        <v/>
      </c>
      <c r="V54" s="40"/>
      <c r="W54" s="37"/>
      <c r="X54" s="227"/>
      <c r="Y54" s="101"/>
      <c r="Z54" s="104"/>
      <c r="AA54" s="227"/>
      <c r="AB54" s="210" t="str">
        <f t="shared" si="4"/>
        <v/>
      </c>
      <c r="AC54" s="86"/>
      <c r="AD54" s="157"/>
      <c r="AE54" s="36"/>
      <c r="AF54" s="37"/>
      <c r="AG54" s="37"/>
      <c r="AH54" s="37"/>
      <c r="AI54" s="48"/>
      <c r="AJ54" s="233"/>
      <c r="AK54" s="234"/>
      <c r="AL54" s="234"/>
      <c r="AM54" s="234"/>
      <c r="AN54" s="236" t="str">
        <f t="shared" si="5"/>
        <v/>
      </c>
      <c r="AO54" s="237"/>
      <c r="AP54" s="234"/>
      <c r="AQ54" s="234"/>
      <c r="AR54" s="234"/>
      <c r="AS54" s="236" t="str">
        <f t="shared" si="6"/>
        <v/>
      </c>
      <c r="AT54" s="150" t="str">
        <f t="shared" si="22"/>
        <v/>
      </c>
      <c r="AU54" s="165"/>
      <c r="AV54" s="125"/>
      <c r="AW54" s="125"/>
      <c r="AX54" s="127"/>
      <c r="AY54" s="198" t="str">
        <f t="shared" si="7"/>
        <v/>
      </c>
      <c r="AZ54" s="40"/>
      <c r="BA54" s="37"/>
      <c r="BB54" s="37"/>
      <c r="BC54" s="37"/>
      <c r="BD54" s="61" t="str">
        <f t="shared" si="8"/>
        <v/>
      </c>
      <c r="BE54" s="61" t="str">
        <f t="shared" si="0"/>
        <v/>
      </c>
      <c r="BF54" s="61" t="str">
        <f t="shared" si="1"/>
        <v/>
      </c>
      <c r="BG54" s="61" t="str">
        <f t="shared" si="2"/>
        <v/>
      </c>
      <c r="BH54" s="61" t="str">
        <f t="shared" si="9"/>
        <v/>
      </c>
      <c r="BI54" s="134"/>
      <c r="BJ54" s="134"/>
      <c r="BK54" s="138"/>
      <c r="BL54" s="134"/>
      <c r="BM54" s="136" t="str">
        <f t="shared" si="10"/>
        <v/>
      </c>
      <c r="BN54" s="137"/>
      <c r="BO54" s="63" t="str">
        <f t="shared" si="11"/>
        <v/>
      </c>
      <c r="BP54" s="339" t="str">
        <f t="shared" si="12"/>
        <v/>
      </c>
      <c r="BQ54" s="63" t="str">
        <f t="shared" si="23"/>
        <v/>
      </c>
      <c r="BR54" s="64" t="str">
        <f t="shared" si="13"/>
        <v/>
      </c>
      <c r="BS54" s="160"/>
      <c r="BT54" s="169" t="str">
        <f t="shared" si="14"/>
        <v/>
      </c>
      <c r="BU54" s="36"/>
      <c r="BV54" s="37"/>
      <c r="BW54" s="37"/>
      <c r="BX54" s="37"/>
      <c r="BY54" s="125"/>
      <c r="BZ54" s="69" t="str">
        <f t="shared" si="15"/>
        <v/>
      </c>
      <c r="CA54" s="129"/>
      <c r="CB54" s="129"/>
      <c r="CC54" s="153" t="str">
        <f t="shared" si="16"/>
        <v/>
      </c>
      <c r="CD54" s="203" t="str">
        <f t="shared" si="17"/>
        <v/>
      </c>
      <c r="CE54" s="154" t="str">
        <f t="shared" si="18"/>
        <v/>
      </c>
      <c r="CF54" s="70" t="str">
        <f t="shared" si="19"/>
        <v/>
      </c>
      <c r="CG54" s="71" t="str">
        <f t="shared" si="24"/>
        <v/>
      </c>
      <c r="CH54" s="160"/>
      <c r="CI54" s="28"/>
      <c r="CJ54" s="171"/>
      <c r="CK54" s="271"/>
      <c r="CL54" s="275" t="str">
        <f t="shared" si="20"/>
        <v/>
      </c>
      <c r="CM54" s="275" t="str">
        <f t="shared" si="21"/>
        <v/>
      </c>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c r="HF54" s="3"/>
      <c r="HG54" s="3"/>
      <c r="HH54" s="3"/>
      <c r="HI54" s="3"/>
      <c r="HJ54" s="3"/>
      <c r="HK54" s="3"/>
      <c r="HL54" s="3"/>
      <c r="HM54" s="3"/>
      <c r="HN54" s="3"/>
      <c r="HO54" s="3"/>
      <c r="HP54" s="3"/>
      <c r="HQ54" s="3"/>
      <c r="HR54" s="3"/>
      <c r="HS54" s="3"/>
      <c r="HT54" s="3"/>
      <c r="HU54" s="3"/>
      <c r="HV54" s="3"/>
      <c r="HW54" s="3"/>
      <c r="HX54" s="3"/>
      <c r="HY54" s="3"/>
      <c r="HZ54" s="3"/>
      <c r="IA54" s="3"/>
      <c r="IB54" s="3"/>
      <c r="IC54" s="3"/>
      <c r="ID54" s="3"/>
      <c r="IE54" s="3"/>
      <c r="IF54" s="3"/>
      <c r="IG54" s="3"/>
      <c r="IH54" s="3"/>
      <c r="II54" s="3"/>
      <c r="IJ54" s="3"/>
      <c r="IK54" s="3"/>
      <c r="IL54" s="3"/>
      <c r="IM54" s="3"/>
      <c r="IN54" s="3"/>
      <c r="IO54" s="3"/>
      <c r="IP54" s="3"/>
      <c r="IQ54" s="3"/>
      <c r="IR54" s="3"/>
      <c r="IS54" s="3"/>
      <c r="IT54" s="3"/>
      <c r="IU54" s="3"/>
    </row>
    <row r="55" spans="1:255" x14ac:dyDescent="0.2">
      <c r="A55" s="256" t="str">
        <f t="shared" si="3"/>
        <v/>
      </c>
      <c r="B55" s="24"/>
      <c r="C55" s="24"/>
      <c r="D55" s="24"/>
      <c r="E55" s="24"/>
      <c r="F55" s="24"/>
      <c r="G55" s="25"/>
      <c r="H55" s="25"/>
      <c r="I55" s="26"/>
      <c r="J55" s="27"/>
      <c r="K55" s="219"/>
      <c r="L55" s="220"/>
      <c r="M55" s="48"/>
      <c r="N55" s="37"/>
      <c r="O55" s="37"/>
      <c r="P55" s="37"/>
      <c r="Q55" s="37"/>
      <c r="R55" s="224"/>
      <c r="S55" s="224"/>
      <c r="T55" s="224"/>
      <c r="U55" s="59" t="str">
        <f t="shared" si="25"/>
        <v/>
      </c>
      <c r="V55" s="40"/>
      <c r="W55" s="37"/>
      <c r="X55" s="227"/>
      <c r="Y55" s="101"/>
      <c r="Z55" s="104"/>
      <c r="AA55" s="227"/>
      <c r="AB55" s="210" t="str">
        <f t="shared" si="4"/>
        <v/>
      </c>
      <c r="AC55" s="86"/>
      <c r="AD55" s="157"/>
      <c r="AE55" s="36"/>
      <c r="AF55" s="37"/>
      <c r="AG55" s="37"/>
      <c r="AH55" s="37"/>
      <c r="AI55" s="48"/>
      <c r="AJ55" s="233"/>
      <c r="AK55" s="234"/>
      <c r="AL55" s="234"/>
      <c r="AM55" s="234"/>
      <c r="AN55" s="236" t="str">
        <f t="shared" si="5"/>
        <v/>
      </c>
      <c r="AO55" s="237"/>
      <c r="AP55" s="234"/>
      <c r="AQ55" s="234"/>
      <c r="AR55" s="234"/>
      <c r="AS55" s="236" t="str">
        <f t="shared" si="6"/>
        <v/>
      </c>
      <c r="AT55" s="150" t="str">
        <f t="shared" si="22"/>
        <v/>
      </c>
      <c r="AU55" s="165"/>
      <c r="AV55" s="125"/>
      <c r="AW55" s="125"/>
      <c r="AX55" s="127"/>
      <c r="AY55" s="198" t="str">
        <f t="shared" si="7"/>
        <v/>
      </c>
      <c r="AZ55" s="40"/>
      <c r="BA55" s="37"/>
      <c r="BB55" s="37"/>
      <c r="BC55" s="37"/>
      <c r="BD55" s="61" t="str">
        <f t="shared" si="8"/>
        <v/>
      </c>
      <c r="BE55" s="61" t="str">
        <f t="shared" si="0"/>
        <v/>
      </c>
      <c r="BF55" s="61" t="str">
        <f t="shared" si="1"/>
        <v/>
      </c>
      <c r="BG55" s="61" t="str">
        <f t="shared" si="2"/>
        <v/>
      </c>
      <c r="BH55" s="61" t="str">
        <f t="shared" si="9"/>
        <v/>
      </c>
      <c r="BI55" s="134"/>
      <c r="BJ55" s="134"/>
      <c r="BK55" s="138"/>
      <c r="BL55" s="134"/>
      <c r="BM55" s="136" t="str">
        <f t="shared" si="10"/>
        <v/>
      </c>
      <c r="BN55" s="137"/>
      <c r="BO55" s="63" t="str">
        <f t="shared" si="11"/>
        <v/>
      </c>
      <c r="BP55" s="339" t="str">
        <f t="shared" si="12"/>
        <v/>
      </c>
      <c r="BQ55" s="63" t="str">
        <f t="shared" si="23"/>
        <v/>
      </c>
      <c r="BR55" s="64" t="str">
        <f t="shared" si="13"/>
        <v/>
      </c>
      <c r="BS55" s="160"/>
      <c r="BT55" s="169" t="str">
        <f t="shared" si="14"/>
        <v/>
      </c>
      <c r="BU55" s="36"/>
      <c r="BV55" s="37"/>
      <c r="BW55" s="37"/>
      <c r="BX55" s="37"/>
      <c r="BY55" s="125"/>
      <c r="BZ55" s="69" t="str">
        <f t="shared" si="15"/>
        <v/>
      </c>
      <c r="CA55" s="129"/>
      <c r="CB55" s="129"/>
      <c r="CC55" s="153" t="str">
        <f t="shared" si="16"/>
        <v/>
      </c>
      <c r="CD55" s="203" t="str">
        <f t="shared" si="17"/>
        <v/>
      </c>
      <c r="CE55" s="154" t="str">
        <f t="shared" si="18"/>
        <v/>
      </c>
      <c r="CF55" s="70" t="str">
        <f t="shared" si="19"/>
        <v/>
      </c>
      <c r="CG55" s="71" t="str">
        <f t="shared" si="24"/>
        <v/>
      </c>
      <c r="CH55" s="160"/>
      <c r="CI55" s="31"/>
      <c r="CJ55" s="170"/>
      <c r="CK55" s="270"/>
      <c r="CL55" s="275" t="str">
        <f t="shared" si="20"/>
        <v/>
      </c>
      <c r="CM55" s="275" t="str">
        <f t="shared" si="21"/>
        <v/>
      </c>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c r="HF55" s="3"/>
      <c r="HG55" s="3"/>
      <c r="HH55" s="3"/>
      <c r="HI55" s="3"/>
      <c r="HJ55" s="3"/>
      <c r="HK55" s="3"/>
      <c r="HL55" s="3"/>
      <c r="HM55" s="3"/>
      <c r="HN55" s="3"/>
      <c r="HO55" s="3"/>
      <c r="HP55" s="3"/>
      <c r="HQ55" s="3"/>
      <c r="HR55" s="3"/>
      <c r="HS55" s="3"/>
      <c r="HT55" s="3"/>
      <c r="HU55" s="3"/>
      <c r="HV55" s="3"/>
      <c r="HW55" s="3"/>
      <c r="HX55" s="3"/>
      <c r="HY55" s="3"/>
      <c r="HZ55" s="3"/>
      <c r="IA55" s="3"/>
      <c r="IB55" s="3"/>
      <c r="IC55" s="3"/>
      <c r="ID55" s="3"/>
      <c r="IE55" s="3"/>
      <c r="IF55" s="3"/>
      <c r="IG55" s="3"/>
      <c r="IH55" s="3"/>
      <c r="II55" s="3"/>
      <c r="IJ55" s="3"/>
      <c r="IK55" s="3"/>
      <c r="IL55" s="3"/>
      <c r="IM55" s="3"/>
      <c r="IN55" s="3"/>
      <c r="IO55" s="3"/>
      <c r="IP55" s="3"/>
      <c r="IQ55" s="3"/>
      <c r="IR55" s="3"/>
      <c r="IS55" s="3"/>
      <c r="IT55" s="3"/>
      <c r="IU55" s="3"/>
    </row>
    <row r="56" spans="1:255" x14ac:dyDescent="0.2">
      <c r="A56" s="256" t="str">
        <f t="shared" si="3"/>
        <v/>
      </c>
      <c r="B56" s="24"/>
      <c r="C56" s="24"/>
      <c r="D56" s="24"/>
      <c r="E56" s="24"/>
      <c r="F56" s="24"/>
      <c r="G56" s="25"/>
      <c r="H56" s="25"/>
      <c r="I56" s="26"/>
      <c r="J56" s="27"/>
      <c r="K56" s="219"/>
      <c r="L56" s="220"/>
      <c r="M56" s="48"/>
      <c r="N56" s="37"/>
      <c r="O56" s="37"/>
      <c r="P56" s="37"/>
      <c r="Q56" s="37"/>
      <c r="R56" s="224"/>
      <c r="S56" s="224"/>
      <c r="T56" s="224"/>
      <c r="U56" s="59" t="str">
        <f t="shared" si="25"/>
        <v/>
      </c>
      <c r="V56" s="40"/>
      <c r="W56" s="37"/>
      <c r="X56" s="227"/>
      <c r="Y56" s="101"/>
      <c r="Z56" s="104"/>
      <c r="AA56" s="227"/>
      <c r="AB56" s="210" t="str">
        <f t="shared" si="4"/>
        <v/>
      </c>
      <c r="AC56" s="86"/>
      <c r="AD56" s="157"/>
      <c r="AE56" s="36"/>
      <c r="AF56" s="37"/>
      <c r="AG56" s="37"/>
      <c r="AH56" s="37"/>
      <c r="AI56" s="48"/>
      <c r="AJ56" s="233"/>
      <c r="AK56" s="234"/>
      <c r="AL56" s="234"/>
      <c r="AM56" s="234"/>
      <c r="AN56" s="236" t="str">
        <f t="shared" si="5"/>
        <v/>
      </c>
      <c r="AO56" s="237"/>
      <c r="AP56" s="234"/>
      <c r="AQ56" s="234"/>
      <c r="AR56" s="234"/>
      <c r="AS56" s="236" t="str">
        <f t="shared" si="6"/>
        <v/>
      </c>
      <c r="AT56" s="150" t="str">
        <f t="shared" si="22"/>
        <v/>
      </c>
      <c r="AU56" s="165"/>
      <c r="AV56" s="125"/>
      <c r="AW56" s="125"/>
      <c r="AX56" s="127"/>
      <c r="AY56" s="198" t="str">
        <f t="shared" si="7"/>
        <v/>
      </c>
      <c r="AZ56" s="40"/>
      <c r="BA56" s="37"/>
      <c r="BB56" s="37"/>
      <c r="BC56" s="37"/>
      <c r="BD56" s="61" t="str">
        <f t="shared" si="8"/>
        <v/>
      </c>
      <c r="BE56" s="61" t="str">
        <f t="shared" si="0"/>
        <v/>
      </c>
      <c r="BF56" s="61" t="str">
        <f t="shared" si="1"/>
        <v/>
      </c>
      <c r="BG56" s="61" t="str">
        <f t="shared" si="2"/>
        <v/>
      </c>
      <c r="BH56" s="61" t="str">
        <f t="shared" si="9"/>
        <v/>
      </c>
      <c r="BI56" s="134"/>
      <c r="BJ56" s="134"/>
      <c r="BK56" s="138"/>
      <c r="BL56" s="134"/>
      <c r="BM56" s="136" t="str">
        <f t="shared" si="10"/>
        <v/>
      </c>
      <c r="BN56" s="137"/>
      <c r="BO56" s="63" t="str">
        <f t="shared" si="11"/>
        <v/>
      </c>
      <c r="BP56" s="339" t="str">
        <f t="shared" si="12"/>
        <v/>
      </c>
      <c r="BQ56" s="63" t="str">
        <f t="shared" si="23"/>
        <v/>
      </c>
      <c r="BR56" s="64" t="str">
        <f t="shared" si="13"/>
        <v/>
      </c>
      <c r="BS56" s="160"/>
      <c r="BT56" s="169" t="str">
        <f t="shared" si="14"/>
        <v/>
      </c>
      <c r="BU56" s="36"/>
      <c r="BV56" s="37"/>
      <c r="BW56" s="37"/>
      <c r="BX56" s="37"/>
      <c r="BY56" s="125"/>
      <c r="BZ56" s="69" t="str">
        <f t="shared" si="15"/>
        <v/>
      </c>
      <c r="CA56" s="129"/>
      <c r="CB56" s="129"/>
      <c r="CC56" s="153" t="str">
        <f t="shared" si="16"/>
        <v/>
      </c>
      <c r="CD56" s="203" t="str">
        <f t="shared" si="17"/>
        <v/>
      </c>
      <c r="CE56" s="154" t="str">
        <f t="shared" si="18"/>
        <v/>
      </c>
      <c r="CF56" s="70" t="str">
        <f t="shared" si="19"/>
        <v/>
      </c>
      <c r="CG56" s="71" t="str">
        <f t="shared" si="24"/>
        <v/>
      </c>
      <c r="CH56" s="160"/>
      <c r="CI56" s="28"/>
      <c r="CJ56" s="171"/>
      <c r="CK56" s="271"/>
      <c r="CL56" s="275" t="str">
        <f t="shared" si="20"/>
        <v/>
      </c>
      <c r="CM56" s="275" t="str">
        <f t="shared" si="21"/>
        <v/>
      </c>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c r="HF56" s="3"/>
      <c r="HG56" s="3"/>
      <c r="HH56" s="3"/>
      <c r="HI56" s="3"/>
      <c r="HJ56" s="3"/>
      <c r="HK56" s="3"/>
      <c r="HL56" s="3"/>
      <c r="HM56" s="3"/>
      <c r="HN56" s="3"/>
      <c r="HO56" s="3"/>
      <c r="HP56" s="3"/>
      <c r="HQ56" s="3"/>
      <c r="HR56" s="3"/>
      <c r="HS56" s="3"/>
      <c r="HT56" s="3"/>
      <c r="HU56" s="3"/>
      <c r="HV56" s="3"/>
      <c r="HW56" s="3"/>
      <c r="HX56" s="3"/>
      <c r="HY56" s="3"/>
      <c r="HZ56" s="3"/>
      <c r="IA56" s="3"/>
      <c r="IB56" s="3"/>
      <c r="IC56" s="3"/>
      <c r="ID56" s="3"/>
      <c r="IE56" s="3"/>
      <c r="IF56" s="3"/>
      <c r="IG56" s="3"/>
      <c r="IH56" s="3"/>
      <c r="II56" s="3"/>
      <c r="IJ56" s="3"/>
      <c r="IK56" s="3"/>
      <c r="IL56" s="3"/>
      <c r="IM56" s="3"/>
      <c r="IN56" s="3"/>
      <c r="IO56" s="3"/>
      <c r="IP56" s="3"/>
      <c r="IQ56" s="3"/>
      <c r="IR56" s="3"/>
      <c r="IS56" s="3"/>
      <c r="IT56" s="3"/>
      <c r="IU56" s="3"/>
    </row>
    <row r="57" spans="1:255" x14ac:dyDescent="0.2">
      <c r="A57" s="256" t="str">
        <f t="shared" si="3"/>
        <v/>
      </c>
      <c r="B57" s="24"/>
      <c r="C57" s="24"/>
      <c r="D57" s="24"/>
      <c r="E57" s="24"/>
      <c r="F57" s="24"/>
      <c r="G57" s="25"/>
      <c r="H57" s="25"/>
      <c r="I57" s="26"/>
      <c r="J57" s="27"/>
      <c r="K57" s="219"/>
      <c r="L57" s="220"/>
      <c r="M57" s="48"/>
      <c r="N57" s="37"/>
      <c r="O57" s="37"/>
      <c r="P57" s="37"/>
      <c r="Q57" s="37"/>
      <c r="R57" s="224"/>
      <c r="S57" s="224"/>
      <c r="T57" s="224"/>
      <c r="U57" s="59" t="str">
        <f t="shared" si="25"/>
        <v/>
      </c>
      <c r="V57" s="40"/>
      <c r="W57" s="37"/>
      <c r="X57" s="227"/>
      <c r="Y57" s="101"/>
      <c r="Z57" s="104"/>
      <c r="AA57" s="227"/>
      <c r="AB57" s="210" t="str">
        <f t="shared" si="4"/>
        <v/>
      </c>
      <c r="AC57" s="86"/>
      <c r="AD57" s="157"/>
      <c r="AE57" s="36"/>
      <c r="AF57" s="37"/>
      <c r="AG57" s="37"/>
      <c r="AH57" s="37"/>
      <c r="AI57" s="48"/>
      <c r="AJ57" s="233"/>
      <c r="AK57" s="234"/>
      <c r="AL57" s="234"/>
      <c r="AM57" s="234"/>
      <c r="AN57" s="236" t="str">
        <f t="shared" si="5"/>
        <v/>
      </c>
      <c r="AO57" s="237"/>
      <c r="AP57" s="234"/>
      <c r="AQ57" s="234"/>
      <c r="AR57" s="234"/>
      <c r="AS57" s="236" t="str">
        <f t="shared" si="6"/>
        <v/>
      </c>
      <c r="AT57" s="150" t="str">
        <f t="shared" si="22"/>
        <v/>
      </c>
      <c r="AU57" s="165"/>
      <c r="AV57" s="125"/>
      <c r="AW57" s="125"/>
      <c r="AX57" s="127"/>
      <c r="AY57" s="198" t="str">
        <f t="shared" si="7"/>
        <v/>
      </c>
      <c r="AZ57" s="40"/>
      <c r="BA57" s="37"/>
      <c r="BB57" s="37"/>
      <c r="BC57" s="37"/>
      <c r="BD57" s="61" t="str">
        <f t="shared" si="8"/>
        <v/>
      </c>
      <c r="BE57" s="61" t="str">
        <f t="shared" si="0"/>
        <v/>
      </c>
      <c r="BF57" s="61" t="str">
        <f t="shared" si="1"/>
        <v/>
      </c>
      <c r="BG57" s="61" t="str">
        <f t="shared" si="2"/>
        <v/>
      </c>
      <c r="BH57" s="61" t="str">
        <f t="shared" si="9"/>
        <v/>
      </c>
      <c r="BI57" s="134"/>
      <c r="BJ57" s="134"/>
      <c r="BK57" s="138"/>
      <c r="BL57" s="134"/>
      <c r="BM57" s="136" t="str">
        <f t="shared" si="10"/>
        <v/>
      </c>
      <c r="BN57" s="137"/>
      <c r="BO57" s="63" t="str">
        <f t="shared" si="11"/>
        <v/>
      </c>
      <c r="BP57" s="339" t="str">
        <f t="shared" si="12"/>
        <v/>
      </c>
      <c r="BQ57" s="63" t="str">
        <f t="shared" si="23"/>
        <v/>
      </c>
      <c r="BR57" s="64" t="str">
        <f t="shared" si="13"/>
        <v/>
      </c>
      <c r="BS57" s="160"/>
      <c r="BT57" s="169" t="str">
        <f t="shared" si="14"/>
        <v/>
      </c>
      <c r="BU57" s="36"/>
      <c r="BV57" s="37"/>
      <c r="BW57" s="37"/>
      <c r="BX57" s="37"/>
      <c r="BY57" s="125"/>
      <c r="BZ57" s="69" t="str">
        <f t="shared" si="15"/>
        <v/>
      </c>
      <c r="CA57" s="129"/>
      <c r="CB57" s="129"/>
      <c r="CC57" s="153" t="str">
        <f t="shared" si="16"/>
        <v/>
      </c>
      <c r="CD57" s="203" t="str">
        <f t="shared" si="17"/>
        <v/>
      </c>
      <c r="CE57" s="154" t="str">
        <f t="shared" si="18"/>
        <v/>
      </c>
      <c r="CF57" s="70" t="str">
        <f t="shared" si="19"/>
        <v/>
      </c>
      <c r="CG57" s="71" t="str">
        <f t="shared" si="24"/>
        <v/>
      </c>
      <c r="CH57" s="160"/>
      <c r="CI57" s="28"/>
      <c r="CJ57" s="171"/>
      <c r="CK57" s="271"/>
      <c r="CL57" s="275" t="str">
        <f t="shared" si="20"/>
        <v/>
      </c>
      <c r="CM57" s="275" t="str">
        <f t="shared" si="21"/>
        <v/>
      </c>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c r="HF57" s="3"/>
      <c r="HG57" s="3"/>
      <c r="HH57" s="3"/>
      <c r="HI57" s="3"/>
      <c r="HJ57" s="3"/>
      <c r="HK57" s="3"/>
      <c r="HL57" s="3"/>
      <c r="HM57" s="3"/>
      <c r="HN57" s="3"/>
      <c r="HO57" s="3"/>
      <c r="HP57" s="3"/>
      <c r="HQ57" s="3"/>
      <c r="HR57" s="3"/>
      <c r="HS57" s="3"/>
      <c r="HT57" s="3"/>
      <c r="HU57" s="3"/>
      <c r="HV57" s="3"/>
      <c r="HW57" s="3"/>
      <c r="HX57" s="3"/>
      <c r="HY57" s="3"/>
      <c r="HZ57" s="3"/>
      <c r="IA57" s="3"/>
      <c r="IB57" s="3"/>
      <c r="IC57" s="3"/>
      <c r="ID57" s="3"/>
      <c r="IE57" s="3"/>
      <c r="IF57" s="3"/>
      <c r="IG57" s="3"/>
      <c r="IH57" s="3"/>
      <c r="II57" s="3"/>
      <c r="IJ57" s="3"/>
      <c r="IK57" s="3"/>
      <c r="IL57" s="3"/>
      <c r="IM57" s="3"/>
      <c r="IN57" s="3"/>
      <c r="IO57" s="3"/>
      <c r="IP57" s="3"/>
      <c r="IQ57" s="3"/>
      <c r="IR57" s="3"/>
      <c r="IS57" s="3"/>
      <c r="IT57" s="3"/>
      <c r="IU57" s="3"/>
    </row>
    <row r="58" spans="1:255" x14ac:dyDescent="0.2">
      <c r="A58" s="256" t="str">
        <f t="shared" si="3"/>
        <v/>
      </c>
      <c r="B58" s="24"/>
      <c r="C58" s="24"/>
      <c r="D58" s="24"/>
      <c r="E58" s="24"/>
      <c r="F58" s="24"/>
      <c r="G58" s="25"/>
      <c r="H58" s="25"/>
      <c r="I58" s="26"/>
      <c r="J58" s="27"/>
      <c r="K58" s="219"/>
      <c r="L58" s="220"/>
      <c r="M58" s="48"/>
      <c r="N58" s="37"/>
      <c r="O58" s="37"/>
      <c r="P58" s="37"/>
      <c r="Q58" s="37"/>
      <c r="R58" s="224"/>
      <c r="S58" s="224"/>
      <c r="T58" s="224"/>
      <c r="U58" s="59" t="str">
        <f t="shared" si="25"/>
        <v/>
      </c>
      <c r="V58" s="40"/>
      <c r="W58" s="37"/>
      <c r="X58" s="227"/>
      <c r="Y58" s="101"/>
      <c r="Z58" s="104"/>
      <c r="AA58" s="227"/>
      <c r="AB58" s="210" t="str">
        <f t="shared" si="4"/>
        <v/>
      </c>
      <c r="AC58" s="86"/>
      <c r="AD58" s="157"/>
      <c r="AE58" s="36"/>
      <c r="AF58" s="37"/>
      <c r="AG58" s="37"/>
      <c r="AH58" s="37"/>
      <c r="AI58" s="48"/>
      <c r="AJ58" s="233"/>
      <c r="AK58" s="234"/>
      <c r="AL58" s="234"/>
      <c r="AM58" s="234"/>
      <c r="AN58" s="236" t="str">
        <f t="shared" si="5"/>
        <v/>
      </c>
      <c r="AO58" s="237"/>
      <c r="AP58" s="234"/>
      <c r="AQ58" s="234"/>
      <c r="AR58" s="234"/>
      <c r="AS58" s="236" t="str">
        <f t="shared" si="6"/>
        <v/>
      </c>
      <c r="AT58" s="150" t="str">
        <f t="shared" si="22"/>
        <v/>
      </c>
      <c r="AU58" s="165"/>
      <c r="AV58" s="125"/>
      <c r="AW58" s="125"/>
      <c r="AX58" s="127"/>
      <c r="AY58" s="198" t="str">
        <f t="shared" si="7"/>
        <v/>
      </c>
      <c r="AZ58" s="40"/>
      <c r="BA58" s="37"/>
      <c r="BB58" s="37"/>
      <c r="BC58" s="37"/>
      <c r="BD58" s="61" t="str">
        <f t="shared" si="8"/>
        <v/>
      </c>
      <c r="BE58" s="61" t="str">
        <f t="shared" si="0"/>
        <v/>
      </c>
      <c r="BF58" s="61" t="str">
        <f t="shared" si="1"/>
        <v/>
      </c>
      <c r="BG58" s="61" t="str">
        <f t="shared" si="2"/>
        <v/>
      </c>
      <c r="BH58" s="61" t="str">
        <f t="shared" si="9"/>
        <v/>
      </c>
      <c r="BI58" s="134"/>
      <c r="BJ58" s="134"/>
      <c r="BK58" s="138"/>
      <c r="BL58" s="134"/>
      <c r="BM58" s="136" t="str">
        <f t="shared" si="10"/>
        <v/>
      </c>
      <c r="BN58" s="137"/>
      <c r="BO58" s="63" t="str">
        <f t="shared" si="11"/>
        <v/>
      </c>
      <c r="BP58" s="339" t="str">
        <f t="shared" si="12"/>
        <v/>
      </c>
      <c r="BQ58" s="63" t="str">
        <f t="shared" si="23"/>
        <v/>
      </c>
      <c r="BR58" s="64" t="str">
        <f t="shared" si="13"/>
        <v/>
      </c>
      <c r="BS58" s="160"/>
      <c r="BT58" s="169" t="str">
        <f t="shared" si="14"/>
        <v/>
      </c>
      <c r="BU58" s="36"/>
      <c r="BV58" s="37"/>
      <c r="BW58" s="37"/>
      <c r="BX58" s="37"/>
      <c r="BY58" s="125"/>
      <c r="BZ58" s="69" t="str">
        <f t="shared" si="15"/>
        <v/>
      </c>
      <c r="CA58" s="129"/>
      <c r="CB58" s="129"/>
      <c r="CC58" s="153" t="str">
        <f t="shared" si="16"/>
        <v/>
      </c>
      <c r="CD58" s="203" t="str">
        <f t="shared" si="17"/>
        <v/>
      </c>
      <c r="CE58" s="154" t="str">
        <f t="shared" si="18"/>
        <v/>
      </c>
      <c r="CF58" s="70" t="str">
        <f t="shared" si="19"/>
        <v/>
      </c>
      <c r="CG58" s="71" t="str">
        <f t="shared" si="24"/>
        <v/>
      </c>
      <c r="CH58" s="160"/>
      <c r="CI58" s="28"/>
      <c r="CJ58" s="171"/>
      <c r="CK58" s="271"/>
      <c r="CL58" s="275" t="str">
        <f t="shared" si="20"/>
        <v/>
      </c>
      <c r="CM58" s="275" t="str">
        <f t="shared" si="21"/>
        <v/>
      </c>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c r="HF58" s="3"/>
      <c r="HG58" s="3"/>
      <c r="HH58" s="3"/>
      <c r="HI58" s="3"/>
      <c r="HJ58" s="3"/>
      <c r="HK58" s="3"/>
      <c r="HL58" s="3"/>
      <c r="HM58" s="3"/>
      <c r="HN58" s="3"/>
      <c r="HO58" s="3"/>
      <c r="HP58" s="3"/>
      <c r="HQ58" s="3"/>
      <c r="HR58" s="3"/>
      <c r="HS58" s="3"/>
      <c r="HT58" s="3"/>
      <c r="HU58" s="3"/>
      <c r="HV58" s="3"/>
      <c r="HW58" s="3"/>
      <c r="HX58" s="3"/>
      <c r="HY58" s="3"/>
      <c r="HZ58" s="3"/>
      <c r="IA58" s="3"/>
      <c r="IB58" s="3"/>
      <c r="IC58" s="3"/>
      <c r="ID58" s="3"/>
      <c r="IE58" s="3"/>
      <c r="IF58" s="3"/>
      <c r="IG58" s="3"/>
      <c r="IH58" s="3"/>
      <c r="II58" s="3"/>
      <c r="IJ58" s="3"/>
      <c r="IK58" s="3"/>
      <c r="IL58" s="3"/>
      <c r="IM58" s="3"/>
      <c r="IN58" s="3"/>
      <c r="IO58" s="3"/>
      <c r="IP58" s="3"/>
      <c r="IQ58" s="3"/>
      <c r="IR58" s="3"/>
      <c r="IS58" s="3"/>
      <c r="IT58" s="3"/>
      <c r="IU58" s="3"/>
    </row>
    <row r="59" spans="1:255" x14ac:dyDescent="0.2">
      <c r="A59" s="256" t="str">
        <f t="shared" si="3"/>
        <v/>
      </c>
      <c r="B59" s="24"/>
      <c r="C59" s="24"/>
      <c r="D59" s="24"/>
      <c r="E59" s="24"/>
      <c r="F59" s="24"/>
      <c r="G59" s="25"/>
      <c r="H59" s="25"/>
      <c r="I59" s="26"/>
      <c r="J59" s="27"/>
      <c r="K59" s="219"/>
      <c r="L59" s="220"/>
      <c r="M59" s="48"/>
      <c r="N59" s="37"/>
      <c r="O59" s="37"/>
      <c r="P59" s="37"/>
      <c r="Q59" s="37"/>
      <c r="R59" s="224"/>
      <c r="S59" s="224"/>
      <c r="T59" s="224"/>
      <c r="U59" s="59" t="str">
        <f t="shared" si="25"/>
        <v/>
      </c>
      <c r="V59" s="40"/>
      <c r="W59" s="37"/>
      <c r="X59" s="227"/>
      <c r="Y59" s="101"/>
      <c r="Z59" s="104"/>
      <c r="AA59" s="227"/>
      <c r="AB59" s="210" t="str">
        <f t="shared" si="4"/>
        <v/>
      </c>
      <c r="AC59" s="86"/>
      <c r="AD59" s="157"/>
      <c r="AE59" s="36"/>
      <c r="AF59" s="37"/>
      <c r="AG59" s="37"/>
      <c r="AH59" s="37"/>
      <c r="AI59" s="48"/>
      <c r="AJ59" s="233"/>
      <c r="AK59" s="234"/>
      <c r="AL59" s="234"/>
      <c r="AM59" s="234"/>
      <c r="AN59" s="236" t="str">
        <f t="shared" si="5"/>
        <v/>
      </c>
      <c r="AO59" s="237"/>
      <c r="AP59" s="234"/>
      <c r="AQ59" s="234"/>
      <c r="AR59" s="234"/>
      <c r="AS59" s="236" t="str">
        <f t="shared" si="6"/>
        <v/>
      </c>
      <c r="AT59" s="150" t="str">
        <f t="shared" si="22"/>
        <v/>
      </c>
      <c r="AU59" s="165"/>
      <c r="AV59" s="125"/>
      <c r="AW59" s="125"/>
      <c r="AX59" s="127"/>
      <c r="AY59" s="198" t="str">
        <f t="shared" si="7"/>
        <v/>
      </c>
      <c r="AZ59" s="40"/>
      <c r="BA59" s="37"/>
      <c r="BB59" s="37"/>
      <c r="BC59" s="37"/>
      <c r="BD59" s="61" t="str">
        <f t="shared" si="8"/>
        <v/>
      </c>
      <c r="BE59" s="61" t="str">
        <f t="shared" si="0"/>
        <v/>
      </c>
      <c r="BF59" s="61" t="str">
        <f t="shared" si="1"/>
        <v/>
      </c>
      <c r="BG59" s="61" t="str">
        <f t="shared" si="2"/>
        <v/>
      </c>
      <c r="BH59" s="61" t="str">
        <f t="shared" si="9"/>
        <v/>
      </c>
      <c r="BI59" s="134"/>
      <c r="BJ59" s="134"/>
      <c r="BK59" s="138"/>
      <c r="BL59" s="134"/>
      <c r="BM59" s="136" t="str">
        <f t="shared" si="10"/>
        <v/>
      </c>
      <c r="BN59" s="137"/>
      <c r="BO59" s="63" t="str">
        <f t="shared" si="11"/>
        <v/>
      </c>
      <c r="BP59" s="339" t="str">
        <f t="shared" si="12"/>
        <v/>
      </c>
      <c r="BQ59" s="63" t="str">
        <f t="shared" si="23"/>
        <v/>
      </c>
      <c r="BR59" s="64" t="str">
        <f t="shared" si="13"/>
        <v/>
      </c>
      <c r="BS59" s="160"/>
      <c r="BT59" s="169" t="str">
        <f t="shared" si="14"/>
        <v/>
      </c>
      <c r="BU59" s="36"/>
      <c r="BV59" s="37"/>
      <c r="BW59" s="37"/>
      <c r="BX59" s="37"/>
      <c r="BY59" s="125"/>
      <c r="BZ59" s="69" t="str">
        <f t="shared" si="15"/>
        <v/>
      </c>
      <c r="CA59" s="129"/>
      <c r="CB59" s="129"/>
      <c r="CC59" s="153" t="str">
        <f t="shared" si="16"/>
        <v/>
      </c>
      <c r="CD59" s="203" t="str">
        <f t="shared" si="17"/>
        <v/>
      </c>
      <c r="CE59" s="154" t="str">
        <f t="shared" si="18"/>
        <v/>
      </c>
      <c r="CF59" s="70" t="str">
        <f t="shared" si="19"/>
        <v/>
      </c>
      <c r="CG59" s="71" t="str">
        <f t="shared" si="24"/>
        <v/>
      </c>
      <c r="CH59" s="160"/>
      <c r="CI59" s="28"/>
      <c r="CJ59" s="171"/>
      <c r="CK59" s="271"/>
      <c r="CL59" s="275" t="str">
        <f t="shared" si="20"/>
        <v/>
      </c>
      <c r="CM59" s="275" t="str">
        <f t="shared" si="21"/>
        <v/>
      </c>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c r="HF59" s="3"/>
      <c r="HG59" s="3"/>
      <c r="HH59" s="3"/>
      <c r="HI59" s="3"/>
      <c r="HJ59" s="3"/>
      <c r="HK59" s="3"/>
      <c r="HL59" s="3"/>
      <c r="HM59" s="3"/>
      <c r="HN59" s="3"/>
      <c r="HO59" s="3"/>
      <c r="HP59" s="3"/>
      <c r="HQ59" s="3"/>
      <c r="HR59" s="3"/>
      <c r="HS59" s="3"/>
      <c r="HT59" s="3"/>
      <c r="HU59" s="3"/>
      <c r="HV59" s="3"/>
      <c r="HW59" s="3"/>
      <c r="HX59" s="3"/>
      <c r="HY59" s="3"/>
      <c r="HZ59" s="3"/>
      <c r="IA59" s="3"/>
      <c r="IB59" s="3"/>
      <c r="IC59" s="3"/>
      <c r="ID59" s="3"/>
      <c r="IE59" s="3"/>
      <c r="IF59" s="3"/>
      <c r="IG59" s="3"/>
      <c r="IH59" s="3"/>
      <c r="II59" s="3"/>
      <c r="IJ59" s="3"/>
      <c r="IK59" s="3"/>
      <c r="IL59" s="3"/>
      <c r="IM59" s="3"/>
      <c r="IN59" s="3"/>
      <c r="IO59" s="3"/>
      <c r="IP59" s="3"/>
      <c r="IQ59" s="3"/>
      <c r="IR59" s="3"/>
      <c r="IS59" s="3"/>
      <c r="IT59" s="3"/>
      <c r="IU59" s="3"/>
    </row>
    <row r="60" spans="1:255" x14ac:dyDescent="0.2">
      <c r="A60" s="256" t="str">
        <f t="shared" si="3"/>
        <v/>
      </c>
      <c r="B60" s="24"/>
      <c r="C60" s="24"/>
      <c r="D60" s="24"/>
      <c r="E60" s="24"/>
      <c r="F60" s="24"/>
      <c r="G60" s="25"/>
      <c r="H60" s="25"/>
      <c r="I60" s="26"/>
      <c r="J60" s="27"/>
      <c r="K60" s="219"/>
      <c r="L60" s="220"/>
      <c r="M60" s="48"/>
      <c r="N60" s="37"/>
      <c r="O60" s="37"/>
      <c r="P60" s="37"/>
      <c r="Q60" s="37"/>
      <c r="R60" s="224"/>
      <c r="S60" s="224"/>
      <c r="T60" s="224"/>
      <c r="U60" s="59" t="str">
        <f t="shared" si="25"/>
        <v/>
      </c>
      <c r="V60" s="40"/>
      <c r="W60" s="37"/>
      <c r="X60" s="227"/>
      <c r="Y60" s="101"/>
      <c r="Z60" s="104"/>
      <c r="AA60" s="227"/>
      <c r="AB60" s="210" t="str">
        <f t="shared" si="4"/>
        <v/>
      </c>
      <c r="AC60" s="86"/>
      <c r="AD60" s="157"/>
      <c r="AE60" s="36"/>
      <c r="AF60" s="37"/>
      <c r="AG60" s="37"/>
      <c r="AH60" s="37"/>
      <c r="AI60" s="48"/>
      <c r="AJ60" s="233"/>
      <c r="AK60" s="234"/>
      <c r="AL60" s="234"/>
      <c r="AM60" s="234"/>
      <c r="AN60" s="236" t="str">
        <f t="shared" si="5"/>
        <v/>
      </c>
      <c r="AO60" s="237"/>
      <c r="AP60" s="234"/>
      <c r="AQ60" s="234"/>
      <c r="AR60" s="234"/>
      <c r="AS60" s="236" t="str">
        <f t="shared" si="6"/>
        <v/>
      </c>
      <c r="AT60" s="150" t="str">
        <f t="shared" si="22"/>
        <v/>
      </c>
      <c r="AU60" s="165"/>
      <c r="AV60" s="125"/>
      <c r="AW60" s="125"/>
      <c r="AX60" s="127"/>
      <c r="AY60" s="198" t="str">
        <f t="shared" si="7"/>
        <v/>
      </c>
      <c r="AZ60" s="40"/>
      <c r="BA60" s="37"/>
      <c r="BB60" s="37"/>
      <c r="BC60" s="37"/>
      <c r="BD60" s="61" t="str">
        <f t="shared" si="8"/>
        <v/>
      </c>
      <c r="BE60" s="61" t="str">
        <f t="shared" si="0"/>
        <v/>
      </c>
      <c r="BF60" s="61" t="str">
        <f t="shared" si="1"/>
        <v/>
      </c>
      <c r="BG60" s="61" t="str">
        <f t="shared" si="2"/>
        <v/>
      </c>
      <c r="BH60" s="61" t="str">
        <f t="shared" si="9"/>
        <v/>
      </c>
      <c r="BI60" s="134"/>
      <c r="BJ60" s="134"/>
      <c r="BK60" s="138"/>
      <c r="BL60" s="134"/>
      <c r="BM60" s="136" t="str">
        <f t="shared" si="10"/>
        <v/>
      </c>
      <c r="BN60" s="137"/>
      <c r="BO60" s="63" t="str">
        <f t="shared" si="11"/>
        <v/>
      </c>
      <c r="BP60" s="339" t="str">
        <f t="shared" si="12"/>
        <v/>
      </c>
      <c r="BQ60" s="63" t="str">
        <f t="shared" si="23"/>
        <v/>
      </c>
      <c r="BR60" s="64" t="str">
        <f t="shared" si="13"/>
        <v/>
      </c>
      <c r="BS60" s="160"/>
      <c r="BT60" s="169" t="str">
        <f t="shared" si="14"/>
        <v/>
      </c>
      <c r="BU60" s="36"/>
      <c r="BV60" s="37"/>
      <c r="BW60" s="37"/>
      <c r="BX60" s="37"/>
      <c r="BY60" s="125"/>
      <c r="BZ60" s="69" t="str">
        <f t="shared" si="15"/>
        <v/>
      </c>
      <c r="CA60" s="129"/>
      <c r="CB60" s="129"/>
      <c r="CC60" s="153" t="str">
        <f t="shared" si="16"/>
        <v/>
      </c>
      <c r="CD60" s="203" t="str">
        <f t="shared" si="17"/>
        <v/>
      </c>
      <c r="CE60" s="154" t="str">
        <f t="shared" si="18"/>
        <v/>
      </c>
      <c r="CF60" s="70" t="str">
        <f t="shared" si="19"/>
        <v/>
      </c>
      <c r="CG60" s="71" t="str">
        <f t="shared" si="24"/>
        <v/>
      </c>
      <c r="CH60" s="160"/>
      <c r="CI60" s="28"/>
      <c r="CJ60" s="171"/>
      <c r="CK60" s="271"/>
      <c r="CL60" s="275" t="str">
        <f t="shared" si="20"/>
        <v/>
      </c>
      <c r="CM60" s="275" t="str">
        <f t="shared" si="21"/>
        <v/>
      </c>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c r="HF60" s="3"/>
      <c r="HG60" s="3"/>
      <c r="HH60" s="3"/>
      <c r="HI60" s="3"/>
      <c r="HJ60" s="3"/>
      <c r="HK60" s="3"/>
      <c r="HL60" s="3"/>
      <c r="HM60" s="3"/>
      <c r="HN60" s="3"/>
      <c r="HO60" s="3"/>
      <c r="HP60" s="3"/>
      <c r="HQ60" s="3"/>
      <c r="HR60" s="3"/>
      <c r="HS60" s="3"/>
      <c r="HT60" s="3"/>
      <c r="HU60" s="3"/>
      <c r="HV60" s="3"/>
      <c r="HW60" s="3"/>
      <c r="HX60" s="3"/>
      <c r="HY60" s="3"/>
      <c r="HZ60" s="3"/>
      <c r="IA60" s="3"/>
      <c r="IB60" s="3"/>
      <c r="IC60" s="3"/>
      <c r="ID60" s="3"/>
      <c r="IE60" s="3"/>
      <c r="IF60" s="3"/>
      <c r="IG60" s="3"/>
      <c r="IH60" s="3"/>
      <c r="II60" s="3"/>
      <c r="IJ60" s="3"/>
      <c r="IK60" s="3"/>
      <c r="IL60" s="3"/>
      <c r="IM60" s="3"/>
      <c r="IN60" s="3"/>
      <c r="IO60" s="3"/>
      <c r="IP60" s="3"/>
      <c r="IQ60" s="3"/>
      <c r="IR60" s="3"/>
      <c r="IS60" s="3"/>
      <c r="IT60" s="3"/>
      <c r="IU60" s="3"/>
    </row>
    <row r="61" spans="1:255" x14ac:dyDescent="0.2">
      <c r="A61" s="256" t="str">
        <f t="shared" si="3"/>
        <v/>
      </c>
      <c r="B61" s="24"/>
      <c r="C61" s="24"/>
      <c r="D61" s="24"/>
      <c r="E61" s="24"/>
      <c r="F61" s="24"/>
      <c r="G61" s="25"/>
      <c r="H61" s="25"/>
      <c r="I61" s="26"/>
      <c r="J61" s="27"/>
      <c r="K61" s="219"/>
      <c r="L61" s="220"/>
      <c r="M61" s="48"/>
      <c r="N61" s="37"/>
      <c r="O61" s="37"/>
      <c r="P61" s="37"/>
      <c r="Q61" s="37"/>
      <c r="R61" s="224"/>
      <c r="S61" s="224"/>
      <c r="T61" s="224"/>
      <c r="U61" s="59" t="str">
        <f t="shared" si="25"/>
        <v/>
      </c>
      <c r="V61" s="40"/>
      <c r="W61" s="37"/>
      <c r="X61" s="227"/>
      <c r="Y61" s="101"/>
      <c r="Z61" s="104"/>
      <c r="AA61" s="227"/>
      <c r="AB61" s="210" t="str">
        <f t="shared" si="4"/>
        <v/>
      </c>
      <c r="AC61" s="86"/>
      <c r="AD61" s="157"/>
      <c r="AE61" s="36"/>
      <c r="AF61" s="37"/>
      <c r="AG61" s="37"/>
      <c r="AH61" s="37"/>
      <c r="AI61" s="48"/>
      <c r="AJ61" s="233"/>
      <c r="AK61" s="234"/>
      <c r="AL61" s="234"/>
      <c r="AM61" s="234"/>
      <c r="AN61" s="236" t="str">
        <f t="shared" si="5"/>
        <v/>
      </c>
      <c r="AO61" s="237"/>
      <c r="AP61" s="234"/>
      <c r="AQ61" s="234"/>
      <c r="AR61" s="234"/>
      <c r="AS61" s="236" t="str">
        <f t="shared" si="6"/>
        <v/>
      </c>
      <c r="AT61" s="150" t="str">
        <f t="shared" si="22"/>
        <v/>
      </c>
      <c r="AU61" s="165"/>
      <c r="AV61" s="125"/>
      <c r="AW61" s="125"/>
      <c r="AX61" s="127"/>
      <c r="AY61" s="198" t="str">
        <f t="shared" si="7"/>
        <v/>
      </c>
      <c r="AZ61" s="40"/>
      <c r="BA61" s="37"/>
      <c r="BB61" s="37"/>
      <c r="BC61" s="37"/>
      <c r="BD61" s="61" t="str">
        <f t="shared" si="8"/>
        <v/>
      </c>
      <c r="BE61" s="61" t="str">
        <f t="shared" si="0"/>
        <v/>
      </c>
      <c r="BF61" s="61" t="str">
        <f t="shared" si="1"/>
        <v/>
      </c>
      <c r="BG61" s="61" t="str">
        <f t="shared" si="2"/>
        <v/>
      </c>
      <c r="BH61" s="61" t="str">
        <f t="shared" si="9"/>
        <v/>
      </c>
      <c r="BI61" s="134"/>
      <c r="BJ61" s="134"/>
      <c r="BK61" s="138"/>
      <c r="BL61" s="134"/>
      <c r="BM61" s="136" t="str">
        <f t="shared" si="10"/>
        <v/>
      </c>
      <c r="BN61" s="137"/>
      <c r="BO61" s="63" t="str">
        <f t="shared" si="11"/>
        <v/>
      </c>
      <c r="BP61" s="339" t="str">
        <f t="shared" si="12"/>
        <v/>
      </c>
      <c r="BQ61" s="63" t="str">
        <f t="shared" si="23"/>
        <v/>
      </c>
      <c r="BR61" s="64" t="str">
        <f t="shared" si="13"/>
        <v/>
      </c>
      <c r="BS61" s="160"/>
      <c r="BT61" s="169" t="str">
        <f t="shared" si="14"/>
        <v/>
      </c>
      <c r="BU61" s="36"/>
      <c r="BV61" s="37"/>
      <c r="BW61" s="37"/>
      <c r="BX61" s="37"/>
      <c r="BY61" s="125"/>
      <c r="BZ61" s="69" t="str">
        <f t="shared" si="15"/>
        <v/>
      </c>
      <c r="CA61" s="129"/>
      <c r="CB61" s="129"/>
      <c r="CC61" s="153" t="str">
        <f t="shared" si="16"/>
        <v/>
      </c>
      <c r="CD61" s="203" t="str">
        <f t="shared" si="17"/>
        <v/>
      </c>
      <c r="CE61" s="154" t="str">
        <f t="shared" si="18"/>
        <v/>
      </c>
      <c r="CF61" s="70" t="str">
        <f t="shared" si="19"/>
        <v/>
      </c>
      <c r="CG61" s="71" t="str">
        <f t="shared" si="24"/>
        <v/>
      </c>
      <c r="CH61" s="160"/>
      <c r="CI61" s="28"/>
      <c r="CJ61" s="171"/>
      <c r="CK61" s="271"/>
      <c r="CL61" s="275" t="str">
        <f t="shared" si="20"/>
        <v/>
      </c>
      <c r="CM61" s="275" t="str">
        <f t="shared" si="21"/>
        <v/>
      </c>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c r="HF61" s="3"/>
      <c r="HG61" s="3"/>
      <c r="HH61" s="3"/>
      <c r="HI61" s="3"/>
      <c r="HJ61" s="3"/>
      <c r="HK61" s="3"/>
      <c r="HL61" s="3"/>
      <c r="HM61" s="3"/>
      <c r="HN61" s="3"/>
      <c r="HO61" s="3"/>
      <c r="HP61" s="3"/>
      <c r="HQ61" s="3"/>
      <c r="HR61" s="3"/>
      <c r="HS61" s="3"/>
      <c r="HT61" s="3"/>
      <c r="HU61" s="3"/>
      <c r="HV61" s="3"/>
      <c r="HW61" s="3"/>
      <c r="HX61" s="3"/>
      <c r="HY61" s="3"/>
      <c r="HZ61" s="3"/>
      <c r="IA61" s="3"/>
      <c r="IB61" s="3"/>
      <c r="IC61" s="3"/>
      <c r="ID61" s="3"/>
      <c r="IE61" s="3"/>
      <c r="IF61" s="3"/>
      <c r="IG61" s="3"/>
      <c r="IH61" s="3"/>
      <c r="II61" s="3"/>
      <c r="IJ61" s="3"/>
      <c r="IK61" s="3"/>
      <c r="IL61" s="3"/>
      <c r="IM61" s="3"/>
      <c r="IN61" s="3"/>
      <c r="IO61" s="3"/>
      <c r="IP61" s="3"/>
      <c r="IQ61" s="3"/>
      <c r="IR61" s="3"/>
      <c r="IS61" s="3"/>
      <c r="IT61" s="3"/>
      <c r="IU61" s="3"/>
    </row>
    <row r="62" spans="1:255" x14ac:dyDescent="0.2">
      <c r="A62" s="256" t="str">
        <f t="shared" si="3"/>
        <v/>
      </c>
      <c r="B62" s="24"/>
      <c r="C62" s="24"/>
      <c r="D62" s="24"/>
      <c r="E62" s="24"/>
      <c r="F62" s="24"/>
      <c r="G62" s="25"/>
      <c r="H62" s="25"/>
      <c r="I62" s="26"/>
      <c r="J62" s="27"/>
      <c r="K62" s="219"/>
      <c r="L62" s="220"/>
      <c r="M62" s="48"/>
      <c r="N62" s="37"/>
      <c r="O62" s="37"/>
      <c r="P62" s="37"/>
      <c r="Q62" s="37"/>
      <c r="R62" s="224"/>
      <c r="S62" s="224"/>
      <c r="T62" s="224"/>
      <c r="U62" s="59" t="str">
        <f t="shared" si="25"/>
        <v/>
      </c>
      <c r="V62" s="40"/>
      <c r="W62" s="37"/>
      <c r="X62" s="227"/>
      <c r="Y62" s="101"/>
      <c r="Z62" s="104"/>
      <c r="AA62" s="227"/>
      <c r="AB62" s="210" t="str">
        <f t="shared" si="4"/>
        <v/>
      </c>
      <c r="AC62" s="86"/>
      <c r="AD62" s="157"/>
      <c r="AE62" s="36"/>
      <c r="AF62" s="37"/>
      <c r="AG62" s="37"/>
      <c r="AH62" s="37"/>
      <c r="AI62" s="48"/>
      <c r="AJ62" s="233"/>
      <c r="AK62" s="234"/>
      <c r="AL62" s="234"/>
      <c r="AM62" s="234"/>
      <c r="AN62" s="236" t="str">
        <f t="shared" si="5"/>
        <v/>
      </c>
      <c r="AO62" s="237"/>
      <c r="AP62" s="234"/>
      <c r="AQ62" s="234"/>
      <c r="AR62" s="234"/>
      <c r="AS62" s="236" t="str">
        <f t="shared" si="6"/>
        <v/>
      </c>
      <c r="AT62" s="150" t="str">
        <f t="shared" si="22"/>
        <v/>
      </c>
      <c r="AU62" s="165"/>
      <c r="AV62" s="125"/>
      <c r="AW62" s="125"/>
      <c r="AX62" s="127"/>
      <c r="AY62" s="198" t="str">
        <f t="shared" si="7"/>
        <v/>
      </c>
      <c r="AZ62" s="40"/>
      <c r="BA62" s="37"/>
      <c r="BB62" s="37"/>
      <c r="BC62" s="37"/>
      <c r="BD62" s="61" t="str">
        <f t="shared" si="8"/>
        <v/>
      </c>
      <c r="BE62" s="61" t="str">
        <f t="shared" si="0"/>
        <v/>
      </c>
      <c r="BF62" s="61" t="str">
        <f t="shared" si="1"/>
        <v/>
      </c>
      <c r="BG62" s="61" t="str">
        <f t="shared" si="2"/>
        <v/>
      </c>
      <c r="BH62" s="61" t="str">
        <f t="shared" si="9"/>
        <v/>
      </c>
      <c r="BI62" s="134"/>
      <c r="BJ62" s="134"/>
      <c r="BK62" s="138"/>
      <c r="BL62" s="134"/>
      <c r="BM62" s="136" t="str">
        <f t="shared" si="10"/>
        <v/>
      </c>
      <c r="BN62" s="137"/>
      <c r="BO62" s="63" t="str">
        <f t="shared" si="11"/>
        <v/>
      </c>
      <c r="BP62" s="339" t="str">
        <f t="shared" si="12"/>
        <v/>
      </c>
      <c r="BQ62" s="63" t="str">
        <f t="shared" si="23"/>
        <v/>
      </c>
      <c r="BR62" s="64" t="str">
        <f t="shared" si="13"/>
        <v/>
      </c>
      <c r="BS62" s="160"/>
      <c r="BT62" s="169" t="str">
        <f t="shared" si="14"/>
        <v/>
      </c>
      <c r="BU62" s="36"/>
      <c r="BV62" s="37"/>
      <c r="BW62" s="37"/>
      <c r="BX62" s="37"/>
      <c r="BY62" s="125"/>
      <c r="BZ62" s="69" t="str">
        <f t="shared" si="15"/>
        <v/>
      </c>
      <c r="CA62" s="129"/>
      <c r="CB62" s="129"/>
      <c r="CC62" s="153" t="str">
        <f t="shared" si="16"/>
        <v/>
      </c>
      <c r="CD62" s="203" t="str">
        <f t="shared" si="17"/>
        <v/>
      </c>
      <c r="CE62" s="154" t="str">
        <f t="shared" si="18"/>
        <v/>
      </c>
      <c r="CF62" s="70" t="str">
        <f t="shared" si="19"/>
        <v/>
      </c>
      <c r="CG62" s="71" t="str">
        <f t="shared" si="24"/>
        <v/>
      </c>
      <c r="CH62" s="160"/>
      <c r="CI62" s="28"/>
      <c r="CJ62" s="171"/>
      <c r="CK62" s="271"/>
      <c r="CL62" s="275" t="str">
        <f t="shared" si="20"/>
        <v/>
      </c>
      <c r="CM62" s="275" t="str">
        <f t="shared" si="21"/>
        <v/>
      </c>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c r="HF62" s="3"/>
      <c r="HG62" s="3"/>
      <c r="HH62" s="3"/>
      <c r="HI62" s="3"/>
      <c r="HJ62" s="3"/>
      <c r="HK62" s="3"/>
      <c r="HL62" s="3"/>
      <c r="HM62" s="3"/>
      <c r="HN62" s="3"/>
      <c r="HO62" s="3"/>
      <c r="HP62" s="3"/>
      <c r="HQ62" s="3"/>
      <c r="HR62" s="3"/>
      <c r="HS62" s="3"/>
      <c r="HT62" s="3"/>
      <c r="HU62" s="3"/>
      <c r="HV62" s="3"/>
      <c r="HW62" s="3"/>
      <c r="HX62" s="3"/>
      <c r="HY62" s="3"/>
      <c r="HZ62" s="3"/>
      <c r="IA62" s="3"/>
      <c r="IB62" s="3"/>
      <c r="IC62" s="3"/>
      <c r="ID62" s="3"/>
      <c r="IE62" s="3"/>
      <c r="IF62" s="3"/>
      <c r="IG62" s="3"/>
      <c r="IH62" s="3"/>
      <c r="II62" s="3"/>
      <c r="IJ62" s="3"/>
      <c r="IK62" s="3"/>
      <c r="IL62" s="3"/>
      <c r="IM62" s="3"/>
      <c r="IN62" s="3"/>
      <c r="IO62" s="3"/>
      <c r="IP62" s="3"/>
      <c r="IQ62" s="3"/>
      <c r="IR62" s="3"/>
      <c r="IS62" s="3"/>
      <c r="IT62" s="3"/>
      <c r="IU62" s="3"/>
    </row>
    <row r="63" spans="1:255" x14ac:dyDescent="0.2">
      <c r="A63" s="256" t="str">
        <f t="shared" si="3"/>
        <v/>
      </c>
      <c r="B63" s="24"/>
      <c r="C63" s="24"/>
      <c r="D63" s="24"/>
      <c r="E63" s="24"/>
      <c r="F63" s="24"/>
      <c r="G63" s="25"/>
      <c r="H63" s="25"/>
      <c r="I63" s="26"/>
      <c r="J63" s="27"/>
      <c r="K63" s="219"/>
      <c r="L63" s="220"/>
      <c r="M63" s="48"/>
      <c r="N63" s="37"/>
      <c r="O63" s="37"/>
      <c r="P63" s="37"/>
      <c r="Q63" s="37"/>
      <c r="R63" s="224"/>
      <c r="S63" s="224"/>
      <c r="T63" s="224"/>
      <c r="U63" s="59" t="str">
        <f t="shared" si="25"/>
        <v/>
      </c>
      <c r="V63" s="40"/>
      <c r="W63" s="37"/>
      <c r="X63" s="227"/>
      <c r="Y63" s="101"/>
      <c r="Z63" s="104"/>
      <c r="AA63" s="227"/>
      <c r="AB63" s="210" t="str">
        <f t="shared" si="4"/>
        <v/>
      </c>
      <c r="AC63" s="86"/>
      <c r="AD63" s="157"/>
      <c r="AE63" s="36"/>
      <c r="AF63" s="37"/>
      <c r="AG63" s="37"/>
      <c r="AH63" s="37"/>
      <c r="AI63" s="48"/>
      <c r="AJ63" s="233"/>
      <c r="AK63" s="234"/>
      <c r="AL63" s="234"/>
      <c r="AM63" s="234"/>
      <c r="AN63" s="236" t="str">
        <f t="shared" si="5"/>
        <v/>
      </c>
      <c r="AO63" s="237"/>
      <c r="AP63" s="234"/>
      <c r="AQ63" s="234"/>
      <c r="AR63" s="234"/>
      <c r="AS63" s="236" t="str">
        <f t="shared" si="6"/>
        <v/>
      </c>
      <c r="AT63" s="150" t="str">
        <f t="shared" si="22"/>
        <v/>
      </c>
      <c r="AU63" s="165"/>
      <c r="AV63" s="125"/>
      <c r="AW63" s="125"/>
      <c r="AX63" s="127"/>
      <c r="AY63" s="198" t="str">
        <f t="shared" si="7"/>
        <v/>
      </c>
      <c r="AZ63" s="40"/>
      <c r="BA63" s="37"/>
      <c r="BB63" s="37"/>
      <c r="BC63" s="37"/>
      <c r="BD63" s="61" t="str">
        <f t="shared" si="8"/>
        <v/>
      </c>
      <c r="BE63" s="61" t="str">
        <f t="shared" si="0"/>
        <v/>
      </c>
      <c r="BF63" s="61" t="str">
        <f t="shared" si="1"/>
        <v/>
      </c>
      <c r="BG63" s="61" t="str">
        <f t="shared" si="2"/>
        <v/>
      </c>
      <c r="BH63" s="61" t="str">
        <f t="shared" si="9"/>
        <v/>
      </c>
      <c r="BI63" s="134"/>
      <c r="BJ63" s="134"/>
      <c r="BK63" s="138"/>
      <c r="BL63" s="134"/>
      <c r="BM63" s="136" t="str">
        <f t="shared" si="10"/>
        <v/>
      </c>
      <c r="BN63" s="137"/>
      <c r="BO63" s="63" t="str">
        <f t="shared" si="11"/>
        <v/>
      </c>
      <c r="BP63" s="339" t="str">
        <f t="shared" si="12"/>
        <v/>
      </c>
      <c r="BQ63" s="63" t="str">
        <f t="shared" si="23"/>
        <v/>
      </c>
      <c r="BR63" s="64" t="str">
        <f t="shared" si="13"/>
        <v/>
      </c>
      <c r="BS63" s="160"/>
      <c r="BT63" s="169" t="str">
        <f t="shared" si="14"/>
        <v/>
      </c>
      <c r="BU63" s="36"/>
      <c r="BV63" s="37"/>
      <c r="BW63" s="37"/>
      <c r="BX63" s="37"/>
      <c r="BY63" s="125"/>
      <c r="BZ63" s="69" t="str">
        <f t="shared" si="15"/>
        <v/>
      </c>
      <c r="CA63" s="129"/>
      <c r="CB63" s="129"/>
      <c r="CC63" s="153" t="str">
        <f t="shared" si="16"/>
        <v/>
      </c>
      <c r="CD63" s="203" t="str">
        <f t="shared" si="17"/>
        <v/>
      </c>
      <c r="CE63" s="154" t="str">
        <f t="shared" si="18"/>
        <v/>
      </c>
      <c r="CF63" s="70" t="str">
        <f t="shared" si="19"/>
        <v/>
      </c>
      <c r="CG63" s="71" t="str">
        <f t="shared" si="24"/>
        <v/>
      </c>
      <c r="CH63" s="160"/>
      <c r="CI63" s="28"/>
      <c r="CJ63" s="171"/>
      <c r="CK63" s="271"/>
      <c r="CL63" s="275" t="str">
        <f t="shared" si="20"/>
        <v/>
      </c>
      <c r="CM63" s="275" t="str">
        <f t="shared" si="21"/>
        <v/>
      </c>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c r="HF63" s="3"/>
      <c r="HG63" s="3"/>
      <c r="HH63" s="3"/>
      <c r="HI63" s="3"/>
      <c r="HJ63" s="3"/>
      <c r="HK63" s="3"/>
      <c r="HL63" s="3"/>
      <c r="HM63" s="3"/>
      <c r="HN63" s="3"/>
      <c r="HO63" s="3"/>
      <c r="HP63" s="3"/>
      <c r="HQ63" s="3"/>
      <c r="HR63" s="3"/>
      <c r="HS63" s="3"/>
      <c r="HT63" s="3"/>
      <c r="HU63" s="3"/>
      <c r="HV63" s="3"/>
      <c r="HW63" s="3"/>
      <c r="HX63" s="3"/>
      <c r="HY63" s="3"/>
      <c r="HZ63" s="3"/>
      <c r="IA63" s="3"/>
      <c r="IB63" s="3"/>
      <c r="IC63" s="3"/>
      <c r="ID63" s="3"/>
      <c r="IE63" s="3"/>
      <c r="IF63" s="3"/>
      <c r="IG63" s="3"/>
      <c r="IH63" s="3"/>
      <c r="II63" s="3"/>
      <c r="IJ63" s="3"/>
      <c r="IK63" s="3"/>
      <c r="IL63" s="3"/>
      <c r="IM63" s="3"/>
      <c r="IN63" s="3"/>
      <c r="IO63" s="3"/>
      <c r="IP63" s="3"/>
      <c r="IQ63" s="3"/>
      <c r="IR63" s="3"/>
      <c r="IS63" s="3"/>
      <c r="IT63" s="3"/>
      <c r="IU63" s="3"/>
    </row>
    <row r="64" spans="1:255" x14ac:dyDescent="0.2">
      <c r="A64" s="256" t="str">
        <f t="shared" si="3"/>
        <v/>
      </c>
      <c r="B64" s="24"/>
      <c r="C64" s="24"/>
      <c r="D64" s="24"/>
      <c r="E64" s="24"/>
      <c r="F64" s="24"/>
      <c r="G64" s="25"/>
      <c r="H64" s="25"/>
      <c r="I64" s="26"/>
      <c r="J64" s="27"/>
      <c r="K64" s="219"/>
      <c r="L64" s="220"/>
      <c r="M64" s="48"/>
      <c r="N64" s="37"/>
      <c r="O64" s="37"/>
      <c r="P64" s="37"/>
      <c r="Q64" s="37"/>
      <c r="R64" s="224"/>
      <c r="S64" s="224"/>
      <c r="T64" s="224"/>
      <c r="U64" s="59" t="str">
        <f t="shared" si="25"/>
        <v/>
      </c>
      <c r="V64" s="40"/>
      <c r="W64" s="37"/>
      <c r="X64" s="227"/>
      <c r="Y64" s="101"/>
      <c r="Z64" s="104"/>
      <c r="AA64" s="227"/>
      <c r="AB64" s="210" t="str">
        <f t="shared" si="4"/>
        <v/>
      </c>
      <c r="AC64" s="86"/>
      <c r="AD64" s="157"/>
      <c r="AE64" s="36"/>
      <c r="AF64" s="37"/>
      <c r="AG64" s="37"/>
      <c r="AH64" s="37"/>
      <c r="AI64" s="48"/>
      <c r="AJ64" s="233"/>
      <c r="AK64" s="234"/>
      <c r="AL64" s="234"/>
      <c r="AM64" s="234"/>
      <c r="AN64" s="236" t="str">
        <f t="shared" si="5"/>
        <v/>
      </c>
      <c r="AO64" s="237"/>
      <c r="AP64" s="234"/>
      <c r="AQ64" s="234"/>
      <c r="AR64" s="234"/>
      <c r="AS64" s="236" t="str">
        <f t="shared" si="6"/>
        <v/>
      </c>
      <c r="AT64" s="150" t="str">
        <f t="shared" si="22"/>
        <v/>
      </c>
      <c r="AU64" s="165"/>
      <c r="AV64" s="125"/>
      <c r="AW64" s="125"/>
      <c r="AX64" s="127"/>
      <c r="AY64" s="198" t="str">
        <f t="shared" si="7"/>
        <v/>
      </c>
      <c r="AZ64" s="40"/>
      <c r="BA64" s="37"/>
      <c r="BB64" s="37"/>
      <c r="BC64" s="37"/>
      <c r="BD64" s="61" t="str">
        <f t="shared" si="8"/>
        <v/>
      </c>
      <c r="BE64" s="61" t="str">
        <f t="shared" si="0"/>
        <v/>
      </c>
      <c r="BF64" s="61" t="str">
        <f t="shared" si="1"/>
        <v/>
      </c>
      <c r="BG64" s="61" t="str">
        <f t="shared" si="2"/>
        <v/>
      </c>
      <c r="BH64" s="61" t="str">
        <f t="shared" si="9"/>
        <v/>
      </c>
      <c r="BI64" s="134"/>
      <c r="BJ64" s="134"/>
      <c r="BK64" s="138"/>
      <c r="BL64" s="134"/>
      <c r="BM64" s="136" t="str">
        <f t="shared" si="10"/>
        <v/>
      </c>
      <c r="BN64" s="137"/>
      <c r="BO64" s="63" t="str">
        <f t="shared" si="11"/>
        <v/>
      </c>
      <c r="BP64" s="339" t="str">
        <f t="shared" si="12"/>
        <v/>
      </c>
      <c r="BQ64" s="63" t="str">
        <f t="shared" si="23"/>
        <v/>
      </c>
      <c r="BR64" s="64" t="str">
        <f t="shared" si="13"/>
        <v/>
      </c>
      <c r="BS64" s="160"/>
      <c r="BT64" s="169" t="str">
        <f t="shared" si="14"/>
        <v/>
      </c>
      <c r="BU64" s="36"/>
      <c r="BV64" s="37"/>
      <c r="BW64" s="37"/>
      <c r="BX64" s="37"/>
      <c r="BY64" s="125"/>
      <c r="BZ64" s="69" t="str">
        <f t="shared" si="15"/>
        <v/>
      </c>
      <c r="CA64" s="129"/>
      <c r="CB64" s="129"/>
      <c r="CC64" s="153" t="str">
        <f t="shared" si="16"/>
        <v/>
      </c>
      <c r="CD64" s="203" t="str">
        <f t="shared" si="17"/>
        <v/>
      </c>
      <c r="CE64" s="154" t="str">
        <f t="shared" si="18"/>
        <v/>
      </c>
      <c r="CF64" s="70" t="str">
        <f t="shared" si="19"/>
        <v/>
      </c>
      <c r="CG64" s="71" t="str">
        <f t="shared" si="24"/>
        <v/>
      </c>
      <c r="CH64" s="160"/>
      <c r="CI64" s="28"/>
      <c r="CJ64" s="171"/>
      <c r="CK64" s="271"/>
      <c r="CL64" s="275" t="str">
        <f t="shared" si="20"/>
        <v/>
      </c>
      <c r="CM64" s="275" t="str">
        <f t="shared" si="21"/>
        <v/>
      </c>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c r="HF64" s="3"/>
      <c r="HG64" s="3"/>
      <c r="HH64" s="3"/>
      <c r="HI64" s="3"/>
      <c r="HJ64" s="3"/>
      <c r="HK64" s="3"/>
      <c r="HL64" s="3"/>
      <c r="HM64" s="3"/>
      <c r="HN64" s="3"/>
      <c r="HO64" s="3"/>
      <c r="HP64" s="3"/>
      <c r="HQ64" s="3"/>
      <c r="HR64" s="3"/>
      <c r="HS64" s="3"/>
      <c r="HT64" s="3"/>
      <c r="HU64" s="3"/>
      <c r="HV64" s="3"/>
      <c r="HW64" s="3"/>
      <c r="HX64" s="3"/>
      <c r="HY64" s="3"/>
      <c r="HZ64" s="3"/>
      <c r="IA64" s="3"/>
      <c r="IB64" s="3"/>
      <c r="IC64" s="3"/>
      <c r="ID64" s="3"/>
      <c r="IE64" s="3"/>
      <c r="IF64" s="3"/>
      <c r="IG64" s="3"/>
      <c r="IH64" s="3"/>
      <c r="II64" s="3"/>
      <c r="IJ64" s="3"/>
      <c r="IK64" s="3"/>
      <c r="IL64" s="3"/>
      <c r="IM64" s="3"/>
      <c r="IN64" s="3"/>
      <c r="IO64" s="3"/>
      <c r="IP64" s="3"/>
      <c r="IQ64" s="3"/>
      <c r="IR64" s="3"/>
      <c r="IS64" s="3"/>
      <c r="IT64" s="3"/>
      <c r="IU64" s="3"/>
    </row>
    <row r="65" spans="1:255" x14ac:dyDescent="0.2">
      <c r="A65" s="256" t="str">
        <f t="shared" si="3"/>
        <v/>
      </c>
      <c r="B65" s="24"/>
      <c r="C65" s="24"/>
      <c r="D65" s="24"/>
      <c r="E65" s="24"/>
      <c r="F65" s="24"/>
      <c r="G65" s="25"/>
      <c r="H65" s="25"/>
      <c r="I65" s="26"/>
      <c r="J65" s="27"/>
      <c r="K65" s="219"/>
      <c r="L65" s="220"/>
      <c r="M65" s="48"/>
      <c r="N65" s="37"/>
      <c r="O65" s="37"/>
      <c r="P65" s="37"/>
      <c r="Q65" s="37"/>
      <c r="R65" s="224"/>
      <c r="S65" s="224"/>
      <c r="T65" s="224"/>
      <c r="U65" s="59" t="str">
        <f t="shared" si="25"/>
        <v/>
      </c>
      <c r="V65" s="40"/>
      <c r="W65" s="37"/>
      <c r="X65" s="227"/>
      <c r="Y65" s="101"/>
      <c r="Z65" s="104"/>
      <c r="AA65" s="227"/>
      <c r="AB65" s="210" t="str">
        <f t="shared" si="4"/>
        <v/>
      </c>
      <c r="AC65" s="86"/>
      <c r="AD65" s="157"/>
      <c r="AE65" s="36"/>
      <c r="AF65" s="37"/>
      <c r="AG65" s="37"/>
      <c r="AH65" s="37"/>
      <c r="AI65" s="48"/>
      <c r="AJ65" s="233"/>
      <c r="AK65" s="234"/>
      <c r="AL65" s="234"/>
      <c r="AM65" s="234"/>
      <c r="AN65" s="236" t="str">
        <f t="shared" si="5"/>
        <v/>
      </c>
      <c r="AO65" s="237"/>
      <c r="AP65" s="234"/>
      <c r="AQ65" s="234"/>
      <c r="AR65" s="234"/>
      <c r="AS65" s="236" t="str">
        <f t="shared" si="6"/>
        <v/>
      </c>
      <c r="AT65" s="150" t="str">
        <f t="shared" si="22"/>
        <v/>
      </c>
      <c r="AU65" s="165"/>
      <c r="AV65" s="125"/>
      <c r="AW65" s="125"/>
      <c r="AX65" s="127"/>
      <c r="AY65" s="198" t="str">
        <f t="shared" si="7"/>
        <v/>
      </c>
      <c r="AZ65" s="40"/>
      <c r="BA65" s="37"/>
      <c r="BB65" s="37"/>
      <c r="BC65" s="37"/>
      <c r="BD65" s="61" t="str">
        <f t="shared" si="8"/>
        <v/>
      </c>
      <c r="BE65" s="61" t="str">
        <f t="shared" si="0"/>
        <v/>
      </c>
      <c r="BF65" s="61" t="str">
        <f t="shared" si="1"/>
        <v/>
      </c>
      <c r="BG65" s="61" t="str">
        <f t="shared" si="2"/>
        <v/>
      </c>
      <c r="BH65" s="61" t="str">
        <f t="shared" si="9"/>
        <v/>
      </c>
      <c r="BI65" s="134"/>
      <c r="BJ65" s="134"/>
      <c r="BK65" s="138"/>
      <c r="BL65" s="134"/>
      <c r="BM65" s="136" t="str">
        <f t="shared" si="10"/>
        <v/>
      </c>
      <c r="BN65" s="137"/>
      <c r="BO65" s="63" t="str">
        <f t="shared" si="11"/>
        <v/>
      </c>
      <c r="BP65" s="339" t="str">
        <f t="shared" si="12"/>
        <v/>
      </c>
      <c r="BQ65" s="63" t="str">
        <f t="shared" si="23"/>
        <v/>
      </c>
      <c r="BR65" s="64" t="str">
        <f t="shared" si="13"/>
        <v/>
      </c>
      <c r="BS65" s="160"/>
      <c r="BT65" s="169" t="str">
        <f t="shared" si="14"/>
        <v/>
      </c>
      <c r="BU65" s="36"/>
      <c r="BV65" s="37"/>
      <c r="BW65" s="37"/>
      <c r="BX65" s="37"/>
      <c r="BY65" s="125"/>
      <c r="BZ65" s="69" t="str">
        <f t="shared" si="15"/>
        <v/>
      </c>
      <c r="CA65" s="129"/>
      <c r="CB65" s="129"/>
      <c r="CC65" s="153" t="str">
        <f t="shared" si="16"/>
        <v/>
      </c>
      <c r="CD65" s="203" t="str">
        <f t="shared" si="17"/>
        <v/>
      </c>
      <c r="CE65" s="154" t="str">
        <f t="shared" si="18"/>
        <v/>
      </c>
      <c r="CF65" s="70" t="str">
        <f t="shared" si="19"/>
        <v/>
      </c>
      <c r="CG65" s="71" t="str">
        <f t="shared" si="24"/>
        <v/>
      </c>
      <c r="CH65" s="160"/>
      <c r="CI65" s="28"/>
      <c r="CJ65" s="171"/>
      <c r="CK65" s="271"/>
      <c r="CL65" s="275" t="str">
        <f t="shared" si="20"/>
        <v/>
      </c>
      <c r="CM65" s="275" t="str">
        <f t="shared" si="21"/>
        <v/>
      </c>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c r="HF65" s="3"/>
      <c r="HG65" s="3"/>
      <c r="HH65" s="3"/>
      <c r="HI65" s="3"/>
      <c r="HJ65" s="3"/>
      <c r="HK65" s="3"/>
      <c r="HL65" s="3"/>
      <c r="HM65" s="3"/>
      <c r="HN65" s="3"/>
      <c r="HO65" s="3"/>
      <c r="HP65" s="3"/>
      <c r="HQ65" s="3"/>
      <c r="HR65" s="3"/>
      <c r="HS65" s="3"/>
      <c r="HT65" s="3"/>
      <c r="HU65" s="3"/>
      <c r="HV65" s="3"/>
      <c r="HW65" s="3"/>
      <c r="HX65" s="3"/>
      <c r="HY65" s="3"/>
      <c r="HZ65" s="3"/>
      <c r="IA65" s="3"/>
      <c r="IB65" s="3"/>
      <c r="IC65" s="3"/>
      <c r="ID65" s="3"/>
      <c r="IE65" s="3"/>
      <c r="IF65" s="3"/>
      <c r="IG65" s="3"/>
      <c r="IH65" s="3"/>
      <c r="II65" s="3"/>
      <c r="IJ65" s="3"/>
      <c r="IK65" s="3"/>
      <c r="IL65" s="3"/>
      <c r="IM65" s="3"/>
      <c r="IN65" s="3"/>
      <c r="IO65" s="3"/>
      <c r="IP65" s="3"/>
      <c r="IQ65" s="3"/>
      <c r="IR65" s="3"/>
      <c r="IS65" s="3"/>
      <c r="IT65" s="3"/>
      <c r="IU65" s="3"/>
    </row>
    <row r="66" spans="1:255" x14ac:dyDescent="0.2">
      <c r="A66" s="256" t="str">
        <f t="shared" si="3"/>
        <v/>
      </c>
      <c r="B66" s="24"/>
      <c r="C66" s="24"/>
      <c r="D66" s="24"/>
      <c r="E66" s="24"/>
      <c r="F66" s="24"/>
      <c r="G66" s="25"/>
      <c r="H66" s="25"/>
      <c r="I66" s="26"/>
      <c r="J66" s="27"/>
      <c r="K66" s="219"/>
      <c r="L66" s="220"/>
      <c r="M66" s="48"/>
      <c r="N66" s="37"/>
      <c r="O66" s="37"/>
      <c r="P66" s="37"/>
      <c r="Q66" s="37"/>
      <c r="R66" s="224"/>
      <c r="S66" s="224"/>
      <c r="T66" s="224"/>
      <c r="U66" s="59" t="str">
        <f t="shared" si="25"/>
        <v/>
      </c>
      <c r="V66" s="40"/>
      <c r="W66" s="37"/>
      <c r="X66" s="227"/>
      <c r="Y66" s="101"/>
      <c r="Z66" s="104"/>
      <c r="AA66" s="227"/>
      <c r="AB66" s="210" t="str">
        <f t="shared" si="4"/>
        <v/>
      </c>
      <c r="AC66" s="86"/>
      <c r="AD66" s="157"/>
      <c r="AE66" s="36"/>
      <c r="AF66" s="37"/>
      <c r="AG66" s="37"/>
      <c r="AH66" s="37"/>
      <c r="AI66" s="48"/>
      <c r="AJ66" s="233"/>
      <c r="AK66" s="234"/>
      <c r="AL66" s="234"/>
      <c r="AM66" s="234"/>
      <c r="AN66" s="236" t="str">
        <f t="shared" si="5"/>
        <v/>
      </c>
      <c r="AO66" s="237"/>
      <c r="AP66" s="234"/>
      <c r="AQ66" s="234"/>
      <c r="AR66" s="234"/>
      <c r="AS66" s="236" t="str">
        <f t="shared" si="6"/>
        <v/>
      </c>
      <c r="AT66" s="150" t="str">
        <f t="shared" si="22"/>
        <v/>
      </c>
      <c r="AU66" s="165"/>
      <c r="AV66" s="125"/>
      <c r="AW66" s="125"/>
      <c r="AX66" s="127"/>
      <c r="AY66" s="198" t="str">
        <f t="shared" si="7"/>
        <v/>
      </c>
      <c r="AZ66" s="40"/>
      <c r="BA66" s="37"/>
      <c r="BB66" s="37"/>
      <c r="BC66" s="37"/>
      <c r="BD66" s="61" t="str">
        <f t="shared" si="8"/>
        <v/>
      </c>
      <c r="BE66" s="61" t="str">
        <f t="shared" si="0"/>
        <v/>
      </c>
      <c r="BF66" s="61" t="str">
        <f t="shared" si="1"/>
        <v/>
      </c>
      <c r="BG66" s="61" t="str">
        <f t="shared" si="2"/>
        <v/>
      </c>
      <c r="BH66" s="61" t="str">
        <f t="shared" si="9"/>
        <v/>
      </c>
      <c r="BI66" s="134"/>
      <c r="BJ66" s="134"/>
      <c r="BK66" s="138"/>
      <c r="BL66" s="134"/>
      <c r="BM66" s="136" t="str">
        <f t="shared" si="10"/>
        <v/>
      </c>
      <c r="BN66" s="137"/>
      <c r="BO66" s="63" t="str">
        <f t="shared" si="11"/>
        <v/>
      </c>
      <c r="BP66" s="339" t="str">
        <f t="shared" si="12"/>
        <v/>
      </c>
      <c r="BQ66" s="63" t="str">
        <f t="shared" si="23"/>
        <v/>
      </c>
      <c r="BR66" s="64" t="str">
        <f t="shared" si="13"/>
        <v/>
      </c>
      <c r="BS66" s="160"/>
      <c r="BT66" s="169" t="str">
        <f t="shared" si="14"/>
        <v/>
      </c>
      <c r="BU66" s="36"/>
      <c r="BV66" s="37"/>
      <c r="BW66" s="37"/>
      <c r="BX66" s="37"/>
      <c r="BY66" s="125"/>
      <c r="BZ66" s="69" t="str">
        <f t="shared" si="15"/>
        <v/>
      </c>
      <c r="CA66" s="129"/>
      <c r="CB66" s="129"/>
      <c r="CC66" s="153" t="str">
        <f t="shared" si="16"/>
        <v/>
      </c>
      <c r="CD66" s="203" t="str">
        <f t="shared" si="17"/>
        <v/>
      </c>
      <c r="CE66" s="154" t="str">
        <f t="shared" si="18"/>
        <v/>
      </c>
      <c r="CF66" s="70" t="str">
        <f t="shared" si="19"/>
        <v/>
      </c>
      <c r="CG66" s="71" t="str">
        <f t="shared" si="24"/>
        <v/>
      </c>
      <c r="CH66" s="160"/>
      <c r="CI66" s="28"/>
      <c r="CJ66" s="171"/>
      <c r="CK66" s="271"/>
      <c r="CL66" s="275" t="str">
        <f t="shared" si="20"/>
        <v/>
      </c>
      <c r="CM66" s="275" t="str">
        <f t="shared" si="21"/>
        <v/>
      </c>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c r="HF66" s="3"/>
      <c r="HG66" s="3"/>
      <c r="HH66" s="3"/>
      <c r="HI66" s="3"/>
      <c r="HJ66" s="3"/>
      <c r="HK66" s="3"/>
      <c r="HL66" s="3"/>
      <c r="HM66" s="3"/>
      <c r="HN66" s="3"/>
      <c r="HO66" s="3"/>
      <c r="HP66" s="3"/>
      <c r="HQ66" s="3"/>
      <c r="HR66" s="3"/>
      <c r="HS66" s="3"/>
      <c r="HT66" s="3"/>
      <c r="HU66" s="3"/>
      <c r="HV66" s="3"/>
      <c r="HW66" s="3"/>
      <c r="HX66" s="3"/>
      <c r="HY66" s="3"/>
      <c r="HZ66" s="3"/>
      <c r="IA66" s="3"/>
      <c r="IB66" s="3"/>
      <c r="IC66" s="3"/>
      <c r="ID66" s="3"/>
      <c r="IE66" s="3"/>
      <c r="IF66" s="3"/>
      <c r="IG66" s="3"/>
      <c r="IH66" s="3"/>
      <c r="II66" s="3"/>
      <c r="IJ66" s="3"/>
      <c r="IK66" s="3"/>
      <c r="IL66" s="3"/>
      <c r="IM66" s="3"/>
      <c r="IN66" s="3"/>
      <c r="IO66" s="3"/>
      <c r="IP66" s="3"/>
      <c r="IQ66" s="3"/>
      <c r="IR66" s="3"/>
      <c r="IS66" s="3"/>
      <c r="IT66" s="3"/>
      <c r="IU66" s="3"/>
    </row>
    <row r="67" spans="1:255" x14ac:dyDescent="0.2">
      <c r="A67" s="256" t="str">
        <f t="shared" si="3"/>
        <v/>
      </c>
      <c r="B67" s="24"/>
      <c r="C67" s="24"/>
      <c r="D67" s="24"/>
      <c r="E67" s="24"/>
      <c r="F67" s="24"/>
      <c r="G67" s="25"/>
      <c r="H67" s="25"/>
      <c r="I67" s="26"/>
      <c r="J67" s="27"/>
      <c r="K67" s="219"/>
      <c r="L67" s="220"/>
      <c r="M67" s="48"/>
      <c r="N67" s="37"/>
      <c r="O67" s="37"/>
      <c r="P67" s="37"/>
      <c r="Q67" s="37"/>
      <c r="R67" s="224"/>
      <c r="S67" s="224"/>
      <c r="T67" s="224"/>
      <c r="U67" s="59" t="str">
        <f t="shared" si="25"/>
        <v/>
      </c>
      <c r="V67" s="40"/>
      <c r="W67" s="37"/>
      <c r="X67" s="227"/>
      <c r="Y67" s="101"/>
      <c r="Z67" s="104"/>
      <c r="AA67" s="227"/>
      <c r="AB67" s="210" t="str">
        <f t="shared" si="4"/>
        <v/>
      </c>
      <c r="AC67" s="86"/>
      <c r="AD67" s="157"/>
      <c r="AE67" s="36"/>
      <c r="AF67" s="37"/>
      <c r="AG67" s="37"/>
      <c r="AH67" s="37"/>
      <c r="AI67" s="48"/>
      <c r="AJ67" s="233"/>
      <c r="AK67" s="234"/>
      <c r="AL67" s="234"/>
      <c r="AM67" s="234"/>
      <c r="AN67" s="236" t="str">
        <f t="shared" si="5"/>
        <v/>
      </c>
      <c r="AO67" s="237"/>
      <c r="AP67" s="234"/>
      <c r="AQ67" s="234"/>
      <c r="AR67" s="234"/>
      <c r="AS67" s="236" t="str">
        <f t="shared" si="6"/>
        <v/>
      </c>
      <c r="AT67" s="150" t="str">
        <f t="shared" si="22"/>
        <v/>
      </c>
      <c r="AU67" s="165"/>
      <c r="AV67" s="125"/>
      <c r="AW67" s="125"/>
      <c r="AX67" s="127"/>
      <c r="AY67" s="198" t="str">
        <f t="shared" si="7"/>
        <v/>
      </c>
      <c r="AZ67" s="40"/>
      <c r="BA67" s="37"/>
      <c r="BB67" s="37"/>
      <c r="BC67" s="37"/>
      <c r="BD67" s="61" t="str">
        <f t="shared" si="8"/>
        <v/>
      </c>
      <c r="BE67" s="61" t="str">
        <f t="shared" si="0"/>
        <v/>
      </c>
      <c r="BF67" s="61" t="str">
        <f t="shared" si="1"/>
        <v/>
      </c>
      <c r="BG67" s="61" t="str">
        <f t="shared" si="2"/>
        <v/>
      </c>
      <c r="BH67" s="61" t="str">
        <f t="shared" si="9"/>
        <v/>
      </c>
      <c r="BI67" s="134"/>
      <c r="BJ67" s="134"/>
      <c r="BK67" s="138"/>
      <c r="BL67" s="134"/>
      <c r="BM67" s="136" t="str">
        <f t="shared" si="10"/>
        <v/>
      </c>
      <c r="BN67" s="137"/>
      <c r="BO67" s="63" t="str">
        <f t="shared" si="11"/>
        <v/>
      </c>
      <c r="BP67" s="339" t="str">
        <f t="shared" si="12"/>
        <v/>
      </c>
      <c r="BQ67" s="63" t="str">
        <f t="shared" si="23"/>
        <v/>
      </c>
      <c r="BR67" s="64" t="str">
        <f t="shared" si="13"/>
        <v/>
      </c>
      <c r="BS67" s="160"/>
      <c r="BT67" s="169" t="str">
        <f t="shared" si="14"/>
        <v/>
      </c>
      <c r="BU67" s="36"/>
      <c r="BV67" s="37"/>
      <c r="BW67" s="37"/>
      <c r="BX67" s="37"/>
      <c r="BY67" s="125"/>
      <c r="BZ67" s="69" t="str">
        <f t="shared" si="15"/>
        <v/>
      </c>
      <c r="CA67" s="129"/>
      <c r="CB67" s="129"/>
      <c r="CC67" s="153" t="str">
        <f t="shared" si="16"/>
        <v/>
      </c>
      <c r="CD67" s="203" t="str">
        <f t="shared" si="17"/>
        <v/>
      </c>
      <c r="CE67" s="154" t="str">
        <f t="shared" si="18"/>
        <v/>
      </c>
      <c r="CF67" s="70" t="str">
        <f t="shared" si="19"/>
        <v/>
      </c>
      <c r="CG67" s="71" t="str">
        <f t="shared" si="24"/>
        <v/>
      </c>
      <c r="CH67" s="160"/>
      <c r="CI67" s="28"/>
      <c r="CJ67" s="171"/>
      <c r="CK67" s="271"/>
      <c r="CL67" s="275" t="str">
        <f t="shared" si="20"/>
        <v/>
      </c>
      <c r="CM67" s="275" t="str">
        <f t="shared" si="21"/>
        <v/>
      </c>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c r="HF67" s="3"/>
      <c r="HG67" s="3"/>
      <c r="HH67" s="3"/>
      <c r="HI67" s="3"/>
      <c r="HJ67" s="3"/>
      <c r="HK67" s="3"/>
      <c r="HL67" s="3"/>
      <c r="HM67" s="3"/>
      <c r="HN67" s="3"/>
      <c r="HO67" s="3"/>
      <c r="HP67" s="3"/>
      <c r="HQ67" s="3"/>
      <c r="HR67" s="3"/>
      <c r="HS67" s="3"/>
      <c r="HT67" s="3"/>
      <c r="HU67" s="3"/>
      <c r="HV67" s="3"/>
      <c r="HW67" s="3"/>
      <c r="HX67" s="3"/>
      <c r="HY67" s="3"/>
      <c r="HZ67" s="3"/>
      <c r="IA67" s="3"/>
      <c r="IB67" s="3"/>
      <c r="IC67" s="3"/>
      <c r="ID67" s="3"/>
      <c r="IE67" s="3"/>
      <c r="IF67" s="3"/>
      <c r="IG67" s="3"/>
      <c r="IH67" s="3"/>
      <c r="II67" s="3"/>
      <c r="IJ67" s="3"/>
      <c r="IK67" s="3"/>
      <c r="IL67" s="3"/>
      <c r="IM67" s="3"/>
      <c r="IN67" s="3"/>
      <c r="IO67" s="3"/>
      <c r="IP67" s="3"/>
      <c r="IQ67" s="3"/>
      <c r="IR67" s="3"/>
      <c r="IS67" s="3"/>
      <c r="IT67" s="3"/>
      <c r="IU67" s="3"/>
    </row>
    <row r="68" spans="1:255" x14ac:dyDescent="0.2">
      <c r="A68" s="256" t="str">
        <f t="shared" si="3"/>
        <v/>
      </c>
      <c r="B68" s="24"/>
      <c r="C68" s="24"/>
      <c r="D68" s="24"/>
      <c r="E68" s="24"/>
      <c r="F68" s="24"/>
      <c r="G68" s="25"/>
      <c r="H68" s="25"/>
      <c r="I68" s="26"/>
      <c r="J68" s="27"/>
      <c r="K68" s="219"/>
      <c r="L68" s="220"/>
      <c r="M68" s="48"/>
      <c r="N68" s="37"/>
      <c r="O68" s="37"/>
      <c r="P68" s="37"/>
      <c r="Q68" s="37"/>
      <c r="R68" s="224"/>
      <c r="S68" s="224"/>
      <c r="T68" s="224"/>
      <c r="U68" s="59" t="str">
        <f t="shared" si="25"/>
        <v/>
      </c>
      <c r="V68" s="40"/>
      <c r="W68" s="37"/>
      <c r="X68" s="227"/>
      <c r="Y68" s="101"/>
      <c r="Z68" s="104"/>
      <c r="AA68" s="227"/>
      <c r="AB68" s="210" t="str">
        <f t="shared" si="4"/>
        <v/>
      </c>
      <c r="AC68" s="86"/>
      <c r="AD68" s="157"/>
      <c r="AE68" s="36"/>
      <c r="AF68" s="37"/>
      <c r="AG68" s="37"/>
      <c r="AH68" s="37"/>
      <c r="AI68" s="48"/>
      <c r="AJ68" s="233"/>
      <c r="AK68" s="234"/>
      <c r="AL68" s="234"/>
      <c r="AM68" s="234"/>
      <c r="AN68" s="236" t="str">
        <f t="shared" si="5"/>
        <v/>
      </c>
      <c r="AO68" s="237"/>
      <c r="AP68" s="234"/>
      <c r="AQ68" s="234"/>
      <c r="AR68" s="234"/>
      <c r="AS68" s="236" t="str">
        <f t="shared" si="6"/>
        <v/>
      </c>
      <c r="AT68" s="150" t="str">
        <f t="shared" si="22"/>
        <v/>
      </c>
      <c r="AU68" s="165"/>
      <c r="AV68" s="125"/>
      <c r="AW68" s="125"/>
      <c r="AX68" s="127"/>
      <c r="AY68" s="198" t="str">
        <f t="shared" si="7"/>
        <v/>
      </c>
      <c r="AZ68" s="40"/>
      <c r="BA68" s="37"/>
      <c r="BB68" s="37"/>
      <c r="BC68" s="37"/>
      <c r="BD68" s="61" t="str">
        <f t="shared" si="8"/>
        <v/>
      </c>
      <c r="BE68" s="61" t="str">
        <f t="shared" si="0"/>
        <v/>
      </c>
      <c r="BF68" s="61" t="str">
        <f t="shared" si="1"/>
        <v/>
      </c>
      <c r="BG68" s="61" t="str">
        <f t="shared" si="2"/>
        <v/>
      </c>
      <c r="BH68" s="61" t="str">
        <f t="shared" si="9"/>
        <v/>
      </c>
      <c r="BI68" s="134"/>
      <c r="BJ68" s="134"/>
      <c r="BK68" s="138"/>
      <c r="BL68" s="134"/>
      <c r="BM68" s="136" t="str">
        <f t="shared" si="10"/>
        <v/>
      </c>
      <c r="BN68" s="137"/>
      <c r="BO68" s="63" t="str">
        <f t="shared" si="11"/>
        <v/>
      </c>
      <c r="BP68" s="339" t="str">
        <f t="shared" si="12"/>
        <v/>
      </c>
      <c r="BQ68" s="63" t="str">
        <f t="shared" si="23"/>
        <v/>
      </c>
      <c r="BR68" s="64" t="str">
        <f t="shared" si="13"/>
        <v/>
      </c>
      <c r="BS68" s="160"/>
      <c r="BT68" s="169" t="str">
        <f t="shared" si="14"/>
        <v/>
      </c>
      <c r="BU68" s="36"/>
      <c r="BV68" s="37"/>
      <c r="BW68" s="37"/>
      <c r="BX68" s="37"/>
      <c r="BY68" s="125"/>
      <c r="BZ68" s="69" t="str">
        <f t="shared" si="15"/>
        <v/>
      </c>
      <c r="CA68" s="129"/>
      <c r="CB68" s="129"/>
      <c r="CC68" s="153" t="str">
        <f t="shared" si="16"/>
        <v/>
      </c>
      <c r="CD68" s="203" t="str">
        <f t="shared" si="17"/>
        <v/>
      </c>
      <c r="CE68" s="154" t="str">
        <f t="shared" si="18"/>
        <v/>
      </c>
      <c r="CF68" s="70" t="str">
        <f t="shared" si="19"/>
        <v/>
      </c>
      <c r="CG68" s="71" t="str">
        <f t="shared" si="24"/>
        <v/>
      </c>
      <c r="CH68" s="160"/>
      <c r="CI68" s="28"/>
      <c r="CJ68" s="171"/>
      <c r="CK68" s="271"/>
      <c r="CL68" s="275" t="str">
        <f t="shared" si="20"/>
        <v/>
      </c>
      <c r="CM68" s="275" t="str">
        <f t="shared" si="21"/>
        <v/>
      </c>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c r="HF68" s="3"/>
      <c r="HG68" s="3"/>
      <c r="HH68" s="3"/>
      <c r="HI68" s="3"/>
      <c r="HJ68" s="3"/>
      <c r="HK68" s="3"/>
      <c r="HL68" s="3"/>
      <c r="HM68" s="3"/>
      <c r="HN68" s="3"/>
      <c r="HO68" s="3"/>
      <c r="HP68" s="3"/>
      <c r="HQ68" s="3"/>
      <c r="HR68" s="3"/>
      <c r="HS68" s="3"/>
      <c r="HT68" s="3"/>
      <c r="HU68" s="3"/>
      <c r="HV68" s="3"/>
      <c r="HW68" s="3"/>
      <c r="HX68" s="3"/>
      <c r="HY68" s="3"/>
      <c r="HZ68" s="3"/>
      <c r="IA68" s="3"/>
      <c r="IB68" s="3"/>
      <c r="IC68" s="3"/>
      <c r="ID68" s="3"/>
      <c r="IE68" s="3"/>
      <c r="IF68" s="3"/>
      <c r="IG68" s="3"/>
      <c r="IH68" s="3"/>
      <c r="II68" s="3"/>
      <c r="IJ68" s="3"/>
      <c r="IK68" s="3"/>
      <c r="IL68" s="3"/>
      <c r="IM68" s="3"/>
      <c r="IN68" s="3"/>
      <c r="IO68" s="3"/>
      <c r="IP68" s="3"/>
      <c r="IQ68" s="3"/>
      <c r="IR68" s="3"/>
      <c r="IS68" s="3"/>
      <c r="IT68" s="3"/>
      <c r="IU68" s="3"/>
    </row>
    <row r="69" spans="1:255" x14ac:dyDescent="0.2">
      <c r="A69" s="256" t="str">
        <f t="shared" si="3"/>
        <v/>
      </c>
      <c r="B69" s="24"/>
      <c r="C69" s="24"/>
      <c r="D69" s="24"/>
      <c r="E69" s="24"/>
      <c r="F69" s="24"/>
      <c r="G69" s="25"/>
      <c r="H69" s="25"/>
      <c r="I69" s="26"/>
      <c r="J69" s="27"/>
      <c r="K69" s="219"/>
      <c r="L69" s="220"/>
      <c r="M69" s="48"/>
      <c r="N69" s="37"/>
      <c r="O69" s="37"/>
      <c r="P69" s="37"/>
      <c r="Q69" s="37"/>
      <c r="R69" s="224"/>
      <c r="S69" s="224"/>
      <c r="T69" s="224"/>
      <c r="U69" s="59" t="str">
        <f t="shared" si="25"/>
        <v/>
      </c>
      <c r="V69" s="40"/>
      <c r="W69" s="37"/>
      <c r="X69" s="227"/>
      <c r="Y69" s="101"/>
      <c r="Z69" s="104"/>
      <c r="AA69" s="227"/>
      <c r="AB69" s="210" t="str">
        <f t="shared" si="4"/>
        <v/>
      </c>
      <c r="AC69" s="86"/>
      <c r="AD69" s="157"/>
      <c r="AE69" s="36"/>
      <c r="AF69" s="37"/>
      <c r="AG69" s="37"/>
      <c r="AH69" s="37"/>
      <c r="AI69" s="48"/>
      <c r="AJ69" s="233"/>
      <c r="AK69" s="234"/>
      <c r="AL69" s="234"/>
      <c r="AM69" s="234"/>
      <c r="AN69" s="236" t="str">
        <f t="shared" si="5"/>
        <v/>
      </c>
      <c r="AO69" s="237"/>
      <c r="AP69" s="234"/>
      <c r="AQ69" s="234"/>
      <c r="AR69" s="234"/>
      <c r="AS69" s="236" t="str">
        <f t="shared" si="6"/>
        <v/>
      </c>
      <c r="AT69" s="150" t="str">
        <f t="shared" si="22"/>
        <v/>
      </c>
      <c r="AU69" s="165"/>
      <c r="AV69" s="125"/>
      <c r="AW69" s="125"/>
      <c r="AX69" s="127"/>
      <c r="AY69" s="198" t="str">
        <f t="shared" si="7"/>
        <v/>
      </c>
      <c r="AZ69" s="40"/>
      <c r="BA69" s="37"/>
      <c r="BB69" s="37"/>
      <c r="BC69" s="37"/>
      <c r="BD69" s="61" t="str">
        <f t="shared" si="8"/>
        <v/>
      </c>
      <c r="BE69" s="61" t="str">
        <f t="shared" si="0"/>
        <v/>
      </c>
      <c r="BF69" s="61" t="str">
        <f t="shared" si="1"/>
        <v/>
      </c>
      <c r="BG69" s="61" t="str">
        <f t="shared" si="2"/>
        <v/>
      </c>
      <c r="BH69" s="61" t="str">
        <f t="shared" si="9"/>
        <v/>
      </c>
      <c r="BI69" s="134"/>
      <c r="BJ69" s="134"/>
      <c r="BK69" s="138"/>
      <c r="BL69" s="134"/>
      <c r="BM69" s="136" t="str">
        <f t="shared" si="10"/>
        <v/>
      </c>
      <c r="BN69" s="137"/>
      <c r="BO69" s="63" t="str">
        <f t="shared" si="11"/>
        <v/>
      </c>
      <c r="BP69" s="339" t="str">
        <f t="shared" si="12"/>
        <v/>
      </c>
      <c r="BQ69" s="63" t="str">
        <f t="shared" si="23"/>
        <v/>
      </c>
      <c r="BR69" s="64" t="str">
        <f t="shared" si="13"/>
        <v/>
      </c>
      <c r="BS69" s="160"/>
      <c r="BT69" s="169" t="str">
        <f t="shared" si="14"/>
        <v/>
      </c>
      <c r="BU69" s="36"/>
      <c r="BV69" s="37"/>
      <c r="BW69" s="37"/>
      <c r="BX69" s="37"/>
      <c r="BY69" s="125"/>
      <c r="BZ69" s="69" t="str">
        <f t="shared" si="15"/>
        <v/>
      </c>
      <c r="CA69" s="129"/>
      <c r="CB69" s="129"/>
      <c r="CC69" s="153" t="str">
        <f t="shared" si="16"/>
        <v/>
      </c>
      <c r="CD69" s="203" t="str">
        <f t="shared" si="17"/>
        <v/>
      </c>
      <c r="CE69" s="154" t="str">
        <f t="shared" si="18"/>
        <v/>
      </c>
      <c r="CF69" s="70" t="str">
        <f t="shared" si="19"/>
        <v/>
      </c>
      <c r="CG69" s="71" t="str">
        <f t="shared" si="24"/>
        <v/>
      </c>
      <c r="CH69" s="160"/>
      <c r="CI69" s="28"/>
      <c r="CJ69" s="171"/>
      <c r="CK69" s="271"/>
      <c r="CL69" s="275" t="str">
        <f t="shared" si="20"/>
        <v/>
      </c>
      <c r="CM69" s="275" t="str">
        <f t="shared" si="21"/>
        <v/>
      </c>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c r="HF69" s="3"/>
      <c r="HG69" s="3"/>
      <c r="HH69" s="3"/>
      <c r="HI69" s="3"/>
      <c r="HJ69" s="3"/>
      <c r="HK69" s="3"/>
      <c r="HL69" s="3"/>
      <c r="HM69" s="3"/>
      <c r="HN69" s="3"/>
      <c r="HO69" s="3"/>
      <c r="HP69" s="3"/>
      <c r="HQ69" s="3"/>
      <c r="HR69" s="3"/>
      <c r="HS69" s="3"/>
      <c r="HT69" s="3"/>
      <c r="HU69" s="3"/>
      <c r="HV69" s="3"/>
      <c r="HW69" s="3"/>
      <c r="HX69" s="3"/>
      <c r="HY69" s="3"/>
      <c r="HZ69" s="3"/>
      <c r="IA69" s="3"/>
      <c r="IB69" s="3"/>
      <c r="IC69" s="3"/>
      <c r="ID69" s="3"/>
      <c r="IE69" s="3"/>
      <c r="IF69" s="3"/>
      <c r="IG69" s="3"/>
      <c r="IH69" s="3"/>
      <c r="II69" s="3"/>
      <c r="IJ69" s="3"/>
      <c r="IK69" s="3"/>
      <c r="IL69" s="3"/>
      <c r="IM69" s="3"/>
      <c r="IN69" s="3"/>
      <c r="IO69" s="3"/>
      <c r="IP69" s="3"/>
      <c r="IQ69" s="3"/>
      <c r="IR69" s="3"/>
      <c r="IS69" s="3"/>
      <c r="IT69" s="3"/>
      <c r="IU69" s="3"/>
    </row>
    <row r="70" spans="1:255" x14ac:dyDescent="0.2">
      <c r="A70" s="256" t="str">
        <f t="shared" si="3"/>
        <v/>
      </c>
      <c r="B70" s="24"/>
      <c r="C70" s="24"/>
      <c r="D70" s="24"/>
      <c r="E70" s="24"/>
      <c r="F70" s="24"/>
      <c r="G70" s="25"/>
      <c r="H70" s="25"/>
      <c r="I70" s="26"/>
      <c r="J70" s="27"/>
      <c r="K70" s="219"/>
      <c r="L70" s="220"/>
      <c r="M70" s="48"/>
      <c r="N70" s="37"/>
      <c r="O70" s="37"/>
      <c r="P70" s="37"/>
      <c r="Q70" s="37"/>
      <c r="R70" s="224"/>
      <c r="S70" s="224"/>
      <c r="T70" s="224"/>
      <c r="U70" s="59" t="str">
        <f t="shared" si="25"/>
        <v/>
      </c>
      <c r="V70" s="40"/>
      <c r="W70" s="37"/>
      <c r="X70" s="227"/>
      <c r="Y70" s="101"/>
      <c r="Z70" s="104"/>
      <c r="AA70" s="227"/>
      <c r="AB70" s="210" t="str">
        <f t="shared" si="4"/>
        <v/>
      </c>
      <c r="AC70" s="86"/>
      <c r="AD70" s="157"/>
      <c r="AE70" s="36"/>
      <c r="AF70" s="37"/>
      <c r="AG70" s="37"/>
      <c r="AH70" s="37"/>
      <c r="AI70" s="48"/>
      <c r="AJ70" s="233"/>
      <c r="AK70" s="234"/>
      <c r="AL70" s="234"/>
      <c r="AM70" s="234"/>
      <c r="AN70" s="236" t="str">
        <f t="shared" si="5"/>
        <v/>
      </c>
      <c r="AO70" s="237"/>
      <c r="AP70" s="234"/>
      <c r="AQ70" s="234"/>
      <c r="AR70" s="234"/>
      <c r="AS70" s="236" t="str">
        <f t="shared" si="6"/>
        <v/>
      </c>
      <c r="AT70" s="150" t="str">
        <f t="shared" si="22"/>
        <v/>
      </c>
      <c r="AU70" s="165"/>
      <c r="AV70" s="125"/>
      <c r="AW70" s="125"/>
      <c r="AX70" s="127"/>
      <c r="AY70" s="198" t="str">
        <f t="shared" si="7"/>
        <v/>
      </c>
      <c r="AZ70" s="40"/>
      <c r="BA70" s="37"/>
      <c r="BB70" s="37"/>
      <c r="BC70" s="37"/>
      <c r="BD70" s="61" t="str">
        <f t="shared" si="8"/>
        <v/>
      </c>
      <c r="BE70" s="61" t="str">
        <f t="shared" si="0"/>
        <v/>
      </c>
      <c r="BF70" s="61" t="str">
        <f t="shared" si="1"/>
        <v/>
      </c>
      <c r="BG70" s="61" t="str">
        <f t="shared" si="2"/>
        <v/>
      </c>
      <c r="BH70" s="61" t="str">
        <f t="shared" si="9"/>
        <v/>
      </c>
      <c r="BI70" s="134"/>
      <c r="BJ70" s="134"/>
      <c r="BK70" s="138"/>
      <c r="BL70" s="134"/>
      <c r="BM70" s="136" t="str">
        <f t="shared" si="10"/>
        <v/>
      </c>
      <c r="BN70" s="137"/>
      <c r="BO70" s="63" t="str">
        <f t="shared" si="11"/>
        <v/>
      </c>
      <c r="BP70" s="339" t="str">
        <f t="shared" si="12"/>
        <v/>
      </c>
      <c r="BQ70" s="63" t="str">
        <f t="shared" si="23"/>
        <v/>
      </c>
      <c r="BR70" s="64" t="str">
        <f t="shared" si="13"/>
        <v/>
      </c>
      <c r="BS70" s="160"/>
      <c r="BT70" s="169" t="str">
        <f t="shared" si="14"/>
        <v/>
      </c>
      <c r="BU70" s="36"/>
      <c r="BV70" s="37"/>
      <c r="BW70" s="37"/>
      <c r="BX70" s="37"/>
      <c r="BY70" s="125"/>
      <c r="BZ70" s="69" t="str">
        <f t="shared" si="15"/>
        <v/>
      </c>
      <c r="CA70" s="129"/>
      <c r="CB70" s="129"/>
      <c r="CC70" s="153" t="str">
        <f t="shared" si="16"/>
        <v/>
      </c>
      <c r="CD70" s="203" t="str">
        <f t="shared" si="17"/>
        <v/>
      </c>
      <c r="CE70" s="154" t="str">
        <f t="shared" si="18"/>
        <v/>
      </c>
      <c r="CF70" s="70" t="str">
        <f t="shared" si="19"/>
        <v/>
      </c>
      <c r="CG70" s="71" t="str">
        <f t="shared" si="24"/>
        <v/>
      </c>
      <c r="CH70" s="160"/>
      <c r="CI70" s="28"/>
      <c r="CJ70" s="171"/>
      <c r="CK70" s="271"/>
      <c r="CL70" s="275" t="str">
        <f t="shared" si="20"/>
        <v/>
      </c>
      <c r="CM70" s="275" t="str">
        <f t="shared" si="21"/>
        <v/>
      </c>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c r="HF70" s="3"/>
      <c r="HG70" s="3"/>
      <c r="HH70" s="3"/>
      <c r="HI70" s="3"/>
      <c r="HJ70" s="3"/>
      <c r="HK70" s="3"/>
      <c r="HL70" s="3"/>
      <c r="HM70" s="3"/>
      <c r="HN70" s="3"/>
      <c r="HO70" s="3"/>
      <c r="HP70" s="3"/>
      <c r="HQ70" s="3"/>
      <c r="HR70" s="3"/>
      <c r="HS70" s="3"/>
      <c r="HT70" s="3"/>
      <c r="HU70" s="3"/>
      <c r="HV70" s="3"/>
      <c r="HW70" s="3"/>
      <c r="HX70" s="3"/>
      <c r="HY70" s="3"/>
      <c r="HZ70" s="3"/>
      <c r="IA70" s="3"/>
      <c r="IB70" s="3"/>
      <c r="IC70" s="3"/>
      <c r="ID70" s="3"/>
      <c r="IE70" s="3"/>
      <c r="IF70" s="3"/>
      <c r="IG70" s="3"/>
      <c r="IH70" s="3"/>
      <c r="II70" s="3"/>
      <c r="IJ70" s="3"/>
      <c r="IK70" s="3"/>
      <c r="IL70" s="3"/>
      <c r="IM70" s="3"/>
      <c r="IN70" s="3"/>
      <c r="IO70" s="3"/>
      <c r="IP70" s="3"/>
      <c r="IQ70" s="3"/>
      <c r="IR70" s="3"/>
      <c r="IS70" s="3"/>
      <c r="IT70" s="3"/>
      <c r="IU70" s="3"/>
    </row>
    <row r="71" spans="1:255" x14ac:dyDescent="0.2">
      <c r="A71" s="256" t="str">
        <f t="shared" si="3"/>
        <v/>
      </c>
      <c r="B71" s="24"/>
      <c r="C71" s="24"/>
      <c r="D71" s="24"/>
      <c r="E71" s="24"/>
      <c r="F71" s="24"/>
      <c r="G71" s="25"/>
      <c r="H71" s="25"/>
      <c r="I71" s="26"/>
      <c r="J71" s="27"/>
      <c r="K71" s="219"/>
      <c r="L71" s="220"/>
      <c r="M71" s="48"/>
      <c r="N71" s="37"/>
      <c r="O71" s="37"/>
      <c r="P71" s="37"/>
      <c r="Q71" s="37"/>
      <c r="R71" s="224"/>
      <c r="S71" s="224"/>
      <c r="T71" s="224"/>
      <c r="U71" s="59" t="str">
        <f t="shared" si="25"/>
        <v/>
      </c>
      <c r="V71" s="40"/>
      <c r="W71" s="37"/>
      <c r="X71" s="227"/>
      <c r="Y71" s="101"/>
      <c r="Z71" s="104"/>
      <c r="AA71" s="227"/>
      <c r="AB71" s="210" t="str">
        <f t="shared" si="4"/>
        <v/>
      </c>
      <c r="AC71" s="86"/>
      <c r="AD71" s="157"/>
      <c r="AE71" s="36"/>
      <c r="AF71" s="37"/>
      <c r="AG71" s="37"/>
      <c r="AH71" s="37"/>
      <c r="AI71" s="48"/>
      <c r="AJ71" s="233"/>
      <c r="AK71" s="234"/>
      <c r="AL71" s="234"/>
      <c r="AM71" s="234"/>
      <c r="AN71" s="236" t="str">
        <f t="shared" si="5"/>
        <v/>
      </c>
      <c r="AO71" s="237"/>
      <c r="AP71" s="234"/>
      <c r="AQ71" s="234"/>
      <c r="AR71" s="234"/>
      <c r="AS71" s="236" t="str">
        <f t="shared" si="6"/>
        <v/>
      </c>
      <c r="AT71" s="150" t="str">
        <f t="shared" si="22"/>
        <v/>
      </c>
      <c r="AU71" s="165"/>
      <c r="AV71" s="125"/>
      <c r="AW71" s="125"/>
      <c r="AX71" s="127"/>
      <c r="AY71" s="198" t="str">
        <f t="shared" si="7"/>
        <v/>
      </c>
      <c r="AZ71" s="40"/>
      <c r="BA71" s="37"/>
      <c r="BB71" s="37"/>
      <c r="BC71" s="37"/>
      <c r="BD71" s="61" t="str">
        <f t="shared" si="8"/>
        <v/>
      </c>
      <c r="BE71" s="61" t="str">
        <f t="shared" si="0"/>
        <v/>
      </c>
      <c r="BF71" s="61" t="str">
        <f t="shared" si="1"/>
        <v/>
      </c>
      <c r="BG71" s="61" t="str">
        <f t="shared" si="2"/>
        <v/>
      </c>
      <c r="BH71" s="61" t="str">
        <f t="shared" si="9"/>
        <v/>
      </c>
      <c r="BI71" s="134"/>
      <c r="BJ71" s="134"/>
      <c r="BK71" s="138"/>
      <c r="BL71" s="134"/>
      <c r="BM71" s="136" t="str">
        <f t="shared" si="10"/>
        <v/>
      </c>
      <c r="BN71" s="137"/>
      <c r="BO71" s="63" t="str">
        <f t="shared" si="11"/>
        <v/>
      </c>
      <c r="BP71" s="339" t="str">
        <f t="shared" si="12"/>
        <v/>
      </c>
      <c r="BQ71" s="63" t="str">
        <f t="shared" si="23"/>
        <v/>
      </c>
      <c r="BR71" s="64" t="str">
        <f t="shared" si="13"/>
        <v/>
      </c>
      <c r="BS71" s="160"/>
      <c r="BT71" s="169" t="str">
        <f t="shared" si="14"/>
        <v/>
      </c>
      <c r="BU71" s="36"/>
      <c r="BV71" s="37"/>
      <c r="BW71" s="37"/>
      <c r="BX71" s="37"/>
      <c r="BY71" s="125"/>
      <c r="BZ71" s="69" t="str">
        <f t="shared" si="15"/>
        <v/>
      </c>
      <c r="CA71" s="129"/>
      <c r="CB71" s="129"/>
      <c r="CC71" s="153" t="str">
        <f t="shared" si="16"/>
        <v/>
      </c>
      <c r="CD71" s="203" t="str">
        <f t="shared" si="17"/>
        <v/>
      </c>
      <c r="CE71" s="154" t="str">
        <f t="shared" si="18"/>
        <v/>
      </c>
      <c r="CF71" s="70" t="str">
        <f t="shared" si="19"/>
        <v/>
      </c>
      <c r="CG71" s="71" t="str">
        <f t="shared" si="24"/>
        <v/>
      </c>
      <c r="CH71" s="160"/>
      <c r="CI71" s="28"/>
      <c r="CJ71" s="171"/>
      <c r="CK71" s="271"/>
      <c r="CL71" s="275" t="str">
        <f t="shared" si="20"/>
        <v/>
      </c>
      <c r="CM71" s="275" t="str">
        <f t="shared" si="21"/>
        <v/>
      </c>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c r="HF71" s="3"/>
      <c r="HG71" s="3"/>
      <c r="HH71" s="3"/>
      <c r="HI71" s="3"/>
      <c r="HJ71" s="3"/>
      <c r="HK71" s="3"/>
      <c r="HL71" s="3"/>
      <c r="HM71" s="3"/>
      <c r="HN71" s="3"/>
      <c r="HO71" s="3"/>
      <c r="HP71" s="3"/>
      <c r="HQ71" s="3"/>
      <c r="HR71" s="3"/>
      <c r="HS71" s="3"/>
      <c r="HT71" s="3"/>
      <c r="HU71" s="3"/>
      <c r="HV71" s="3"/>
      <c r="HW71" s="3"/>
      <c r="HX71" s="3"/>
      <c r="HY71" s="3"/>
      <c r="HZ71" s="3"/>
      <c r="IA71" s="3"/>
      <c r="IB71" s="3"/>
      <c r="IC71" s="3"/>
      <c r="ID71" s="3"/>
      <c r="IE71" s="3"/>
      <c r="IF71" s="3"/>
      <c r="IG71" s="3"/>
      <c r="IH71" s="3"/>
      <c r="II71" s="3"/>
      <c r="IJ71" s="3"/>
      <c r="IK71" s="3"/>
      <c r="IL71" s="3"/>
      <c r="IM71" s="3"/>
      <c r="IN71" s="3"/>
      <c r="IO71" s="3"/>
      <c r="IP71" s="3"/>
      <c r="IQ71" s="3"/>
      <c r="IR71" s="3"/>
      <c r="IS71" s="3"/>
      <c r="IT71" s="3"/>
      <c r="IU71" s="3"/>
    </row>
    <row r="72" spans="1:255" ht="13.8" thickBot="1" x14ac:dyDescent="0.25">
      <c r="A72" s="256" t="str">
        <f t="shared" si="3"/>
        <v/>
      </c>
      <c r="B72" s="180"/>
      <c r="C72" s="180"/>
      <c r="D72" s="180"/>
      <c r="E72" s="180"/>
      <c r="F72" s="180"/>
      <c r="G72" s="181"/>
      <c r="H72" s="181"/>
      <c r="I72" s="182"/>
      <c r="J72" s="32"/>
      <c r="K72" s="221"/>
      <c r="L72" s="222"/>
      <c r="M72" s="80"/>
      <c r="N72" s="39"/>
      <c r="O72" s="39"/>
      <c r="P72" s="39"/>
      <c r="Q72" s="39"/>
      <c r="R72" s="225"/>
      <c r="S72" s="225"/>
      <c r="T72" s="225"/>
      <c r="U72" s="60" t="str">
        <f t="shared" si="25"/>
        <v/>
      </c>
      <c r="V72" s="41"/>
      <c r="W72" s="39"/>
      <c r="X72" s="228"/>
      <c r="Y72" s="102"/>
      <c r="Z72" s="105"/>
      <c r="AA72" s="228"/>
      <c r="AB72" s="211" t="str">
        <f t="shared" si="4"/>
        <v/>
      </c>
      <c r="AC72" s="87"/>
      <c r="AD72" s="183"/>
      <c r="AE72" s="38"/>
      <c r="AF72" s="39"/>
      <c r="AG72" s="39"/>
      <c r="AH72" s="39"/>
      <c r="AI72" s="80"/>
      <c r="AJ72" s="239"/>
      <c r="AK72" s="240"/>
      <c r="AL72" s="240"/>
      <c r="AM72" s="240"/>
      <c r="AN72" s="241" t="str">
        <f t="shared" si="5"/>
        <v/>
      </c>
      <c r="AO72" s="242"/>
      <c r="AP72" s="240"/>
      <c r="AQ72" s="240"/>
      <c r="AR72" s="240"/>
      <c r="AS72" s="241" t="str">
        <f t="shared" si="6"/>
        <v/>
      </c>
      <c r="AT72" s="151" t="str">
        <f t="shared" si="22"/>
        <v/>
      </c>
      <c r="AU72" s="166"/>
      <c r="AV72" s="130"/>
      <c r="AW72" s="130"/>
      <c r="AX72" s="131"/>
      <c r="AY72" s="199" t="str">
        <f t="shared" si="7"/>
        <v/>
      </c>
      <c r="AZ72" s="41"/>
      <c r="BA72" s="39"/>
      <c r="BB72" s="39"/>
      <c r="BC72" s="39"/>
      <c r="BD72" s="62" t="str">
        <f t="shared" si="8"/>
        <v/>
      </c>
      <c r="BE72" s="62" t="str">
        <f t="shared" si="0"/>
        <v/>
      </c>
      <c r="BF72" s="62" t="str">
        <f t="shared" si="1"/>
        <v/>
      </c>
      <c r="BG72" s="62" t="str">
        <f t="shared" si="2"/>
        <v/>
      </c>
      <c r="BH72" s="338" t="str">
        <f t="shared" si="9"/>
        <v/>
      </c>
      <c r="BI72" s="139"/>
      <c r="BJ72" s="139"/>
      <c r="BK72" s="140"/>
      <c r="BL72" s="139"/>
      <c r="BM72" s="141" t="str">
        <f t="shared" si="10"/>
        <v/>
      </c>
      <c r="BN72" s="142"/>
      <c r="BO72" s="68" t="str">
        <f t="shared" si="11"/>
        <v/>
      </c>
      <c r="BP72" s="339" t="str">
        <f t="shared" si="12"/>
        <v/>
      </c>
      <c r="BQ72" s="68" t="str">
        <f t="shared" si="23"/>
        <v/>
      </c>
      <c r="BR72" s="65" t="str">
        <f t="shared" si="13"/>
        <v/>
      </c>
      <c r="BS72" s="161"/>
      <c r="BT72" s="169" t="str">
        <f t="shared" si="14"/>
        <v/>
      </c>
      <c r="BU72" s="38"/>
      <c r="BV72" s="39"/>
      <c r="BW72" s="39"/>
      <c r="BX72" s="39"/>
      <c r="BY72" s="130"/>
      <c r="BZ72" s="69" t="str">
        <f t="shared" si="15"/>
        <v/>
      </c>
      <c r="CA72" s="129"/>
      <c r="CB72" s="129"/>
      <c r="CC72" s="153" t="str">
        <f t="shared" si="16"/>
        <v/>
      </c>
      <c r="CD72" s="204" t="str">
        <f t="shared" si="17"/>
        <v/>
      </c>
      <c r="CE72" s="154" t="str">
        <f t="shared" si="18"/>
        <v/>
      </c>
      <c r="CF72" s="75" t="str">
        <f t="shared" si="19"/>
        <v/>
      </c>
      <c r="CG72" s="72" t="str">
        <f t="shared" si="24"/>
        <v/>
      </c>
      <c r="CH72" s="161"/>
      <c r="CI72" s="30"/>
      <c r="CJ72" s="172"/>
      <c r="CK72" s="273"/>
      <c r="CL72" s="275" t="str">
        <f t="shared" si="20"/>
        <v/>
      </c>
      <c r="CM72" s="275" t="str">
        <f t="shared" si="21"/>
        <v/>
      </c>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c r="HF72" s="3"/>
      <c r="HG72" s="3"/>
      <c r="HH72" s="3"/>
      <c r="HI72" s="3"/>
      <c r="HJ72" s="3"/>
      <c r="HK72" s="3"/>
      <c r="HL72" s="3"/>
      <c r="HM72" s="3"/>
      <c r="HN72" s="3"/>
      <c r="HO72" s="3"/>
      <c r="HP72" s="3"/>
      <c r="HQ72" s="3"/>
      <c r="HR72" s="3"/>
      <c r="HS72" s="3"/>
      <c r="HT72" s="3"/>
      <c r="HU72" s="3"/>
      <c r="HV72" s="3"/>
      <c r="HW72" s="3"/>
      <c r="HX72" s="3"/>
      <c r="HY72" s="3"/>
      <c r="HZ72" s="3"/>
      <c r="IA72" s="3"/>
      <c r="IB72" s="3"/>
      <c r="IC72" s="3"/>
      <c r="ID72" s="3"/>
      <c r="IE72" s="3"/>
      <c r="IF72" s="3"/>
      <c r="IG72" s="3"/>
      <c r="IH72" s="3"/>
      <c r="II72" s="3"/>
      <c r="IJ72" s="3"/>
      <c r="IK72" s="3"/>
      <c r="IL72" s="3"/>
      <c r="IM72" s="3"/>
      <c r="IN72" s="3"/>
      <c r="IO72" s="3"/>
      <c r="IP72" s="3"/>
      <c r="IQ72" s="3"/>
      <c r="IR72" s="3"/>
      <c r="IS72" s="3"/>
      <c r="IT72" s="3"/>
      <c r="IU72" s="3"/>
    </row>
    <row r="73" spans="1:255" ht="13.8" thickBot="1" x14ac:dyDescent="0.25">
      <c r="A73" s="380" t="s">
        <v>35</v>
      </c>
      <c r="B73" s="381"/>
      <c r="C73" s="381"/>
      <c r="D73" s="381"/>
      <c r="E73" s="381"/>
      <c r="F73" s="381"/>
      <c r="G73" s="381"/>
      <c r="H73" s="381"/>
      <c r="I73" s="381"/>
      <c r="J73" s="382"/>
      <c r="K73" s="213">
        <f>SUM(K13:K72)</f>
        <v>56050</v>
      </c>
      <c r="L73" s="213">
        <f>SUM(L13:L72)</f>
        <v>0</v>
      </c>
      <c r="M73" s="81" t="s">
        <v>19</v>
      </c>
      <c r="N73" s="55" t="s">
        <v>19</v>
      </c>
      <c r="O73" s="55"/>
      <c r="P73" s="55" t="s">
        <v>19</v>
      </c>
      <c r="Q73" s="55" t="s">
        <v>19</v>
      </c>
      <c r="R73" s="213">
        <f>SUM(R13:R72)</f>
        <v>411</v>
      </c>
      <c r="S73" s="213">
        <f>SUM(S13:S72)</f>
        <v>411</v>
      </c>
      <c r="T73" s="213">
        <f>SUM(T13:T72)</f>
        <v>261</v>
      </c>
      <c r="U73" s="186">
        <f>IF(ISERROR(T73/S73)=TRUE,"",T73/S73)</f>
        <v>0.63503649635036497</v>
      </c>
      <c r="V73" s="185" t="s">
        <v>19</v>
      </c>
      <c r="W73" s="185" t="s">
        <v>19</v>
      </c>
      <c r="X73" s="78">
        <f>SUM(X13:X72)</f>
        <v>0</v>
      </c>
      <c r="Y73" s="79">
        <f>SUM(Y13:Y72)</f>
        <v>0</v>
      </c>
      <c r="Z73" s="55" t="s">
        <v>19</v>
      </c>
      <c r="AA73" s="78">
        <f>SUM(AA13:AA72)</f>
        <v>0</v>
      </c>
      <c r="AB73" s="212">
        <f t="shared" si="4"/>
        <v>0</v>
      </c>
      <c r="AC73" s="88" t="s">
        <v>19</v>
      </c>
      <c r="AD73" s="83">
        <f>IF(ISERROR(COUNTA($AD13:$AD72)/COUNTA($E13:$E72))=TRUE,0,(COUNTA($AD13:$AD72)/COUNTA($E13:$E72)))</f>
        <v>0</v>
      </c>
      <c r="AE73" s="268" t="s">
        <v>19</v>
      </c>
      <c r="AF73" s="185" t="s">
        <v>19</v>
      </c>
      <c r="AG73" s="185"/>
      <c r="AH73" s="185" t="s">
        <v>19</v>
      </c>
      <c r="AI73" s="184" t="s">
        <v>19</v>
      </c>
      <c r="AJ73" s="243">
        <f t="shared" ref="AJ73:AR73" si="26">SUM(AJ13:AJ72)</f>
        <v>0</v>
      </c>
      <c r="AK73" s="213">
        <f t="shared" si="26"/>
        <v>0</v>
      </c>
      <c r="AL73" s="213">
        <f t="shared" si="26"/>
        <v>0</v>
      </c>
      <c r="AM73" s="213">
        <f t="shared" si="26"/>
        <v>31550</v>
      </c>
      <c r="AN73" s="244">
        <f t="shared" si="26"/>
        <v>31550</v>
      </c>
      <c r="AO73" s="243">
        <f t="shared" si="26"/>
        <v>0</v>
      </c>
      <c r="AP73" s="213">
        <f t="shared" si="26"/>
        <v>0</v>
      </c>
      <c r="AQ73" s="213">
        <f t="shared" si="26"/>
        <v>0</v>
      </c>
      <c r="AR73" s="213">
        <f t="shared" si="26"/>
        <v>5497</v>
      </c>
      <c r="AS73" s="244">
        <f t="shared" si="6"/>
        <v>5497</v>
      </c>
      <c r="AT73" s="189">
        <f>IF(OR($AN73="",$AO73="",$AP73="",$AR73=""),"",IF(ISERROR($AS73/$AN73),"",$AS73/$AN73))</f>
        <v>0.17423137876386688</v>
      </c>
      <c r="AU73" s="167">
        <f>SUM(AU13:AU72)</f>
        <v>0</v>
      </c>
      <c r="AV73" s="133">
        <f>SUM(AV13:AV72)</f>
        <v>0</v>
      </c>
      <c r="AW73" s="133">
        <f>SUM(AW13:AW72)</f>
        <v>0</v>
      </c>
      <c r="AX73" s="133">
        <f>SUM(AX13:AX72)</f>
        <v>0</v>
      </c>
      <c r="AY73" s="194">
        <f>IF(AND(AU73="",AV73="",AW73="",AX73=""),"",AU73*0.06+AV73*2+AX73)</f>
        <v>0</v>
      </c>
      <c r="AZ73" s="269" t="s">
        <v>19</v>
      </c>
      <c r="BA73" s="185" t="s">
        <v>19</v>
      </c>
      <c r="BB73" s="185" t="s">
        <v>19</v>
      </c>
      <c r="BC73" s="185" t="s">
        <v>19</v>
      </c>
      <c r="BD73" s="133">
        <f t="shared" si="8"/>
        <v>2511</v>
      </c>
      <c r="BE73" s="133">
        <f t="shared" si="0"/>
        <v>627.75</v>
      </c>
      <c r="BF73" s="133">
        <f t="shared" si="1"/>
        <v>418.5</v>
      </c>
      <c r="BG73" s="133">
        <f t="shared" si="2"/>
        <v>627.75</v>
      </c>
      <c r="BH73" s="188">
        <f>SUM(BH13:BH72)</f>
        <v>4185</v>
      </c>
      <c r="BI73" s="132">
        <f t="shared" ref="BI73:BN73" si="27">SUM(BI13:BI72)</f>
        <v>0</v>
      </c>
      <c r="BJ73" s="133">
        <f t="shared" si="27"/>
        <v>0</v>
      </c>
      <c r="BK73" s="133">
        <f t="shared" si="27"/>
        <v>0</v>
      </c>
      <c r="BL73" s="133">
        <f t="shared" si="27"/>
        <v>0</v>
      </c>
      <c r="BM73" s="188">
        <f>IF(AND(BI73="",BJ73="",BK73="",BL73=""),"",SUM(BI73:BL73))</f>
        <v>0</v>
      </c>
      <c r="BN73" s="133">
        <f t="shared" si="27"/>
        <v>0</v>
      </c>
      <c r="BO73" s="191">
        <f>IF(BM73="","",IF(ISERROR(BM73/BH73),"",BM73/BH73))</f>
        <v>0</v>
      </c>
      <c r="BP73" s="190">
        <f>IF(ISERROR($BM73*1000/$CM73)=TRUE,0,($BM73*1000/$CM73))</f>
        <v>0</v>
      </c>
      <c r="BQ73" s="191">
        <f t="shared" si="23"/>
        <v>0</v>
      </c>
      <c r="BR73" s="192" t="str">
        <f t="shared" si="13"/>
        <v>過少</v>
      </c>
      <c r="BS73" s="193" t="s">
        <v>19</v>
      </c>
      <c r="BT73" s="194">
        <f>SUM(BT13:BT72)</f>
        <v>565</v>
      </c>
      <c r="BU73" s="268" t="s">
        <v>19</v>
      </c>
      <c r="BV73" s="185" t="s">
        <v>19</v>
      </c>
      <c r="BW73" s="185" t="s">
        <v>19</v>
      </c>
      <c r="BX73" s="83">
        <f>IF(ISERROR(COUNTA($BX13:$BX72)/COUNTA($E13:$E72))=TRUE,0,(COUNTA($BX13:$BX72)/COUNTA($E13:$E72)))</f>
        <v>0</v>
      </c>
      <c r="BY73" s="188">
        <f>SUM(BY13:BY72)</f>
        <v>0</v>
      </c>
      <c r="BZ73" s="77">
        <f>IF(ISERROR(BY73/CL73)=TRUE,0,(BY73/CL73))</f>
        <v>0</v>
      </c>
      <c r="CA73" s="133">
        <f>SUM(CA13:CA72)</f>
        <v>0</v>
      </c>
      <c r="CB73" s="133">
        <f>SUM(CB13:CB72)</f>
        <v>0</v>
      </c>
      <c r="CC73" s="201">
        <f t="shared" si="16"/>
        <v>0</v>
      </c>
      <c r="CD73" s="195">
        <f t="shared" si="17"/>
        <v>0</v>
      </c>
      <c r="CE73" s="190">
        <f>IF(ISERROR($CC73*1000/$CM73)=TRUE,0,($CC73*1000/$CM73))</f>
        <v>0</v>
      </c>
      <c r="CF73" s="195">
        <f t="shared" si="19"/>
        <v>0</v>
      </c>
      <c r="CG73" s="196" t="str">
        <f t="shared" si="24"/>
        <v>不足</v>
      </c>
      <c r="CH73" s="187" t="s">
        <v>19</v>
      </c>
      <c r="CI73" s="77" t="str">
        <f>IF(ISERROR(AVERAGE(CI13:CI72)),"",AVERAGE(CI13:CI72))</f>
        <v/>
      </c>
      <c r="CJ73" s="77" t="str">
        <f>IF(ISERROR(AVERAGE(CJ13:CJ72)),"",AVERAGE(CJ13:CJ72))</f>
        <v/>
      </c>
      <c r="CK73" s="274" t="s">
        <v>19</v>
      </c>
      <c r="CL73" s="276">
        <f>SUM(CL13:CL72)</f>
        <v>4185</v>
      </c>
      <c r="CM73" s="276">
        <f>SUM(CM13:CM72)</f>
        <v>0</v>
      </c>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D73" s="2"/>
      <c r="IE73" s="2"/>
      <c r="IF73" s="2"/>
      <c r="IG73" s="2"/>
      <c r="IH73" s="2"/>
      <c r="II73" s="2"/>
      <c r="IJ73" s="2"/>
      <c r="IK73" s="2"/>
      <c r="IL73" s="2"/>
      <c r="IM73" s="2"/>
      <c r="IN73" s="2"/>
      <c r="IO73" s="2"/>
      <c r="IP73" s="2"/>
      <c r="IQ73" s="2"/>
      <c r="IR73" s="2"/>
      <c r="IS73" s="2"/>
      <c r="IT73" s="2"/>
      <c r="IU73" s="2"/>
    </row>
    <row r="74" spans="1:255" x14ac:dyDescent="0.2">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c r="HF74" s="3"/>
      <c r="HG74" s="3"/>
      <c r="HH74" s="3"/>
      <c r="HI74" s="3"/>
      <c r="HJ74" s="3"/>
      <c r="HK74" s="3"/>
      <c r="HL74" s="3"/>
      <c r="HM74" s="3"/>
      <c r="HN74" s="3"/>
      <c r="HO74" s="3"/>
      <c r="HP74" s="3"/>
      <c r="HQ74" s="3"/>
      <c r="HR74" s="3"/>
      <c r="HS74" s="3"/>
      <c r="HT74" s="3"/>
      <c r="HU74" s="3"/>
      <c r="HV74" s="3"/>
      <c r="HW74" s="3"/>
      <c r="HX74" s="3"/>
      <c r="HY74" s="3"/>
      <c r="HZ74" s="3"/>
      <c r="IA74" s="3"/>
      <c r="IB74" s="3"/>
      <c r="IC74" s="3"/>
      <c r="ID74" s="3"/>
      <c r="IE74" s="3"/>
      <c r="IF74" s="3"/>
      <c r="IG74" s="3"/>
      <c r="IH74" s="3"/>
      <c r="II74" s="3"/>
      <c r="IJ74" s="3"/>
      <c r="IK74" s="3"/>
      <c r="IL74" s="3"/>
      <c r="IM74" s="3"/>
      <c r="IN74" s="3"/>
      <c r="IO74" s="3"/>
      <c r="IP74" s="3"/>
      <c r="IQ74" s="3"/>
      <c r="IR74" s="3"/>
      <c r="IS74" s="3"/>
      <c r="IT74" s="3"/>
      <c r="IU74" s="3"/>
    </row>
    <row r="75" spans="1:255" x14ac:dyDescent="0.2">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c r="HF75" s="3"/>
      <c r="HG75" s="3"/>
      <c r="HH75" s="3"/>
      <c r="HI75" s="3"/>
      <c r="HJ75" s="3"/>
      <c r="HK75" s="3"/>
      <c r="HL75" s="3"/>
      <c r="HM75" s="3"/>
      <c r="HN75" s="3"/>
      <c r="HO75" s="3"/>
      <c r="HP75" s="3"/>
      <c r="HQ75" s="3"/>
      <c r="HR75" s="3"/>
      <c r="HS75" s="3"/>
      <c r="HT75" s="3"/>
      <c r="HU75" s="3"/>
      <c r="HV75" s="3"/>
      <c r="HW75" s="3"/>
      <c r="HX75" s="3"/>
      <c r="HY75" s="3"/>
      <c r="HZ75" s="3"/>
      <c r="IA75" s="3"/>
      <c r="IB75" s="3"/>
      <c r="IC75" s="3"/>
      <c r="ID75" s="3"/>
      <c r="IE75" s="3"/>
      <c r="IF75" s="3"/>
      <c r="IG75" s="3"/>
      <c r="IH75" s="3"/>
      <c r="II75" s="3"/>
      <c r="IJ75" s="3"/>
      <c r="IK75" s="3"/>
      <c r="IL75" s="3"/>
      <c r="IM75" s="3"/>
      <c r="IN75" s="3"/>
      <c r="IO75" s="3"/>
      <c r="IP75" s="3"/>
      <c r="IQ75" s="3"/>
      <c r="IR75" s="3"/>
      <c r="IS75" s="3"/>
      <c r="IT75" s="3"/>
      <c r="IU75" s="3"/>
    </row>
    <row r="76" spans="1:255" x14ac:dyDescent="0.2">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c r="HF76" s="3"/>
      <c r="HG76" s="3"/>
      <c r="HH76" s="3"/>
      <c r="HI76" s="3"/>
      <c r="HJ76" s="3"/>
      <c r="HK76" s="3"/>
      <c r="HL76" s="3"/>
      <c r="HM76" s="3"/>
      <c r="HN76" s="3"/>
      <c r="HO76" s="3"/>
      <c r="HP76" s="3"/>
      <c r="HQ76" s="3"/>
      <c r="HR76" s="3"/>
      <c r="HS76" s="3"/>
      <c r="HT76" s="3"/>
      <c r="HU76" s="3"/>
      <c r="HV76" s="3"/>
      <c r="HW76" s="3"/>
      <c r="HX76" s="3"/>
      <c r="HY76" s="3"/>
      <c r="HZ76" s="3"/>
      <c r="IA76" s="3"/>
      <c r="IB76" s="3"/>
      <c r="IC76" s="3"/>
      <c r="ID76" s="3"/>
      <c r="IE76" s="3"/>
      <c r="IF76" s="3"/>
      <c r="IG76" s="3"/>
      <c r="IH76" s="3"/>
      <c r="II76" s="3"/>
      <c r="IJ76" s="3"/>
      <c r="IK76" s="3"/>
      <c r="IL76" s="3"/>
      <c r="IM76" s="3"/>
      <c r="IN76" s="3"/>
      <c r="IO76" s="3"/>
      <c r="IP76" s="3"/>
      <c r="IQ76" s="3"/>
      <c r="IR76" s="3"/>
      <c r="IS76" s="3"/>
      <c r="IT76" s="3"/>
      <c r="IU76" s="3"/>
    </row>
  </sheetData>
  <mergeCells count="108">
    <mergeCell ref="M10:O10"/>
    <mergeCell ref="O11:O12"/>
    <mergeCell ref="AE9:AG9"/>
    <mergeCell ref="AG10:AG12"/>
    <mergeCell ref="CL8:CL12"/>
    <mergeCell ref="A1:D1"/>
    <mergeCell ref="A7:B7"/>
    <mergeCell ref="K8:AD8"/>
    <mergeCell ref="AE8:AT8"/>
    <mergeCell ref="AU8:CJ8"/>
    <mergeCell ref="CK8:CK12"/>
    <mergeCell ref="K9:L10"/>
    <mergeCell ref="M9:U9"/>
    <mergeCell ref="V9:AD9"/>
    <mergeCell ref="BU9:CJ9"/>
    <mergeCell ref="P10:Q10"/>
    <mergeCell ref="R10:R12"/>
    <mergeCell ref="S10:S12"/>
    <mergeCell ref="T10:T12"/>
    <mergeCell ref="U10:U12"/>
    <mergeCell ref="V10:V12"/>
    <mergeCell ref="W10:W12"/>
    <mergeCell ref="X10:X12"/>
    <mergeCell ref="AH9:AI9"/>
    <mergeCell ref="AJ9:AN9"/>
    <mergeCell ref="AO9:AT9"/>
    <mergeCell ref="AU9:AY9"/>
    <mergeCell ref="AZ9:BT9"/>
    <mergeCell ref="AZ11:AZ12"/>
    <mergeCell ref="AE10:AE12"/>
    <mergeCell ref="AF10:AF12"/>
    <mergeCell ref="AH10:AH12"/>
    <mergeCell ref="AI10:AI12"/>
    <mergeCell ref="AJ10:AJ12"/>
    <mergeCell ref="AK10:AK12"/>
    <mergeCell ref="BK11:BK12"/>
    <mergeCell ref="BL11:BL12"/>
    <mergeCell ref="BM11:BM12"/>
    <mergeCell ref="BB11:BB12"/>
    <mergeCell ref="BC11:BC12"/>
    <mergeCell ref="BD11:BD12"/>
    <mergeCell ref="BE11:BE12"/>
    <mergeCell ref="BF11:BF12"/>
    <mergeCell ref="BG11:BG12"/>
    <mergeCell ref="Y10:Y12"/>
    <mergeCell ref="Z10:Z12"/>
    <mergeCell ref="AA10:AA12"/>
    <mergeCell ref="AB10:AB12"/>
    <mergeCell ref="AC10:AC12"/>
    <mergeCell ref="AD10:AD12"/>
    <mergeCell ref="AT10:AT12"/>
    <mergeCell ref="AU10:AU12"/>
    <mergeCell ref="AV10:AV12"/>
    <mergeCell ref="AQ11:AQ12"/>
    <mergeCell ref="AR11:AR12"/>
    <mergeCell ref="AL10:AM10"/>
    <mergeCell ref="AN10:AN12"/>
    <mergeCell ref="AO10:AO12"/>
    <mergeCell ref="AL11:AL12"/>
    <mergeCell ref="AM11:AM12"/>
    <mergeCell ref="BU10:BV10"/>
    <mergeCell ref="BW10:BX10"/>
    <mergeCell ref="BY10:CH10"/>
    <mergeCell ref="CI10:CJ10"/>
    <mergeCell ref="K11:K12"/>
    <mergeCell ref="L11:L12"/>
    <mergeCell ref="M11:M12"/>
    <mergeCell ref="N11:N12"/>
    <mergeCell ref="P11:P12"/>
    <mergeCell ref="Q11:Q12"/>
    <mergeCell ref="BS10:BS12"/>
    <mergeCell ref="BT10:BT12"/>
    <mergeCell ref="AW10:AX10"/>
    <mergeCell ref="AY10:AY12"/>
    <mergeCell ref="AZ10:BA10"/>
    <mergeCell ref="BB10:BC10"/>
    <mergeCell ref="BD10:BH10"/>
    <mergeCell ref="BI10:BN10"/>
    <mergeCell ref="AW11:AW12"/>
    <mergeCell ref="AX11:AX12"/>
    <mergeCell ref="BA11:BA12"/>
    <mergeCell ref="AP10:AP12"/>
    <mergeCell ref="AQ10:AR10"/>
    <mergeCell ref="AS10:AS12"/>
    <mergeCell ref="CM8:CM12"/>
    <mergeCell ref="CH11:CH12"/>
    <mergeCell ref="CI11:CI12"/>
    <mergeCell ref="CJ11:CJ12"/>
    <mergeCell ref="A73:J73"/>
    <mergeCell ref="BZ11:BZ12"/>
    <mergeCell ref="CA11:CC11"/>
    <mergeCell ref="CD11:CD12"/>
    <mergeCell ref="CE11:CE12"/>
    <mergeCell ref="CF11:CF12"/>
    <mergeCell ref="CG11:CG12"/>
    <mergeCell ref="BN11:BN12"/>
    <mergeCell ref="BU11:BU12"/>
    <mergeCell ref="BV11:BV12"/>
    <mergeCell ref="BW11:BW12"/>
    <mergeCell ref="BX11:BX12"/>
    <mergeCell ref="BY11:BY12"/>
    <mergeCell ref="BO10:BO12"/>
    <mergeCell ref="BP10:BP12"/>
    <mergeCell ref="BQ10:BQ12"/>
    <mergeCell ref="BR10:BR12"/>
    <mergeCell ref="BH11:BH12"/>
    <mergeCell ref="BI11:BI12"/>
    <mergeCell ref="BJ11:BJ12"/>
  </mergeCells>
  <phoneticPr fontId="2"/>
  <conditionalFormatting sqref="U13:U73">
    <cfRule type="cellIs" dxfId="5" priority="6" stopIfTrue="1" operator="greaterThan">
      <formula>1</formula>
    </cfRule>
  </conditionalFormatting>
  <conditionalFormatting sqref="BZ13:BZ73">
    <cfRule type="cellIs" dxfId="4" priority="5" stopIfTrue="1" operator="greaterThan">
      <formula>1</formula>
    </cfRule>
  </conditionalFormatting>
  <conditionalFormatting sqref="BR13:BR73">
    <cfRule type="cellIs" dxfId="3" priority="3" stopIfTrue="1" operator="equal">
      <formula>"過少"</formula>
    </cfRule>
    <cfRule type="cellIs" dxfId="2" priority="4" stopIfTrue="1" operator="equal">
      <formula>"超過"</formula>
    </cfRule>
  </conditionalFormatting>
  <conditionalFormatting sqref="CG13:CG73">
    <cfRule type="cellIs" dxfId="1" priority="1" stopIfTrue="1" operator="equal">
      <formula>"超過"</formula>
    </cfRule>
    <cfRule type="cellIs" dxfId="0" priority="2" stopIfTrue="1" operator="equal">
      <formula>"不足"</formula>
    </cfRule>
  </conditionalFormatting>
  <dataValidations count="2">
    <dataValidation type="list" allowBlank="1" showInputMessage="1" sqref="I13:I72" xr:uid="{00000000-0002-0000-0200-000000000000}">
      <formula1>"画面,帳票,バッチ,その他"</formula1>
    </dataValidation>
    <dataValidation type="list" allowBlank="1" showInputMessage="1" sqref="H13:H72" xr:uid="{00000000-0002-0000-0200-000001000000}">
      <formula1>"新規,改造"</formula1>
    </dataValidation>
  </dataValidations>
  <pageMargins left="0.23622047244094491" right="0.23622047244094491" top="0.74803149606299213" bottom="0.74803149606299213" header="0.31496062992125984" footer="0.31496062992125984"/>
  <pageSetup paperSize="8" scale="53" fitToWidth="2" orientation="landscape" r:id="rId1"/>
  <headerFooter alignWithMargins="0">
    <oddHeader>&amp;R&amp;18V2.1</oddHeader>
  </headerFooter>
  <colBreaks count="1" manualBreakCount="1">
    <brk id="46" max="1048575" man="1"/>
  </colBreaks>
  <ignoredErrors>
    <ignoredError sqref="AB13:AB73 CC13:CD73 CF13:CF73" unlockedFormula="1"/>
    <ignoredError sqref="BM13:BM23 BM26:BM73" formula="1" unlocked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O9"/>
  <sheetViews>
    <sheetView showGridLines="0" zoomScale="85" zoomScaleNormal="85" workbookViewId="0">
      <selection activeCell="E14" sqref="E14"/>
    </sheetView>
  </sheetViews>
  <sheetFormatPr defaultRowHeight="13.2" x14ac:dyDescent="0.2"/>
  <cols>
    <col min="1" max="3" width="14.88671875" customWidth="1"/>
    <col min="4" max="4" width="3.21875" customWidth="1"/>
    <col min="5" max="7" width="14.88671875" customWidth="1"/>
    <col min="8" max="8" width="2.77734375" customWidth="1"/>
    <col min="12" max="12" width="1.44140625" customWidth="1"/>
  </cols>
  <sheetData>
    <row r="1" spans="1:15" ht="20.25" customHeight="1" x14ac:dyDescent="0.2">
      <c r="A1" s="44" t="s">
        <v>50</v>
      </c>
      <c r="I1" s="44" t="s">
        <v>51</v>
      </c>
    </row>
    <row r="2" spans="1:15" x14ac:dyDescent="0.2">
      <c r="A2" s="500" t="s">
        <v>49</v>
      </c>
      <c r="B2" s="501"/>
      <c r="C2" s="502"/>
      <c r="E2" s="499" t="s">
        <v>48</v>
      </c>
      <c r="F2" s="499"/>
      <c r="G2" s="499"/>
      <c r="I2" s="500" t="s">
        <v>49</v>
      </c>
      <c r="J2" s="501"/>
      <c r="K2" s="502"/>
      <c r="M2" s="499" t="s">
        <v>48</v>
      </c>
      <c r="N2" s="499"/>
      <c r="O2" s="499"/>
    </row>
    <row r="3" spans="1:15" x14ac:dyDescent="0.2">
      <c r="A3" s="43" t="s">
        <v>45</v>
      </c>
      <c r="B3" s="43" t="s">
        <v>46</v>
      </c>
      <c r="C3" s="173" t="s">
        <v>47</v>
      </c>
      <c r="E3" s="43" t="s">
        <v>45</v>
      </c>
      <c r="F3" s="43" t="s">
        <v>46</v>
      </c>
      <c r="G3" s="173" t="s">
        <v>47</v>
      </c>
      <c r="I3" s="43" t="s">
        <v>45</v>
      </c>
      <c r="J3" s="43" t="s">
        <v>46</v>
      </c>
      <c r="K3" s="43" t="s">
        <v>47</v>
      </c>
      <c r="M3" s="43" t="s">
        <v>45</v>
      </c>
      <c r="N3" s="43" t="s">
        <v>46</v>
      </c>
      <c r="O3" s="43" t="s">
        <v>47</v>
      </c>
    </row>
    <row r="4" spans="1:15" ht="56.25" customHeight="1" x14ac:dyDescent="0.2">
      <c r="A4" s="175" t="s">
        <v>268</v>
      </c>
      <c r="B4" s="175" t="s">
        <v>267</v>
      </c>
      <c r="C4" s="175" t="s">
        <v>267</v>
      </c>
      <c r="D4" s="53"/>
      <c r="E4" s="175"/>
      <c r="F4" s="175"/>
      <c r="G4" s="175"/>
      <c r="I4" s="175"/>
      <c r="J4" s="175"/>
      <c r="K4" s="175"/>
      <c r="M4" s="175"/>
      <c r="N4" s="175"/>
      <c r="O4" s="175"/>
    </row>
    <row r="7" spans="1:15" ht="20.25" customHeight="1" x14ac:dyDescent="0.2">
      <c r="C7" t="s">
        <v>53</v>
      </c>
      <c r="G7" t="s">
        <v>53</v>
      </c>
      <c r="O7" t="s">
        <v>53</v>
      </c>
    </row>
    <row r="8" spans="1:15" x14ac:dyDescent="0.2">
      <c r="C8" s="173" t="s">
        <v>47</v>
      </c>
      <c r="G8" s="54" t="s">
        <v>47</v>
      </c>
      <c r="O8" s="255" t="s">
        <v>47</v>
      </c>
    </row>
    <row r="9" spans="1:15" ht="45" customHeight="1" x14ac:dyDescent="0.2">
      <c r="C9" s="175" t="s">
        <v>99</v>
      </c>
      <c r="G9" s="175" t="s">
        <v>98</v>
      </c>
      <c r="O9" s="45" t="s">
        <v>100</v>
      </c>
    </row>
  </sheetData>
  <mergeCells count="4">
    <mergeCell ref="E2:G2"/>
    <mergeCell ref="M2:O2"/>
    <mergeCell ref="I2:K2"/>
    <mergeCell ref="A2:C2"/>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E20"/>
  <sheetViews>
    <sheetView zoomScale="85" zoomScaleNormal="85" workbookViewId="0">
      <pane ySplit="4" topLeftCell="A5" activePane="bottomLeft" state="frozen"/>
      <selection pane="bottomLeft"/>
    </sheetView>
  </sheetViews>
  <sheetFormatPr defaultRowHeight="13.2" x14ac:dyDescent="0.2"/>
  <cols>
    <col min="1" max="1" width="12.44140625" customWidth="1"/>
    <col min="4" max="4" width="21.21875" style="289" customWidth="1"/>
    <col min="5" max="5" width="73.21875" customWidth="1"/>
  </cols>
  <sheetData>
    <row r="1" spans="1:5" ht="21" x14ac:dyDescent="0.25">
      <c r="A1" s="257" t="s">
        <v>103</v>
      </c>
      <c r="B1" s="258"/>
      <c r="C1" s="258"/>
      <c r="D1" s="286"/>
      <c r="E1" s="258"/>
    </row>
    <row r="2" spans="1:5" x14ac:dyDescent="0.2">
      <c r="A2" s="258"/>
      <c r="B2" s="258"/>
      <c r="C2" s="258"/>
      <c r="D2" s="286"/>
      <c r="E2" s="258"/>
    </row>
    <row r="3" spans="1:5" x14ac:dyDescent="0.2">
      <c r="A3" s="259" t="s">
        <v>104</v>
      </c>
      <c r="B3" s="260" t="s">
        <v>105</v>
      </c>
      <c r="C3" s="287"/>
      <c r="D3" s="340"/>
      <c r="E3" s="261"/>
    </row>
    <row r="4" spans="1:5" x14ac:dyDescent="0.2">
      <c r="A4" s="262"/>
      <c r="B4" s="263" t="s">
        <v>107</v>
      </c>
      <c r="C4" s="341" t="s">
        <v>108</v>
      </c>
      <c r="D4" s="342"/>
      <c r="E4" s="264" t="s">
        <v>106</v>
      </c>
    </row>
    <row r="5" spans="1:5" ht="26.4" x14ac:dyDescent="0.2">
      <c r="A5" s="265">
        <v>41365</v>
      </c>
      <c r="B5" s="266" t="s">
        <v>109</v>
      </c>
      <c r="C5" s="288" t="s">
        <v>215</v>
      </c>
      <c r="D5" s="343" t="s">
        <v>110</v>
      </c>
      <c r="E5" s="267" t="s">
        <v>111</v>
      </c>
    </row>
    <row r="6" spans="1:5" x14ac:dyDescent="0.2">
      <c r="A6" s="506">
        <v>41403</v>
      </c>
      <c r="B6" s="503" t="s">
        <v>127</v>
      </c>
      <c r="C6" s="348" t="s">
        <v>215</v>
      </c>
      <c r="D6" s="344" t="s">
        <v>53</v>
      </c>
      <c r="E6" s="267" t="s">
        <v>118</v>
      </c>
    </row>
    <row r="7" spans="1:5" ht="105.6" x14ac:dyDescent="0.2">
      <c r="A7" s="507"/>
      <c r="B7" s="504"/>
      <c r="C7" s="348"/>
      <c r="D7" s="344" t="s">
        <v>113</v>
      </c>
      <c r="E7" s="267" t="s">
        <v>117</v>
      </c>
    </row>
    <row r="8" spans="1:5" ht="92.4" x14ac:dyDescent="0.2">
      <c r="A8" s="507"/>
      <c r="B8" s="504"/>
      <c r="C8" s="348"/>
      <c r="D8" s="344" t="s">
        <v>112</v>
      </c>
      <c r="E8" s="267" t="s">
        <v>115</v>
      </c>
    </row>
    <row r="9" spans="1:5" x14ac:dyDescent="0.2">
      <c r="A9" s="507"/>
      <c r="B9" s="504"/>
      <c r="C9" s="348"/>
      <c r="D9" s="344" t="s">
        <v>114</v>
      </c>
      <c r="E9" s="267" t="s">
        <v>124</v>
      </c>
    </row>
    <row r="10" spans="1:5" ht="26.4" x14ac:dyDescent="0.2">
      <c r="A10" s="507"/>
      <c r="B10" s="504"/>
      <c r="C10" s="348"/>
      <c r="D10" s="344" t="s">
        <v>122</v>
      </c>
      <c r="E10" s="267" t="s">
        <v>123</v>
      </c>
    </row>
    <row r="11" spans="1:5" ht="158.4" x14ac:dyDescent="0.2">
      <c r="A11" s="507"/>
      <c r="B11" s="504"/>
      <c r="C11" s="348"/>
      <c r="D11" s="344" t="s">
        <v>116</v>
      </c>
      <c r="E11" s="267" t="s">
        <v>119</v>
      </c>
    </row>
    <row r="12" spans="1:5" ht="26.4" x14ac:dyDescent="0.2">
      <c r="A12" s="507"/>
      <c r="B12" s="504"/>
      <c r="C12" s="348"/>
      <c r="D12" s="344" t="s">
        <v>120</v>
      </c>
      <c r="E12" s="267" t="s">
        <v>121</v>
      </c>
    </row>
    <row r="13" spans="1:5" x14ac:dyDescent="0.2">
      <c r="A13" s="508"/>
      <c r="B13" s="505"/>
      <c r="C13" s="349"/>
      <c r="D13" s="344" t="s">
        <v>125</v>
      </c>
      <c r="E13" s="267" t="s">
        <v>126</v>
      </c>
    </row>
    <row r="14" spans="1:5" ht="30.75" customHeight="1" x14ac:dyDescent="0.2">
      <c r="A14" s="279">
        <v>41624</v>
      </c>
      <c r="B14" s="278" t="s">
        <v>128</v>
      </c>
      <c r="C14" s="348" t="s">
        <v>216</v>
      </c>
      <c r="D14" s="345" t="s">
        <v>129</v>
      </c>
      <c r="E14" s="280" t="s">
        <v>156</v>
      </c>
    </row>
    <row r="15" spans="1:5" ht="72" customHeight="1" x14ac:dyDescent="0.2">
      <c r="A15" s="281"/>
      <c r="B15" s="281"/>
      <c r="C15" s="350"/>
      <c r="D15" s="346" t="s">
        <v>161</v>
      </c>
      <c r="E15" s="283" t="s">
        <v>164</v>
      </c>
    </row>
    <row r="16" spans="1:5" ht="30.75" customHeight="1" x14ac:dyDescent="0.2">
      <c r="A16" s="281"/>
      <c r="B16" s="281"/>
      <c r="C16" s="350"/>
      <c r="D16" s="347" t="s">
        <v>162</v>
      </c>
      <c r="E16" s="509" t="s">
        <v>163</v>
      </c>
    </row>
    <row r="17" spans="1:5" ht="30.75" customHeight="1" x14ac:dyDescent="0.2">
      <c r="A17" s="281"/>
      <c r="B17" s="281"/>
      <c r="C17" s="350"/>
      <c r="D17" s="347" t="s">
        <v>154</v>
      </c>
      <c r="E17" s="510"/>
    </row>
    <row r="18" spans="1:5" ht="43.5" customHeight="1" x14ac:dyDescent="0.2">
      <c r="A18" s="281"/>
      <c r="B18" s="281"/>
      <c r="C18" s="350"/>
      <c r="D18" s="347" t="s">
        <v>157</v>
      </c>
      <c r="E18" s="283" t="s">
        <v>159</v>
      </c>
    </row>
    <row r="19" spans="1:5" ht="49.5" customHeight="1" x14ac:dyDescent="0.2">
      <c r="A19" s="282"/>
      <c r="B19" s="282"/>
      <c r="C19" s="351"/>
      <c r="D19" s="347" t="s">
        <v>158</v>
      </c>
      <c r="E19" s="283" t="s">
        <v>160</v>
      </c>
    </row>
    <row r="20" spans="1:5" ht="50.25" customHeight="1" x14ac:dyDescent="0.2">
      <c r="A20" s="363">
        <v>42278</v>
      </c>
      <c r="B20" s="364" t="s">
        <v>264</v>
      </c>
      <c r="C20" s="365" t="s">
        <v>216</v>
      </c>
      <c r="D20" s="366" t="s">
        <v>266</v>
      </c>
      <c r="E20" s="367" t="s">
        <v>265</v>
      </c>
    </row>
  </sheetData>
  <mergeCells count="3">
    <mergeCell ref="B6:B13"/>
    <mergeCell ref="A6:A13"/>
    <mergeCell ref="E16:E17"/>
  </mergeCells>
  <phoneticPr fontId="2"/>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L107"/>
  <sheetViews>
    <sheetView zoomScale="85" zoomScaleNormal="85" workbookViewId="0">
      <selection activeCell="A2" sqref="A2"/>
    </sheetView>
  </sheetViews>
  <sheetFormatPr defaultRowHeight="13.2" x14ac:dyDescent="0.2"/>
  <cols>
    <col min="1" max="1" width="1.33203125" customWidth="1"/>
    <col min="2" max="2" width="3.44140625" customWidth="1"/>
    <col min="3" max="3" width="11.77734375" customWidth="1"/>
    <col min="4" max="12" width="12.109375" customWidth="1"/>
  </cols>
  <sheetData>
    <row r="1" spans="1:11" ht="16.2" x14ac:dyDescent="0.2">
      <c r="A1" s="312" t="s">
        <v>254</v>
      </c>
    </row>
    <row r="3" spans="1:11" ht="16.2" x14ac:dyDescent="0.2">
      <c r="A3" s="312" t="s">
        <v>255</v>
      </c>
      <c r="B3" s="312"/>
      <c r="J3" s="312"/>
    </row>
    <row r="4" spans="1:11" ht="9" customHeight="1" x14ac:dyDescent="0.2">
      <c r="A4" s="312"/>
      <c r="B4" s="312"/>
    </row>
    <row r="5" spans="1:11" ht="18" customHeight="1" x14ac:dyDescent="0.2">
      <c r="A5" s="312"/>
      <c r="B5" s="337" t="s">
        <v>195</v>
      </c>
    </row>
    <row r="6" spans="1:11" ht="18" customHeight="1" x14ac:dyDescent="0.2">
      <c r="A6" s="312"/>
      <c r="B6" s="337" t="s">
        <v>213</v>
      </c>
    </row>
    <row r="7" spans="1:11" ht="18" customHeight="1" x14ac:dyDescent="0.2">
      <c r="A7" s="312"/>
      <c r="B7" s="337" t="s">
        <v>196</v>
      </c>
    </row>
    <row r="8" spans="1:11" ht="14.4" x14ac:dyDescent="0.2">
      <c r="B8" s="337" t="s">
        <v>197</v>
      </c>
      <c r="C8" s="308"/>
    </row>
    <row r="9" spans="1:11" ht="14.4" x14ac:dyDescent="0.2">
      <c r="B9" s="337"/>
      <c r="C9" s="308"/>
    </row>
    <row r="10" spans="1:11" x14ac:dyDescent="0.2">
      <c r="C10" s="308" t="s">
        <v>189</v>
      </c>
    </row>
    <row r="11" spans="1:11" ht="14.4" x14ac:dyDescent="0.2">
      <c r="C11" s="329" t="s">
        <v>198</v>
      </c>
      <c r="K11" s="324"/>
    </row>
    <row r="12" spans="1:11" ht="14.4" x14ac:dyDescent="0.2">
      <c r="C12" t="s">
        <v>187</v>
      </c>
      <c r="K12" s="324"/>
    </row>
    <row r="13" spans="1:11" ht="14.4" x14ac:dyDescent="0.2">
      <c r="K13" s="324"/>
    </row>
    <row r="14" spans="1:11" ht="14.4" x14ac:dyDescent="0.2">
      <c r="C14" t="s">
        <v>191</v>
      </c>
      <c r="K14" s="324"/>
    </row>
    <row r="15" spans="1:11" x14ac:dyDescent="0.2">
      <c r="B15" s="330" t="s">
        <v>192</v>
      </c>
      <c r="C15" s="314" t="s">
        <v>57</v>
      </c>
      <c r="D15" s="315" t="s">
        <v>165</v>
      </c>
      <c r="E15" s="316"/>
      <c r="F15" s="315" t="s">
        <v>166</v>
      </c>
      <c r="G15" s="316"/>
      <c r="H15" s="315" t="s">
        <v>175</v>
      </c>
      <c r="I15" s="316"/>
      <c r="J15" s="315" t="s">
        <v>176</v>
      </c>
      <c r="K15" s="316"/>
    </row>
    <row r="16" spans="1:11" ht="13.8" thickBot="1" x14ac:dyDescent="0.25">
      <c r="B16" s="331" t="s">
        <v>193</v>
      </c>
      <c r="C16" s="317"/>
      <c r="D16" s="318" t="s">
        <v>171</v>
      </c>
      <c r="E16" s="318" t="s">
        <v>172</v>
      </c>
      <c r="F16" s="318" t="s">
        <v>173</v>
      </c>
      <c r="G16" s="318" t="s">
        <v>174</v>
      </c>
      <c r="H16" s="318" t="s">
        <v>183</v>
      </c>
      <c r="I16" s="314" t="s">
        <v>184</v>
      </c>
      <c r="J16" s="314" t="s">
        <v>186</v>
      </c>
      <c r="K16" s="319" t="s">
        <v>185</v>
      </c>
    </row>
    <row r="17" spans="2:12" x14ac:dyDescent="0.2">
      <c r="B17" s="332">
        <v>1</v>
      </c>
      <c r="C17" s="290" t="s">
        <v>167</v>
      </c>
      <c r="D17" s="290">
        <v>100</v>
      </c>
      <c r="E17" s="290">
        <v>120</v>
      </c>
      <c r="F17" s="290">
        <v>120</v>
      </c>
      <c r="G17" s="290">
        <v>150</v>
      </c>
      <c r="H17" s="295">
        <f>G17/1000*80</f>
        <v>12</v>
      </c>
      <c r="I17" s="297">
        <v>12</v>
      </c>
      <c r="J17" s="301">
        <v>12</v>
      </c>
      <c r="K17" s="299">
        <v>1</v>
      </c>
      <c r="L17" t="s">
        <v>180</v>
      </c>
    </row>
    <row r="18" spans="2:12" ht="13.8" thickBot="1" x14ac:dyDescent="0.25">
      <c r="B18" s="333">
        <v>2</v>
      </c>
      <c r="C18" s="291" t="s">
        <v>168</v>
      </c>
      <c r="D18" s="291">
        <v>100</v>
      </c>
      <c r="E18" s="291">
        <v>120</v>
      </c>
      <c r="F18" s="291">
        <v>120</v>
      </c>
      <c r="G18" s="291">
        <v>100</v>
      </c>
      <c r="H18" s="323">
        <f>G18/1000*80</f>
        <v>8</v>
      </c>
      <c r="I18" s="298">
        <v>10</v>
      </c>
      <c r="J18" s="302">
        <v>5</v>
      </c>
      <c r="K18" s="300">
        <v>0.5</v>
      </c>
      <c r="L18" t="s">
        <v>182</v>
      </c>
    </row>
    <row r="19" spans="2:12" x14ac:dyDescent="0.2">
      <c r="B19" s="333">
        <v>3</v>
      </c>
      <c r="C19" s="291" t="s">
        <v>169</v>
      </c>
      <c r="D19" s="291">
        <v>100</v>
      </c>
      <c r="E19" s="291">
        <v>120</v>
      </c>
      <c r="F19" s="310">
        <v>120</v>
      </c>
      <c r="G19" s="295">
        <v>120</v>
      </c>
      <c r="H19" s="322">
        <f>G19/1000*80</f>
        <v>9.6</v>
      </c>
      <c r="I19" s="304"/>
      <c r="J19" s="296"/>
      <c r="K19" s="293"/>
      <c r="L19" t="s">
        <v>181</v>
      </c>
    </row>
    <row r="20" spans="2:12" x14ac:dyDescent="0.2">
      <c r="B20" s="334">
        <v>4</v>
      </c>
      <c r="C20" s="291" t="s">
        <v>170</v>
      </c>
      <c r="D20" s="310">
        <v>100</v>
      </c>
      <c r="E20" s="295">
        <v>120</v>
      </c>
      <c r="F20" s="291">
        <v>120</v>
      </c>
      <c r="G20" s="309"/>
      <c r="H20" s="320"/>
      <c r="I20" s="305"/>
      <c r="J20" s="291"/>
      <c r="K20" s="293"/>
      <c r="L20" t="s">
        <v>178</v>
      </c>
    </row>
    <row r="21" spans="2:12" x14ac:dyDescent="0.2">
      <c r="B21" s="335">
        <v>5</v>
      </c>
      <c r="C21" s="303" t="s">
        <v>179</v>
      </c>
      <c r="D21" s="292">
        <v>100</v>
      </c>
      <c r="E21" s="306"/>
      <c r="F21" s="282"/>
      <c r="G21" s="303"/>
      <c r="H21" s="321"/>
      <c r="I21" s="306"/>
      <c r="J21" s="292"/>
      <c r="K21" s="294"/>
      <c r="L21" t="s">
        <v>177</v>
      </c>
    </row>
    <row r="22" spans="2:12" ht="14.4" x14ac:dyDescent="0.2">
      <c r="H22">
        <f>SUM(H19:H21)</f>
        <v>9.6</v>
      </c>
      <c r="I22">
        <f>SUM(I17:I21)</f>
        <v>22</v>
      </c>
      <c r="J22">
        <f>SUM(J17:J21)</f>
        <v>17</v>
      </c>
      <c r="K22" s="313">
        <f>J22/I22</f>
        <v>0.77272727272727271</v>
      </c>
    </row>
    <row r="23" spans="2:12" ht="14.4" x14ac:dyDescent="0.2">
      <c r="K23" s="324"/>
    </row>
    <row r="24" spans="2:12" ht="14.4" x14ac:dyDescent="0.2">
      <c r="K24" s="324"/>
    </row>
    <row r="25" spans="2:12" x14ac:dyDescent="0.2">
      <c r="C25" s="308" t="s">
        <v>190</v>
      </c>
    </row>
    <row r="26" spans="2:12" ht="14.4" x14ac:dyDescent="0.2">
      <c r="C26" s="308" t="s">
        <v>199</v>
      </c>
      <c r="K26" s="324"/>
    </row>
    <row r="27" spans="2:12" ht="14.4" x14ac:dyDescent="0.2">
      <c r="C27" t="s">
        <v>214</v>
      </c>
      <c r="K27" s="324"/>
    </row>
    <row r="29" spans="2:12" ht="14.4" x14ac:dyDescent="0.2">
      <c r="C29" s="325" t="s">
        <v>188</v>
      </c>
    </row>
    <row r="31" spans="2:12" x14ac:dyDescent="0.2">
      <c r="B31" s="330" t="s">
        <v>192</v>
      </c>
      <c r="C31" s="314" t="s">
        <v>57</v>
      </c>
      <c r="D31" s="315" t="s">
        <v>165</v>
      </c>
      <c r="E31" s="316"/>
      <c r="F31" s="315" t="s">
        <v>166</v>
      </c>
      <c r="G31" s="316"/>
      <c r="H31" s="315" t="s">
        <v>175</v>
      </c>
      <c r="I31" s="316"/>
      <c r="J31" s="315" t="s">
        <v>176</v>
      </c>
      <c r="K31" s="316"/>
    </row>
    <row r="32" spans="2:12" ht="13.8" thickBot="1" x14ac:dyDescent="0.25">
      <c r="B32" s="331" t="s">
        <v>193</v>
      </c>
      <c r="C32" s="317"/>
      <c r="D32" s="318" t="s">
        <v>171</v>
      </c>
      <c r="E32" s="318" t="s">
        <v>172</v>
      </c>
      <c r="F32" s="318" t="s">
        <v>173</v>
      </c>
      <c r="G32" s="318" t="s">
        <v>174</v>
      </c>
      <c r="H32" s="318" t="s">
        <v>183</v>
      </c>
      <c r="I32" s="314" t="s">
        <v>184</v>
      </c>
      <c r="J32" s="314" t="s">
        <v>186</v>
      </c>
      <c r="K32" s="319" t="s">
        <v>185</v>
      </c>
    </row>
    <row r="33" spans="2:12" x14ac:dyDescent="0.2">
      <c r="B33" s="332">
        <v>1</v>
      </c>
      <c r="C33" s="290" t="s">
        <v>167</v>
      </c>
      <c r="D33" s="290">
        <v>100</v>
      </c>
      <c r="E33" s="290">
        <v>120</v>
      </c>
      <c r="F33" s="290">
        <v>120</v>
      </c>
      <c r="G33" s="290">
        <v>150</v>
      </c>
      <c r="H33" s="295">
        <f>G33/1000*80</f>
        <v>12</v>
      </c>
      <c r="I33" s="297">
        <v>12</v>
      </c>
      <c r="J33" s="301">
        <v>12</v>
      </c>
      <c r="K33" s="299">
        <v>1</v>
      </c>
      <c r="L33" t="s">
        <v>180</v>
      </c>
    </row>
    <row r="34" spans="2:12" ht="13.8" thickBot="1" x14ac:dyDescent="0.25">
      <c r="B34" s="333">
        <v>2</v>
      </c>
      <c r="C34" s="291" t="s">
        <v>168</v>
      </c>
      <c r="D34" s="291">
        <v>100</v>
      </c>
      <c r="E34" s="291">
        <v>120</v>
      </c>
      <c r="F34" s="291">
        <v>120</v>
      </c>
      <c r="G34" s="291">
        <v>100</v>
      </c>
      <c r="H34" s="307">
        <f>G34/1000*80</f>
        <v>8</v>
      </c>
      <c r="I34" s="298">
        <v>10</v>
      </c>
      <c r="J34" s="302">
        <v>5</v>
      </c>
      <c r="K34" s="300">
        <v>0.5</v>
      </c>
      <c r="L34" t="s">
        <v>182</v>
      </c>
    </row>
    <row r="35" spans="2:12" ht="13.8" thickBot="1" x14ac:dyDescent="0.25">
      <c r="B35" s="333">
        <v>3</v>
      </c>
      <c r="C35" s="291" t="s">
        <v>169</v>
      </c>
      <c r="D35" s="291">
        <v>100</v>
      </c>
      <c r="E35" s="291">
        <v>120</v>
      </c>
      <c r="F35" s="310">
        <v>120</v>
      </c>
      <c r="G35" s="295">
        <v>120</v>
      </c>
      <c r="H35" s="326">
        <f>G35/1000*80</f>
        <v>9.6</v>
      </c>
      <c r="I35" s="304"/>
      <c r="J35" s="296"/>
      <c r="K35" s="293"/>
      <c r="L35" t="s">
        <v>181</v>
      </c>
    </row>
    <row r="36" spans="2:12" ht="13.8" thickBot="1" x14ac:dyDescent="0.25">
      <c r="B36" s="334">
        <v>4</v>
      </c>
      <c r="C36" s="291" t="s">
        <v>170</v>
      </c>
      <c r="D36" s="310">
        <v>100</v>
      </c>
      <c r="E36" s="295">
        <v>120</v>
      </c>
      <c r="F36" s="311">
        <v>120</v>
      </c>
      <c r="G36" s="309"/>
      <c r="H36" s="327">
        <f>F36/1000*80</f>
        <v>9.6</v>
      </c>
      <c r="I36" s="305"/>
      <c r="J36" s="291"/>
      <c r="K36" s="293"/>
      <c r="L36" t="s">
        <v>178</v>
      </c>
    </row>
    <row r="37" spans="2:12" ht="13.8" thickBot="1" x14ac:dyDescent="0.25">
      <c r="B37" s="335">
        <v>5</v>
      </c>
      <c r="C37" s="303" t="s">
        <v>179</v>
      </c>
      <c r="D37" s="311">
        <v>100</v>
      </c>
      <c r="E37" s="306"/>
      <c r="F37" s="282"/>
      <c r="G37" s="303"/>
      <c r="H37" s="328">
        <f>D37/1000*80</f>
        <v>8</v>
      </c>
      <c r="I37" s="306"/>
      <c r="J37" s="292"/>
      <c r="K37" s="294"/>
      <c r="L37" t="s">
        <v>177</v>
      </c>
    </row>
    <row r="38" spans="2:12" ht="14.4" x14ac:dyDescent="0.2">
      <c r="H38">
        <f>SUM(H35:H37)</f>
        <v>27.2</v>
      </c>
      <c r="I38">
        <f>SUM(I33:I37)</f>
        <v>22</v>
      </c>
      <c r="J38">
        <f>SUM(J33:J37)</f>
        <v>17</v>
      </c>
      <c r="K38" s="313">
        <f>J38/(H38+I38)</f>
        <v>0.34552845528455284</v>
      </c>
    </row>
    <row r="39" spans="2:12" ht="14.4" x14ac:dyDescent="0.2">
      <c r="K39" s="324"/>
    </row>
    <row r="42" spans="2:12" x14ac:dyDescent="0.2">
      <c r="C42" t="s">
        <v>200</v>
      </c>
    </row>
    <row r="43" spans="2:12" x14ac:dyDescent="0.2">
      <c r="C43" t="s">
        <v>211</v>
      </c>
    </row>
    <row r="44" spans="2:12" x14ac:dyDescent="0.2">
      <c r="C44" t="s">
        <v>201</v>
      </c>
    </row>
    <row r="45" spans="2:12" x14ac:dyDescent="0.2">
      <c r="C45" t="s">
        <v>202</v>
      </c>
    </row>
    <row r="47" spans="2:12" x14ac:dyDescent="0.2">
      <c r="C47" t="s">
        <v>212</v>
      </c>
    </row>
    <row r="48" spans="2:12" x14ac:dyDescent="0.2">
      <c r="C48" t="s">
        <v>207</v>
      </c>
    </row>
    <row r="49" spans="1:10" x14ac:dyDescent="0.2">
      <c r="C49" t="s">
        <v>203</v>
      </c>
      <c r="G49" t="s">
        <v>208</v>
      </c>
    </row>
    <row r="50" spans="1:10" x14ac:dyDescent="0.2">
      <c r="C50" t="s">
        <v>204</v>
      </c>
    </row>
    <row r="51" spans="1:10" x14ac:dyDescent="0.2">
      <c r="D51" t="s">
        <v>205</v>
      </c>
      <c r="G51" t="s">
        <v>209</v>
      </c>
    </row>
    <row r="52" spans="1:10" x14ac:dyDescent="0.2">
      <c r="D52" t="s">
        <v>206</v>
      </c>
      <c r="G52" t="s">
        <v>210</v>
      </c>
    </row>
    <row r="56" spans="1:10" ht="16.2" x14ac:dyDescent="0.2">
      <c r="A56" s="312" t="s">
        <v>235</v>
      </c>
      <c r="J56" s="356"/>
    </row>
    <row r="57" spans="1:10" ht="16.2" x14ac:dyDescent="0.2">
      <c r="A57" s="312"/>
    </row>
    <row r="58" spans="1:10" x14ac:dyDescent="0.2">
      <c r="B58" t="s">
        <v>239</v>
      </c>
    </row>
    <row r="60" spans="1:10" x14ac:dyDescent="0.2">
      <c r="B60" s="352" t="s">
        <v>225</v>
      </c>
    </row>
    <row r="61" spans="1:10" x14ac:dyDescent="0.2">
      <c r="C61" s="352" t="s">
        <v>240</v>
      </c>
    </row>
    <row r="62" spans="1:10" x14ac:dyDescent="0.2">
      <c r="C62" s="352" t="s">
        <v>238</v>
      </c>
    </row>
    <row r="63" spans="1:10" x14ac:dyDescent="0.2">
      <c r="C63" s="352" t="s">
        <v>237</v>
      </c>
    </row>
    <row r="64" spans="1:10" x14ac:dyDescent="0.2">
      <c r="C64" s="352" t="s">
        <v>226</v>
      </c>
    </row>
    <row r="65" spans="2:8" x14ac:dyDescent="0.2">
      <c r="C65" s="352" t="s">
        <v>236</v>
      </c>
    </row>
    <row r="66" spans="2:8" x14ac:dyDescent="0.2">
      <c r="C66" s="352" t="s">
        <v>241</v>
      </c>
    </row>
    <row r="67" spans="2:8" x14ac:dyDescent="0.2">
      <c r="C67" s="352" t="s">
        <v>252</v>
      </c>
    </row>
    <row r="69" spans="2:8" x14ac:dyDescent="0.2">
      <c r="B69" t="s">
        <v>218</v>
      </c>
    </row>
    <row r="71" spans="2:8" x14ac:dyDescent="0.2">
      <c r="B71" t="s">
        <v>229</v>
      </c>
    </row>
    <row r="72" spans="2:8" x14ac:dyDescent="0.2">
      <c r="D72" t="s">
        <v>219</v>
      </c>
    </row>
    <row r="73" spans="2:8" x14ac:dyDescent="0.2">
      <c r="D73" t="s">
        <v>223</v>
      </c>
    </row>
    <row r="75" spans="2:8" x14ac:dyDescent="0.2">
      <c r="B75" t="s">
        <v>230</v>
      </c>
      <c r="E75" s="353"/>
      <c r="F75" s="354"/>
      <c r="G75" s="354"/>
      <c r="H75" s="354"/>
    </row>
    <row r="76" spans="2:8" x14ac:dyDescent="0.2">
      <c r="D76" t="s">
        <v>242</v>
      </c>
      <c r="E76" s="353"/>
      <c r="F76" s="354"/>
      <c r="G76" s="354"/>
      <c r="H76" s="354"/>
    </row>
    <row r="77" spans="2:8" x14ac:dyDescent="0.2">
      <c r="D77" t="s">
        <v>220</v>
      </c>
      <c r="E77" s="353"/>
      <c r="F77" s="354"/>
      <c r="G77" s="354"/>
      <c r="H77" s="354"/>
    </row>
    <row r="78" spans="2:8" x14ac:dyDescent="0.2">
      <c r="D78" t="s">
        <v>221</v>
      </c>
      <c r="E78" s="353"/>
      <c r="F78" s="354"/>
      <c r="G78" s="354"/>
      <c r="H78" s="354"/>
    </row>
    <row r="79" spans="2:8" x14ac:dyDescent="0.2">
      <c r="E79" s="353"/>
      <c r="F79" s="354"/>
      <c r="G79" s="354"/>
      <c r="H79" s="354"/>
    </row>
    <row r="80" spans="2:8" x14ac:dyDescent="0.2">
      <c r="B80" t="s">
        <v>243</v>
      </c>
    </row>
    <row r="81" spans="2:8" x14ac:dyDescent="0.2">
      <c r="D81" t="s">
        <v>244</v>
      </c>
    </row>
    <row r="82" spans="2:8" x14ac:dyDescent="0.2">
      <c r="D82" t="s">
        <v>224</v>
      </c>
    </row>
    <row r="83" spans="2:8" ht="13.8" thickBot="1" x14ac:dyDescent="0.25"/>
    <row r="84" spans="2:8" ht="18.75" customHeight="1" thickBot="1" x14ac:dyDescent="0.25">
      <c r="D84" s="355" t="s">
        <v>245</v>
      </c>
      <c r="E84" s="357"/>
      <c r="F84" s="511" t="s">
        <v>222</v>
      </c>
      <c r="G84" s="512"/>
      <c r="H84" s="513"/>
    </row>
    <row r="85" spans="2:8" ht="18.75" customHeight="1" thickBot="1" x14ac:dyDescent="0.25">
      <c r="D85" s="355" t="s">
        <v>227</v>
      </c>
      <c r="E85" s="357"/>
      <c r="F85" s="358">
        <v>72</v>
      </c>
      <c r="G85" s="359" t="s">
        <v>228</v>
      </c>
      <c r="H85" s="359"/>
    </row>
    <row r="86" spans="2:8" x14ac:dyDescent="0.2">
      <c r="E86" s="353"/>
      <c r="F86" s="354"/>
      <c r="G86" s="354"/>
      <c r="H86" s="354"/>
    </row>
    <row r="87" spans="2:8" x14ac:dyDescent="0.2">
      <c r="D87" s="352" t="s">
        <v>246</v>
      </c>
      <c r="E87" s="353"/>
      <c r="F87" s="354"/>
      <c r="G87" s="354"/>
      <c r="H87" s="354"/>
    </row>
    <row r="88" spans="2:8" x14ac:dyDescent="0.2">
      <c r="D88" s="352" t="s">
        <v>232</v>
      </c>
      <c r="E88" s="353"/>
      <c r="F88" s="354"/>
      <c r="G88" s="354"/>
      <c r="H88" s="354"/>
    </row>
    <row r="89" spans="2:8" x14ac:dyDescent="0.2">
      <c r="D89" s="352" t="s">
        <v>253</v>
      </c>
      <c r="E89" s="353"/>
      <c r="F89" s="354"/>
      <c r="G89" s="354"/>
      <c r="H89" s="354"/>
    </row>
    <row r="91" spans="2:8" x14ac:dyDescent="0.2">
      <c r="B91" t="s">
        <v>233</v>
      </c>
    </row>
    <row r="92" spans="2:8" x14ac:dyDescent="0.2">
      <c r="D92" t="s">
        <v>256</v>
      </c>
    </row>
    <row r="97" spans="1:11" x14ac:dyDescent="0.2">
      <c r="D97" t="s">
        <v>247</v>
      </c>
    </row>
    <row r="98" spans="1:11" x14ac:dyDescent="0.2">
      <c r="D98" t="s">
        <v>234</v>
      </c>
    </row>
    <row r="100" spans="1:11" x14ac:dyDescent="0.2">
      <c r="B100" t="s">
        <v>231</v>
      </c>
    </row>
    <row r="101" spans="1:11" x14ac:dyDescent="0.2">
      <c r="D101" t="s">
        <v>217</v>
      </c>
    </row>
    <row r="102" spans="1:11" x14ac:dyDescent="0.2">
      <c r="D102" s="352" t="s">
        <v>248</v>
      </c>
    </row>
    <row r="104" spans="1:11" ht="16.2" x14ac:dyDescent="0.2">
      <c r="A104" s="312" t="s">
        <v>249</v>
      </c>
    </row>
    <row r="105" spans="1:11" x14ac:dyDescent="0.2">
      <c r="C105" t="s">
        <v>251</v>
      </c>
    </row>
    <row r="106" spans="1:11" x14ac:dyDescent="0.2">
      <c r="C106" s="360" t="s">
        <v>250</v>
      </c>
    </row>
    <row r="107" spans="1:11" x14ac:dyDescent="0.2">
      <c r="K107" s="336" t="s">
        <v>194</v>
      </c>
    </row>
  </sheetData>
  <mergeCells count="1">
    <mergeCell ref="F84:H84"/>
  </mergeCells>
  <phoneticPr fontId="2"/>
  <pageMargins left="0.48" right="0.28000000000000003" top="0.74803149606299213" bottom="0.74803149606299213" header="0.31496062992125984" footer="0.31496062992125984"/>
  <pageSetup paperSize="9" scale="5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3" r:id="rId4" name="ボタン 309">
              <controlPr defaultSize="0" print="0" autoFill="0" autoPict="0" macro="[0]!UT_20to21">
                <anchor moveWithCells="1" sizeWithCells="1">
                  <from>
                    <xdr:col>3</xdr:col>
                    <xdr:colOff>60960</xdr:colOff>
                    <xdr:row>92</xdr:row>
                    <xdr:rowOff>99060</xdr:rowOff>
                  </from>
                  <to>
                    <xdr:col>4</xdr:col>
                    <xdr:colOff>213360</xdr:colOff>
                    <xdr:row>94</xdr:row>
                    <xdr:rowOff>83820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5B3AFDF1A27EF4448B30400A700269C9" ma:contentTypeVersion="7" ma:contentTypeDescription="新しいドキュメントを作成します。" ma:contentTypeScope="" ma:versionID="af1e50296a73b747a155d4c5a148cd8b">
  <xsd:schema xmlns:xsd="http://www.w3.org/2001/XMLSchema" xmlns:xs="http://www.w3.org/2001/XMLSchema" xmlns:p="http://schemas.microsoft.com/office/2006/metadata/properties" xmlns:ns2="72c70d25-b9e8-475b-ae7b-39931ca24b85" targetNamespace="http://schemas.microsoft.com/office/2006/metadata/properties" ma:root="true" ma:fieldsID="d7c374c4e1cfeff0cf58497e8c642c22" ns2:_="">
    <xsd:import namespace="72c70d25-b9e8-475b-ae7b-39931ca24b8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c70d25-b9e8-475b-ae7b-39931ca24b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05803F8-ACDB-42BF-B0EB-FC65CDA8E0C8}">
  <ds:schemaRefs>
    <ds:schemaRef ds:uri="http://schemas.microsoft.com/office/2006/metadata/longProperties"/>
  </ds:schemaRefs>
</ds:datastoreItem>
</file>

<file path=customXml/itemProps2.xml><?xml version="1.0" encoding="utf-8"?>
<ds:datastoreItem xmlns:ds="http://schemas.openxmlformats.org/officeDocument/2006/customXml" ds:itemID="{5777A974-FCBE-4CB0-8656-70FC51BEBC9E}">
  <ds:schemaRefs>
    <ds:schemaRef ds:uri="http://schemas.microsoft.com/sharepoint/v3/contenttype/forms"/>
  </ds:schemaRefs>
</ds:datastoreItem>
</file>

<file path=customXml/itemProps3.xml><?xml version="1.0" encoding="utf-8"?>
<ds:datastoreItem xmlns:ds="http://schemas.openxmlformats.org/officeDocument/2006/customXml" ds:itemID="{3FD02F54-2ADB-4445-A7C2-58E78853949A}">
  <ds:schemaRefs>
    <ds:schemaRef ds:uri="72c70d25-b9e8-475b-ae7b-39931ca24b85"/>
    <ds:schemaRef ds:uri="http://www.w3.org/XML/1998/namespace"/>
    <ds:schemaRef ds:uri="http://purl.org/dc/dcmitype/"/>
    <ds:schemaRef ds:uri="http://schemas.microsoft.com/office/2006/metadata/properties"/>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http://purl.org/dc/elements/1.1/"/>
  </ds:schemaRefs>
</ds:datastoreItem>
</file>

<file path=customXml/itemProps4.xml><?xml version="1.0" encoding="utf-8"?>
<ds:datastoreItem xmlns:ds="http://schemas.openxmlformats.org/officeDocument/2006/customXml" ds:itemID="{CF4CAA23-5693-46B9-A07C-667EF7A2C0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c70d25-b9e8-475b-ae7b-39931ca24b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単体プロセス管理票（ＵＴ）v.2.2記入例</vt:lpstr>
      <vt:lpstr>審査・承認</vt:lpstr>
      <vt:lpstr>変更履歴</vt:lpstr>
      <vt:lpstr>V2.1改訂説明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住本千香 / SUMIMOTO, CHIKA</dc:creator>
  <cp:lastModifiedBy>wang.zhiqing</cp:lastModifiedBy>
  <cp:lastPrinted>2018-02-21T07:25:30Z</cp:lastPrinted>
  <dcterms:created xsi:type="dcterms:W3CDTF">2009-02-05T06:46:27Z</dcterms:created>
  <dcterms:modified xsi:type="dcterms:W3CDTF">2019-12-23T09:27:06Z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isplay_urn:schemas-microsoft-com:office:office#Editor">
    <vt:lpwstr>新道 智和</vt:lpwstr>
  </property>
  <property fmtid="{D5CDD505-2E9C-101B-9397-08002B2CF9AE}" pid="3" name="xd_Signature">
    <vt:lpwstr/>
  </property>
  <property fmtid="{D5CDD505-2E9C-101B-9397-08002B2CF9AE}" pid="4" name="Order">
    <vt:lpwstr>274000.000000000</vt:lpwstr>
  </property>
  <property fmtid="{D5CDD505-2E9C-101B-9397-08002B2CF9AE}" pid="5" name="TemplateUrl">
    <vt:lpwstr/>
  </property>
  <property fmtid="{D5CDD505-2E9C-101B-9397-08002B2CF9AE}" pid="6" name="xd_ProgID">
    <vt:lpwstr/>
  </property>
  <property fmtid="{D5CDD505-2E9C-101B-9397-08002B2CF9AE}" pid="7" name="display_urn:schemas-microsoft-com:office:office#Author">
    <vt:lpwstr>新道 智和</vt:lpwstr>
  </property>
  <property fmtid="{D5CDD505-2E9C-101B-9397-08002B2CF9AE}" pid="8" name="ContentTypeId">
    <vt:lpwstr>0x0101005B3AFDF1A27EF4448B30400A700269C9</vt:lpwstr>
  </property>
</Properties>
</file>