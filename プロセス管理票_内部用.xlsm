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o\GitHub\backdoor\"/>
    </mc:Choice>
  </mc:AlternateContent>
  <xr:revisionPtr revIDLastSave="0" documentId="13_ncr:1_{F7243A6D-F484-4EAD-A4CE-45F511C43F99}" xr6:coauthVersionLast="45" xr6:coauthVersionMax="45" xr10:uidLastSave="{00000000-0000-0000-0000-000000000000}"/>
  <bookViews>
    <workbookView xWindow="-120" yWindow="-120" windowWidth="20730" windowHeight="11310" tabRatio="856" xr2:uid="{00000000-000D-0000-FFFF-FFFF00000000}"/>
  </bookViews>
  <sheets>
    <sheet name="スケジュール" sheetId="24" r:id="rId1"/>
    <sheet name="STEP数" sheetId="25" r:id="rId2"/>
  </sheets>
  <externalReferences>
    <externalReference r:id="rId3"/>
  </externalReferences>
  <definedNames>
    <definedName name="_xlnm._FilterDatabase" localSheetId="0" hidden="1">スケジュール!$A$2:$P$126</definedName>
    <definedName name="_xlnm._FilterDatabase" hidden="1">[1]品質チェックシート!#REF!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" i="25" l="1"/>
  <c r="G21" i="25"/>
  <c r="G12" i="25"/>
  <c r="G11" i="25"/>
  <c r="G7" i="25"/>
  <c r="H4" i="25" l="1"/>
  <c r="I4" i="25" s="1"/>
  <c r="H5" i="25"/>
  <c r="I5" i="25" s="1"/>
  <c r="H6" i="25"/>
  <c r="I6" i="25" s="1"/>
  <c r="H7" i="25"/>
  <c r="I7" i="25" s="1"/>
  <c r="K7" i="25" s="1"/>
  <c r="H8" i="25"/>
  <c r="I8" i="25" s="1"/>
  <c r="H9" i="25"/>
  <c r="I9" i="25" s="1"/>
  <c r="H10" i="25"/>
  <c r="I10" i="25" s="1"/>
  <c r="H11" i="25"/>
  <c r="I11" i="25" s="1"/>
  <c r="H12" i="25"/>
  <c r="I12" i="25" s="1"/>
  <c r="H13" i="25"/>
  <c r="I13" i="25" s="1"/>
  <c r="H14" i="25"/>
  <c r="I14" i="25" s="1"/>
  <c r="H15" i="25"/>
  <c r="I15" i="25" s="1"/>
  <c r="H16" i="25"/>
  <c r="I16" i="25" s="1"/>
  <c r="H17" i="25"/>
  <c r="I17" i="25" s="1"/>
  <c r="H18" i="25"/>
  <c r="I18" i="25" s="1"/>
  <c r="H19" i="25"/>
  <c r="I19" i="25" s="1"/>
  <c r="H20" i="25"/>
  <c r="I20" i="25" s="1"/>
  <c r="H21" i="25"/>
  <c r="I21" i="25" s="1"/>
  <c r="H22" i="25"/>
  <c r="I22" i="25" s="1"/>
  <c r="H23" i="25"/>
  <c r="I23" i="25" s="1"/>
  <c r="H24" i="25"/>
  <c r="I24" i="25" s="1"/>
  <c r="H25" i="25"/>
  <c r="I25" i="25" s="1"/>
  <c r="H26" i="25"/>
  <c r="I26" i="25" s="1"/>
  <c r="H27" i="25"/>
  <c r="I27" i="25" s="1"/>
  <c r="H28" i="25"/>
  <c r="I28" i="25" s="1"/>
  <c r="H29" i="25"/>
  <c r="I29" i="25" s="1"/>
  <c r="H30" i="25"/>
  <c r="I30" i="25" s="1"/>
  <c r="H31" i="25"/>
  <c r="I31" i="25" s="1"/>
  <c r="H32" i="25"/>
  <c r="I32" i="25" s="1"/>
  <c r="H33" i="25"/>
  <c r="I33" i="25" s="1"/>
  <c r="H3" i="25"/>
  <c r="I3" i="25" s="1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J33" i="25" l="1"/>
  <c r="L33" i="25"/>
  <c r="K33" i="25"/>
  <c r="M33" i="25"/>
  <c r="J31" i="25"/>
  <c r="L31" i="25"/>
  <c r="K31" i="25"/>
  <c r="M31" i="25"/>
  <c r="J29" i="25"/>
  <c r="L29" i="25"/>
  <c r="K29" i="25"/>
  <c r="M29" i="25"/>
  <c r="J27" i="25"/>
  <c r="L27" i="25"/>
  <c r="K27" i="25"/>
  <c r="M27" i="25"/>
  <c r="J25" i="25"/>
  <c r="L25" i="25"/>
  <c r="K25" i="25"/>
  <c r="M25" i="25"/>
  <c r="J23" i="25"/>
  <c r="L23" i="25"/>
  <c r="K23" i="25"/>
  <c r="M23" i="25"/>
  <c r="J19" i="25"/>
  <c r="L19" i="25"/>
  <c r="K19" i="25"/>
  <c r="M19" i="25"/>
  <c r="J17" i="25"/>
  <c r="L17" i="25"/>
  <c r="K17" i="25"/>
  <c r="M17" i="25"/>
  <c r="J15" i="25"/>
  <c r="L15" i="25"/>
  <c r="K15" i="25"/>
  <c r="M15" i="25"/>
  <c r="J13" i="25"/>
  <c r="L13" i="25"/>
  <c r="K13" i="25"/>
  <c r="M13" i="25"/>
  <c r="J9" i="25"/>
  <c r="L9" i="25"/>
  <c r="K9" i="25"/>
  <c r="M9" i="25"/>
  <c r="J5" i="25"/>
  <c r="L5" i="25"/>
  <c r="K5" i="25"/>
  <c r="M5" i="25"/>
  <c r="M3" i="25"/>
  <c r="K3" i="25"/>
  <c r="L3" i="25"/>
  <c r="J3" i="25"/>
  <c r="J32" i="25"/>
  <c r="L32" i="25"/>
  <c r="K32" i="25"/>
  <c r="M32" i="25"/>
  <c r="J30" i="25"/>
  <c r="L30" i="25"/>
  <c r="K30" i="25"/>
  <c r="M30" i="25"/>
  <c r="J28" i="25"/>
  <c r="L28" i="25"/>
  <c r="K28" i="25"/>
  <c r="M28" i="25"/>
  <c r="J26" i="25"/>
  <c r="L26" i="25"/>
  <c r="K26" i="25"/>
  <c r="M26" i="25"/>
  <c r="J24" i="25"/>
  <c r="L24" i="25"/>
  <c r="K24" i="25"/>
  <c r="M24" i="25"/>
  <c r="J20" i="25"/>
  <c r="L20" i="25"/>
  <c r="K20" i="25"/>
  <c r="M20" i="25"/>
  <c r="J18" i="25"/>
  <c r="L18" i="25"/>
  <c r="K18" i="25"/>
  <c r="M18" i="25"/>
  <c r="J16" i="25"/>
  <c r="L16" i="25"/>
  <c r="K16" i="25"/>
  <c r="M16" i="25"/>
  <c r="J14" i="25"/>
  <c r="L14" i="25"/>
  <c r="K14" i="25"/>
  <c r="M14" i="25"/>
  <c r="J10" i="25"/>
  <c r="L10" i="25"/>
  <c r="K10" i="25"/>
  <c r="M10" i="25"/>
  <c r="J8" i="25"/>
  <c r="L8" i="25"/>
  <c r="K8" i="25"/>
  <c r="M8" i="25"/>
  <c r="J6" i="25"/>
  <c r="L6" i="25"/>
  <c r="K6" i="25"/>
  <c r="M6" i="25"/>
  <c r="J4" i="25"/>
  <c r="L4" i="25"/>
  <c r="K4" i="25"/>
  <c r="M4" i="25"/>
  <c r="K22" i="25"/>
  <c r="L22" i="25"/>
  <c r="J22" i="25"/>
  <c r="M22" i="25"/>
  <c r="K21" i="25"/>
  <c r="M21" i="25"/>
  <c r="J21" i="25"/>
  <c r="L21" i="25"/>
  <c r="K12" i="25"/>
  <c r="M12" i="25"/>
  <c r="J12" i="25"/>
  <c r="L12" i="25"/>
  <c r="K11" i="25"/>
  <c r="M11" i="25"/>
  <c r="J11" i="25"/>
  <c r="L11" i="25"/>
  <c r="L7" i="25"/>
  <c r="J7" i="25"/>
  <c r="M7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U2" authorId="0" shapeId="0" xr:uid="{9B62CD54-57DA-4EEF-BF1E-0676CCC57DC7}">
      <text>
        <r>
          <rPr>
            <b/>
            <sz val="9"/>
            <color indexed="81"/>
            <rFont val="ＭＳ Ｐゴシック"/>
            <family val="3"/>
            <charset val="128"/>
          </rPr>
          <t>作業対象ｽﾃｯﾌﾟ当りのPCL基準値</t>
        </r>
      </text>
    </comment>
    <comment ref="U3" authorId="0" shapeId="0" xr:uid="{95B3649B-3AA1-45C9-88AC-E048CBBDD59A}">
      <text>
        <r>
          <rPr>
            <b/>
            <sz val="9"/>
            <color indexed="81"/>
            <rFont val="ＭＳ Ｐゴシック"/>
            <family val="3"/>
            <charset val="128"/>
          </rPr>
          <t>作業対象ステップ当りの
UTバグ件数基準値</t>
        </r>
      </text>
    </comment>
  </commentList>
</comments>
</file>

<file path=xl/sharedStrings.xml><?xml version="1.0" encoding="utf-8"?>
<sst xmlns="http://schemas.openxmlformats.org/spreadsheetml/2006/main" count="953" uniqueCount="137">
  <si>
    <t>項番</t>
    <rPh sb="0" eb="1">
      <t>コウ</t>
    </rPh>
    <rPh sb="1" eb="2">
      <t>バン</t>
    </rPh>
    <phoneticPr fontId="20"/>
  </si>
  <si>
    <t>開始</t>
    <rPh sb="0" eb="2">
      <t>カイシ</t>
    </rPh>
    <phoneticPr fontId="2"/>
  </si>
  <si>
    <t>終了</t>
    <rPh sb="0" eb="2">
      <t>シュウリョウ</t>
    </rPh>
    <phoneticPr fontId="2"/>
  </si>
  <si>
    <t>チェック項目密度(件/ks）</t>
    <rPh sb="4" eb="6">
      <t>コウモク</t>
    </rPh>
    <rPh sb="6" eb="8">
      <t>ミツド</t>
    </rPh>
    <rPh sb="9" eb="10">
      <t>ケン</t>
    </rPh>
    <phoneticPr fontId="2"/>
  </si>
  <si>
    <t>UT工程_予定密度　※</t>
    <rPh sb="2" eb="4">
      <t>コウテイ</t>
    </rPh>
    <rPh sb="5" eb="7">
      <t>ヨテイ</t>
    </rPh>
    <rPh sb="7" eb="9">
      <t>ミツド</t>
    </rPh>
    <phoneticPr fontId="2"/>
  </si>
  <si>
    <t>バグ密度　　(件/ks）</t>
    <phoneticPr fontId="2"/>
  </si>
  <si>
    <t>-</t>
    <phoneticPr fontId="2"/>
  </si>
  <si>
    <t>正常</t>
    <rPh sb="0" eb="2">
      <t>セイジョウ</t>
    </rPh>
    <phoneticPr fontId="2"/>
  </si>
  <si>
    <t>異常例外</t>
    <rPh sb="0" eb="2">
      <t>イジョウ</t>
    </rPh>
    <rPh sb="2" eb="4">
      <t>レイガイ</t>
    </rPh>
    <phoneticPr fontId="2"/>
  </si>
  <si>
    <t>限界境界</t>
    <rPh sb="0" eb="2">
      <t>ゲンカイ</t>
    </rPh>
    <rPh sb="2" eb="4">
      <t>キョウカイ</t>
    </rPh>
    <phoneticPr fontId="2"/>
  </si>
  <si>
    <t>総計</t>
    <rPh sb="0" eb="2">
      <t>ソウケイ</t>
    </rPh>
    <phoneticPr fontId="2"/>
  </si>
  <si>
    <t>ｲﾝﾀｰﾌｪｰｽ</t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</si>
  <si>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</si>
  <si>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</si>
  <si>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ﾌﾟﾛｸﾞﾗﾑ名</t>
    <rPh sb="7" eb="8">
      <t>メイ</t>
    </rPh>
    <phoneticPr fontId="2"/>
  </si>
  <si>
    <t>#</t>
    <phoneticPr fontId="2"/>
  </si>
  <si>
    <t>(A)</t>
    <phoneticPr fontId="2"/>
  </si>
  <si>
    <t>(B)</t>
    <phoneticPr fontId="2"/>
  </si>
  <si>
    <t>(C)</t>
    <phoneticPr fontId="2"/>
  </si>
  <si>
    <t>(D)</t>
    <phoneticPr fontId="2"/>
  </si>
  <si>
    <t>(E)</t>
    <phoneticPr fontId="2"/>
  </si>
  <si>
    <t>(F)</t>
    <phoneticPr fontId="2"/>
  </si>
  <si>
    <t>PCLの質的比率目安</t>
    <phoneticPr fontId="2"/>
  </si>
  <si>
    <t>VB.NET</t>
    <phoneticPr fontId="2"/>
  </si>
  <si>
    <t>実績参照メニュー</t>
  </si>
  <si>
    <t>工程進捗管理</t>
  </si>
  <si>
    <t>工程進捗管理明細</t>
  </si>
  <si>
    <t>当日実績参照</t>
  </si>
  <si>
    <t>前日以前詳細実績参照</t>
  </si>
  <si>
    <t>成形実績参照</t>
  </si>
  <si>
    <t>成形実績参照詳細</t>
  </si>
  <si>
    <t>成形金型別不良分析</t>
  </si>
  <si>
    <t>その他出庫</t>
  </si>
  <si>
    <t>その他出庫参照・取消</t>
  </si>
  <si>
    <t>工程別集計</t>
  </si>
  <si>
    <t>品名別集計</t>
  </si>
  <si>
    <t>工程品種別集計</t>
  </si>
  <si>
    <t>社員マスタ</t>
  </si>
  <si>
    <t>進捗管理PC版</t>
    <phoneticPr fontId="2"/>
  </si>
  <si>
    <t>その他払出</t>
    <phoneticPr fontId="2"/>
  </si>
  <si>
    <t>権限マスタ</t>
    <phoneticPr fontId="2"/>
  </si>
  <si>
    <t>在庫参照</t>
    <phoneticPr fontId="2"/>
  </si>
  <si>
    <t>実績参照</t>
    <phoneticPr fontId="2"/>
  </si>
  <si>
    <t>Master</t>
    <phoneticPr fontId="2"/>
  </si>
  <si>
    <t>在庫照会と進捗管理メニュー</t>
    <phoneticPr fontId="2"/>
  </si>
  <si>
    <t>Inventory</t>
    <phoneticPr fontId="2"/>
  </si>
  <si>
    <t>Process</t>
    <phoneticPr fontId="2"/>
  </si>
  <si>
    <t>組立進度管理画面</t>
    <phoneticPr fontId="2"/>
  </si>
  <si>
    <t>期間別実績照会画面</t>
    <phoneticPr fontId="2"/>
  </si>
  <si>
    <t>期間別実績照会画面（不具合集計）</t>
    <phoneticPr fontId="2"/>
  </si>
  <si>
    <t>実績管理画面</t>
    <phoneticPr fontId="2"/>
  </si>
  <si>
    <t>マスタ管理</t>
    <rPh sb="3" eb="5">
      <t>カンリ</t>
    </rPh>
    <phoneticPr fontId="2"/>
  </si>
  <si>
    <t>M-01</t>
    <phoneticPr fontId="2"/>
  </si>
  <si>
    <t>K-00A</t>
  </si>
  <si>
    <t>K-00B</t>
  </si>
  <si>
    <t>K-12</t>
  </si>
  <si>
    <t>K-12A</t>
  </si>
  <si>
    <t>K-13</t>
  </si>
  <si>
    <t>K-13A</t>
  </si>
  <si>
    <t>K-14A</t>
  </si>
  <si>
    <t>K-16</t>
  </si>
  <si>
    <t>K-16A</t>
  </si>
  <si>
    <t>K-17</t>
  </si>
  <si>
    <t>K-20</t>
  </si>
  <si>
    <t>K-21</t>
  </si>
  <si>
    <t>K-21A</t>
  </si>
  <si>
    <t>K-21B</t>
  </si>
  <si>
    <t>K-21C</t>
  </si>
  <si>
    <t>M-16</t>
  </si>
  <si>
    <t>M-17</t>
  </si>
  <si>
    <t>Z-01</t>
  </si>
  <si>
    <t>K-18</t>
  </si>
  <si>
    <t>K-15</t>
  </si>
  <si>
    <t>K-15A</t>
  </si>
  <si>
    <t>K-19</t>
  </si>
  <si>
    <t>生産製品マスタ</t>
    <phoneticPr fontId="2"/>
  </si>
  <si>
    <t>生産品名マスタ</t>
    <phoneticPr fontId="2"/>
  </si>
  <si>
    <t>工程マスタ</t>
    <phoneticPr fontId="2"/>
  </si>
  <si>
    <t>通過工程マスタ</t>
    <phoneticPr fontId="2"/>
  </si>
  <si>
    <t>標準工程通過マスタ</t>
    <phoneticPr fontId="2"/>
  </si>
  <si>
    <t>部品構成マスタ</t>
    <phoneticPr fontId="2"/>
  </si>
  <si>
    <t>担当</t>
    <rPh sb="0" eb="2">
      <t>タントウ</t>
    </rPh>
    <phoneticPr fontId="2"/>
  </si>
  <si>
    <t>詹</t>
    <phoneticPr fontId="2"/>
  </si>
  <si>
    <t>王</t>
    <rPh sb="0" eb="1">
      <t>オウ</t>
    </rPh>
    <phoneticPr fontId="2"/>
  </si>
  <si>
    <t>高</t>
    <rPh sb="0" eb="1">
      <t>コウ</t>
    </rPh>
    <phoneticPr fontId="2"/>
  </si>
  <si>
    <t>当日詳細実績参照</t>
    <phoneticPr fontId="2"/>
  </si>
  <si>
    <t>K-14</t>
    <phoneticPr fontId="2"/>
  </si>
  <si>
    <t>前日以前実績参照</t>
    <phoneticPr fontId="2"/>
  </si>
  <si>
    <t>Z-01A</t>
    <phoneticPr fontId="2"/>
  </si>
  <si>
    <t>入出庫来歴照会</t>
    <phoneticPr fontId="2"/>
  </si>
  <si>
    <t>在庫照会</t>
    <phoneticPr fontId="2"/>
  </si>
  <si>
    <t>詹</t>
  </si>
  <si>
    <t>作業内容</t>
    <rPh sb="0" eb="2">
      <t>サギョウ</t>
    </rPh>
    <rPh sb="2" eb="4">
      <t>ナイヨウ</t>
    </rPh>
    <phoneticPr fontId="2"/>
  </si>
  <si>
    <t>-</t>
  </si>
  <si>
    <t>レビュー</t>
    <phoneticPr fontId="2"/>
  </si>
  <si>
    <t>製造管理マスタメンテ</t>
    <phoneticPr fontId="2"/>
  </si>
  <si>
    <t>実績参照メニュー</t>
    <phoneticPr fontId="2"/>
  </si>
  <si>
    <t>工程進捗管理</t>
    <phoneticPr fontId="2"/>
  </si>
  <si>
    <t>工程進捗管理明細</t>
    <phoneticPr fontId="2"/>
  </si>
  <si>
    <t>当日実績参照</t>
    <phoneticPr fontId="2"/>
  </si>
  <si>
    <t>前日以前詳細実績参照</t>
    <phoneticPr fontId="2"/>
  </si>
  <si>
    <t>成形実績参照</t>
    <phoneticPr fontId="2"/>
  </si>
  <si>
    <t>成形実績参照詳細</t>
    <phoneticPr fontId="2"/>
  </si>
  <si>
    <t>成形金型別不良分析</t>
    <phoneticPr fontId="2"/>
  </si>
  <si>
    <t>その他出庫</t>
    <phoneticPr fontId="2"/>
  </si>
  <si>
    <t>その他出庫参照・取消</t>
    <phoneticPr fontId="2"/>
  </si>
  <si>
    <t>工程別集計</t>
    <phoneticPr fontId="2"/>
  </si>
  <si>
    <t>品名別集計</t>
    <phoneticPr fontId="2"/>
  </si>
  <si>
    <t>工程品種別集計</t>
    <phoneticPr fontId="2"/>
  </si>
  <si>
    <t>社員マスタ</t>
    <phoneticPr fontId="2"/>
  </si>
  <si>
    <t>備考</t>
    <rPh sb="0" eb="2">
      <t>ビコウ</t>
    </rPh>
    <phoneticPr fontId="2"/>
  </si>
  <si>
    <t>SQL</t>
    <phoneticPr fontId="2"/>
  </si>
  <si>
    <t>ビュー</t>
    <phoneticPr fontId="2"/>
  </si>
  <si>
    <t>PCL
ケース数</t>
    <rPh sb="7" eb="8">
      <t>スウ</t>
    </rPh>
    <phoneticPr fontId="2"/>
  </si>
  <si>
    <t>異常</t>
    <rPh sb="0" eb="2">
      <t>イジョウ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</si>
  <si>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</si>
  <si>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</si>
  <si>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ステータス</t>
    <phoneticPr fontId="2"/>
  </si>
  <si>
    <t>0：未着手</t>
    <rPh sb="2" eb="5">
      <t>ミチャクシュ</t>
    </rPh>
    <phoneticPr fontId="2"/>
  </si>
  <si>
    <t>1：対応中</t>
    <rPh sb="2" eb="5">
      <t>タイオウチュウ</t>
    </rPh>
    <phoneticPr fontId="2"/>
  </si>
  <si>
    <t>2：保留</t>
    <rPh sb="2" eb="4">
      <t>ホリュウ</t>
    </rPh>
    <phoneticPr fontId="2"/>
  </si>
  <si>
    <t>3：完了</t>
    <rPh sb="2" eb="4">
      <t>カンリョウ</t>
    </rPh>
    <phoneticPr fontId="2"/>
  </si>
  <si>
    <t>1：基本設計書</t>
  </si>
  <si>
    <t>1：基本設計書</t>
    <phoneticPr fontId="2"/>
  </si>
  <si>
    <t>2：製造</t>
    <rPh sb="2" eb="4">
      <t>セイゾウ</t>
    </rPh>
    <phoneticPr fontId="2"/>
  </si>
  <si>
    <t>3：PCL作成</t>
    <rPh sb="5" eb="7">
      <t>サクセイ</t>
    </rPh>
    <phoneticPr fontId="2"/>
  </si>
  <si>
    <t>4：単体実施</t>
    <rPh sb="2" eb="4">
      <t>タンタイ</t>
    </rPh>
    <rPh sb="4" eb="6">
      <t>ジッシ</t>
    </rPh>
    <phoneticPr fontId="2"/>
  </si>
  <si>
    <t>呂</t>
    <rPh sb="0" eb="1">
      <t>ロ</t>
    </rPh>
    <phoneticPr fontId="2"/>
  </si>
  <si>
    <t>限界</t>
    <rPh sb="0" eb="2">
      <t>ゲンカイ</t>
    </rPh>
    <phoneticPr fontId="2"/>
  </si>
  <si>
    <t>インター
フェース</t>
    <phoneticPr fontId="2"/>
  </si>
  <si>
    <t>実STEP数</t>
    <rPh sb="0" eb="1">
      <t>ジツ</t>
    </rPh>
    <rPh sb="5" eb="6">
      <t>スウ</t>
    </rPh>
    <phoneticPr fontId="2"/>
  </si>
  <si>
    <t>実
ケース数</t>
    <rPh sb="0" eb="1">
      <t>ジツ</t>
    </rPh>
    <rPh sb="5" eb="6">
      <t>スウ</t>
    </rPh>
    <phoneticPr fontId="2"/>
  </si>
  <si>
    <t>予定
STEP数</t>
    <rPh sb="0" eb="2">
      <t>ヨテイ</t>
    </rPh>
    <rPh sb="7" eb="8">
      <t>スウ</t>
    </rPh>
    <phoneticPr fontId="2"/>
  </si>
  <si>
    <t>王</t>
    <rPh sb="0" eb="1">
      <t>オウ</t>
    </rPh>
    <phoneticPr fontId="2"/>
  </si>
  <si>
    <t>王</t>
    <rPh sb="0" eb="1">
      <t>オウ</t>
    </rPh>
    <phoneticPr fontId="2"/>
  </si>
  <si>
    <t>予定</t>
    <rPh sb="0" eb="2">
      <t>ヨテイ</t>
    </rPh>
    <phoneticPr fontId="2"/>
  </si>
  <si>
    <t>実績</t>
    <rPh sb="0" eb="2">
      <t>ジッセキ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</si>
</sst>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_ "/>
    <numFmt numFmtId="178" formatCode="0_);[Red]\(0\)"/>
  </numFmts>
  <fonts count="2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6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9" fillId="4" borderId="0" applyNumberFormat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1" fillId="0" borderId="10" xfId="44" applyFont="1" applyFill="1" applyBorder="1" applyAlignment="1">
      <alignment horizontal="left" vertical="center" wrapText="1"/>
    </xf>
    <xf numFmtId="0" fontId="0" fillId="0" borderId="10" xfId="44" applyFont="1" applyFill="1" applyBorder="1" applyAlignment="1">
      <alignment horizontal="left" vertical="center"/>
    </xf>
    <xf numFmtId="0" fontId="0" fillId="0" borderId="12" xfId="42" applyFont="1" applyFill="1" applyBorder="1" applyAlignment="1" applyProtection="1">
      <alignment vertical="center" wrapText="1"/>
    </xf>
    <xf numFmtId="0" fontId="0" fillId="0" borderId="10" xfId="42" applyFont="1" applyFill="1" applyBorder="1" applyAlignment="1" applyProtection="1">
      <alignment vertical="center" wrapText="1"/>
    </xf>
    <xf numFmtId="0" fontId="0" fillId="0" borderId="12" xfId="44" applyFont="1" applyFill="1" applyBorder="1" applyAlignment="1">
      <alignment horizontal="left" vertical="center"/>
    </xf>
    <xf numFmtId="0" fontId="1" fillId="27" borderId="19" xfId="44" applyNumberFormat="1" applyFont="1" applyFill="1" applyBorder="1" applyAlignment="1">
      <alignment horizontal="center" vertical="center" wrapText="1"/>
    </xf>
    <xf numFmtId="49" fontId="0" fillId="0" borderId="12" xfId="44" applyNumberFormat="1" applyFont="1" applyFill="1" applyBorder="1" applyAlignment="1" applyProtection="1">
      <alignment vertical="center"/>
      <protection locked="0"/>
    </xf>
    <xf numFmtId="49" fontId="0" fillId="0" borderId="10" xfId="44" applyNumberFormat="1" applyFont="1" applyFill="1" applyBorder="1" applyAlignment="1" applyProtection="1">
      <alignment vertical="center"/>
      <protection locked="0"/>
    </xf>
    <xf numFmtId="0" fontId="0" fillId="28" borderId="15" xfId="42" applyFont="1" applyFill="1" applyBorder="1" applyAlignment="1" applyProtection="1">
      <alignment horizontal="center" vertical="center"/>
    </xf>
    <xf numFmtId="176" fontId="1" fillId="28" borderId="15" xfId="42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0" fillId="0" borderId="21" xfId="42" applyFont="1" applyFill="1" applyBorder="1" applyAlignment="1" applyProtection="1">
      <alignment vertical="center" wrapText="1"/>
    </xf>
    <xf numFmtId="0" fontId="0" fillId="0" borderId="12" xfId="42" applyFont="1" applyFill="1" applyBorder="1" applyAlignment="1" applyProtection="1">
      <alignment horizontal="center" vertical="center" wrapText="1"/>
    </xf>
    <xf numFmtId="0" fontId="0" fillId="0" borderId="10" xfId="42" applyFont="1" applyFill="1" applyBorder="1" applyAlignment="1" applyProtection="1">
      <alignment horizontal="center" vertical="center" wrapText="1"/>
    </xf>
    <xf numFmtId="0" fontId="0" fillId="0" borderId="10" xfId="44" applyFont="1" applyFill="1" applyBorder="1" applyAlignment="1">
      <alignment horizontal="center" vertical="center"/>
    </xf>
    <xf numFmtId="0" fontId="0" fillId="0" borderId="12" xfId="44" applyFont="1" applyFill="1" applyBorder="1" applyAlignment="1">
      <alignment horizontal="center" vertical="center"/>
    </xf>
    <xf numFmtId="176" fontId="0" fillId="0" borderId="21" xfId="42" applyNumberFormat="1" applyFont="1" applyFill="1" applyBorder="1" applyAlignment="1" applyProtection="1">
      <alignment horizontal="center" vertical="center" wrapText="1"/>
    </xf>
    <xf numFmtId="176" fontId="0" fillId="0" borderId="12" xfId="42" applyNumberFormat="1" applyFont="1" applyFill="1" applyBorder="1" applyAlignment="1" applyProtection="1">
      <alignment horizontal="center" vertical="center" wrapText="1"/>
    </xf>
    <xf numFmtId="176" fontId="0" fillId="0" borderId="10" xfId="42" applyNumberFormat="1" applyFont="1" applyFill="1" applyBorder="1" applyAlignment="1" applyProtection="1">
      <alignment horizontal="center" vertical="center" wrapText="1"/>
    </xf>
    <xf numFmtId="0" fontId="0" fillId="0" borderId="10" xfId="0" applyBorder="1">
      <alignment vertical="center"/>
    </xf>
    <xf numFmtId="0" fontId="24" fillId="25" borderId="0" xfId="42" applyFont="1" applyFill="1" applyAlignment="1">
      <alignment horizontal="center" vertical="center"/>
    </xf>
    <xf numFmtId="0" fontId="24" fillId="25" borderId="17" xfId="42" applyFont="1" applyFill="1" applyBorder="1">
      <alignment vertical="center"/>
    </xf>
    <xf numFmtId="9" fontId="1" fillId="24" borderId="10" xfId="44" applyNumberFormat="1" applyFill="1" applyBorder="1" applyAlignment="1">
      <alignment horizontal="center" vertical="top" wrapText="1"/>
    </xf>
    <xf numFmtId="0" fontId="1" fillId="26" borderId="11" xfId="42" applyFill="1" applyBorder="1" applyAlignment="1"/>
    <xf numFmtId="0" fontId="1" fillId="26" borderId="14" xfId="42" applyFill="1" applyBorder="1" applyAlignment="1"/>
    <xf numFmtId="9" fontId="1" fillId="0" borderId="10" xfId="44" applyNumberFormat="1" applyBorder="1" applyAlignment="1">
      <alignment vertical="top" wrapText="1"/>
    </xf>
    <xf numFmtId="0" fontId="24" fillId="25" borderId="0" xfId="42" applyFont="1" applyFill="1">
      <alignment vertical="center"/>
    </xf>
    <xf numFmtId="0" fontId="1" fillId="26" borderId="13" xfId="42" applyFill="1" applyBorder="1" applyAlignment="1"/>
    <xf numFmtId="177" fontId="23" fillId="0" borderId="10" xfId="42" applyNumberFormat="1" applyFont="1" applyBorder="1" applyAlignment="1">
      <alignment shrinkToFit="1"/>
    </xf>
    <xf numFmtId="178" fontId="0" fillId="0" borderId="10" xfId="0" applyNumberFormat="1" applyBorder="1">
      <alignment vertical="center"/>
    </xf>
    <xf numFmtId="178" fontId="0" fillId="0" borderId="0" xfId="0" applyNumberFormat="1">
      <alignment vertical="center"/>
    </xf>
    <xf numFmtId="176" fontId="22" fillId="28" borderId="20" xfId="42" applyNumberFormat="1" applyFont="1" applyFill="1" applyBorder="1" applyAlignment="1" applyProtection="1">
      <alignment horizontal="center" vertical="center"/>
    </xf>
    <xf numFmtId="176" fontId="22" fillId="24" borderId="20" xfId="42" applyNumberFormat="1" applyFont="1" applyFill="1" applyBorder="1" applyAlignment="1" applyProtection="1">
      <alignment horizontal="center" vertical="center"/>
    </xf>
    <xf numFmtId="0" fontId="1" fillId="29" borderId="10" xfId="44" applyFont="1" applyFill="1" applyBorder="1" applyAlignment="1">
      <alignment horizontal="left" vertical="center" wrapText="1"/>
    </xf>
    <xf numFmtId="0" fontId="0" fillId="29" borderId="10" xfId="42" applyFont="1" applyFill="1" applyBorder="1" applyAlignment="1" applyProtection="1">
      <alignment vertical="center" wrapText="1"/>
    </xf>
    <xf numFmtId="0" fontId="0" fillId="29" borderId="12" xfId="42" applyFont="1" applyFill="1" applyBorder="1" applyAlignment="1" applyProtection="1">
      <alignment vertical="center" wrapText="1"/>
    </xf>
    <xf numFmtId="176" fontId="0" fillId="29" borderId="12" xfId="42" applyNumberFormat="1" applyFont="1" applyFill="1" applyBorder="1" applyAlignment="1" applyProtection="1">
      <alignment horizontal="center" vertical="center" wrapText="1"/>
    </xf>
    <xf numFmtId="0" fontId="0" fillId="29" borderId="12" xfId="42" applyFont="1" applyFill="1" applyBorder="1" applyAlignment="1" applyProtection="1">
      <alignment horizontal="center" vertical="center" wrapText="1"/>
    </xf>
    <xf numFmtId="0" fontId="0" fillId="29" borderId="10" xfId="44" applyFont="1" applyFill="1" applyBorder="1" applyAlignment="1">
      <alignment horizontal="center" vertical="center"/>
    </xf>
    <xf numFmtId="0" fontId="0" fillId="29" borderId="12" xfId="44" applyFont="1" applyFill="1" applyBorder="1" applyAlignment="1">
      <alignment horizontal="center" vertical="center"/>
    </xf>
    <xf numFmtId="49" fontId="0" fillId="29" borderId="12" xfId="44" applyNumberFormat="1" applyFont="1" applyFill="1" applyBorder="1" applyAlignment="1" applyProtection="1">
      <alignment vertical="center"/>
      <protection locked="0"/>
    </xf>
    <xf numFmtId="0" fontId="0" fillId="29" borderId="10" xfId="42" applyFont="1" applyFill="1" applyBorder="1" applyAlignment="1" applyProtection="1">
      <alignment horizontal="center" vertical="center" wrapText="1"/>
    </xf>
    <xf numFmtId="178" fontId="0" fillId="0" borderId="12" xfId="0" applyNumberFormat="1" applyBorder="1">
      <alignment vertical="center"/>
    </xf>
    <xf numFmtId="176" fontId="0" fillId="24" borderId="15" xfId="42" applyNumberFormat="1" applyFont="1" applyFill="1" applyBorder="1" applyAlignment="1" applyProtection="1">
      <alignment horizontal="center" vertical="center"/>
    </xf>
    <xf numFmtId="176" fontId="1" fillId="24" borderId="15" xfId="42" applyNumberFormat="1" applyFont="1" applyFill="1" applyBorder="1" applyAlignment="1" applyProtection="1">
      <alignment horizontal="center" vertical="center"/>
    </xf>
    <xf numFmtId="0" fontId="0" fillId="24" borderId="15" xfId="42" applyFont="1" applyFill="1" applyBorder="1" applyAlignment="1" applyProtection="1">
      <alignment horizontal="center" vertical="center"/>
    </xf>
    <xf numFmtId="0" fontId="0" fillId="30" borderId="12" xfId="42" applyFont="1" applyFill="1" applyBorder="1" applyAlignment="1" applyProtection="1">
      <alignment vertical="center" wrapText="1"/>
    </xf>
    <xf numFmtId="0" fontId="0" fillId="30" borderId="21" xfId="42" applyFont="1" applyFill="1" applyBorder="1" applyAlignment="1" applyProtection="1">
      <alignment vertical="center" wrapText="1"/>
    </xf>
    <xf numFmtId="0" fontId="0" fillId="30" borderId="10" xfId="42" applyFont="1" applyFill="1" applyBorder="1" applyAlignment="1" applyProtection="1">
      <alignment vertical="center" wrapText="1"/>
    </xf>
    <xf numFmtId="178" fontId="0" fillId="30" borderId="12" xfId="0" applyNumberFormat="1" applyFill="1" applyBorder="1">
      <alignment vertical="center"/>
    </xf>
    <xf numFmtId="178" fontId="0" fillId="30" borderId="10" xfId="0" applyNumberFormat="1" applyFill="1" applyBorder="1">
      <alignment vertical="center"/>
    </xf>
    <xf numFmtId="176" fontId="0" fillId="30" borderId="12" xfId="42" applyNumberFormat="1" applyFont="1" applyFill="1" applyBorder="1" applyAlignment="1" applyProtection="1">
      <alignment horizontal="center" vertical="center" wrapText="1"/>
    </xf>
    <xf numFmtId="0" fontId="0" fillId="30" borderId="10" xfId="44" applyFont="1" applyFill="1" applyBorder="1" applyAlignment="1">
      <alignment horizontal="center" vertical="center"/>
    </xf>
    <xf numFmtId="176" fontId="0" fillId="30" borderId="10" xfId="42" applyNumberFormat="1" applyFont="1" applyFill="1" applyBorder="1" applyAlignment="1" applyProtection="1">
      <alignment horizontal="center" vertical="center" wrapText="1"/>
    </xf>
    <xf numFmtId="0" fontId="0" fillId="30" borderId="12" xfId="44" applyFont="1" applyFill="1" applyBorder="1" applyAlignment="1">
      <alignment horizontal="center" vertical="center"/>
    </xf>
    <xf numFmtId="0" fontId="22" fillId="0" borderId="10" xfId="0" applyFont="1" applyBorder="1">
      <alignment vertical="center"/>
    </xf>
    <xf numFmtId="0" fontId="0" fillId="24" borderId="16" xfId="44" applyFont="1" applyFill="1" applyBorder="1" applyAlignment="1">
      <alignment horizontal="center" vertical="center"/>
    </xf>
    <xf numFmtId="0" fontId="1" fillId="24" borderId="22" xfId="44" applyFont="1" applyFill="1" applyBorder="1" applyAlignment="1">
      <alignment horizontal="center" vertical="center"/>
    </xf>
    <xf numFmtId="0" fontId="3" fillId="24" borderId="0" xfId="42" applyFont="1" applyFill="1" applyBorder="1" applyAlignment="1" applyProtection="1">
      <alignment horizontal="center" vertical="center"/>
    </xf>
    <xf numFmtId="0" fontId="3" fillId="24" borderId="23" xfId="42" applyFont="1" applyFill="1" applyBorder="1" applyAlignment="1" applyProtection="1">
      <alignment horizontal="center" vertical="center"/>
    </xf>
    <xf numFmtId="0" fontId="0" fillId="24" borderId="11" xfId="42" applyFont="1" applyFill="1" applyBorder="1" applyAlignment="1" applyProtection="1">
      <alignment horizontal="center" vertical="center"/>
    </xf>
    <xf numFmtId="0" fontId="1" fillId="24" borderId="13" xfId="42" applyFont="1" applyFill="1" applyBorder="1" applyAlignment="1" applyProtection="1">
      <alignment horizontal="center" vertical="center"/>
    </xf>
    <xf numFmtId="0" fontId="1" fillId="24" borderId="14" xfId="42" applyFont="1" applyFill="1" applyBorder="1" applyAlignment="1" applyProtection="1">
      <alignment horizontal="center" vertical="center"/>
    </xf>
    <xf numFmtId="0" fontId="1" fillId="24" borderId="0" xfId="44" applyFont="1" applyFill="1" applyBorder="1" applyAlignment="1">
      <alignment horizontal="center" vertical="center" wrapText="1"/>
    </xf>
    <xf numFmtId="0" fontId="1" fillId="24" borderId="23" xfId="44" applyFont="1" applyFill="1" applyBorder="1" applyAlignment="1">
      <alignment horizontal="center" vertical="center" wrapText="1"/>
    </xf>
    <xf numFmtId="0" fontId="3" fillId="24" borderId="18" xfId="42" applyFont="1" applyFill="1" applyBorder="1" applyAlignment="1" applyProtection="1">
      <alignment horizontal="center" vertical="center"/>
    </xf>
    <xf numFmtId="0" fontId="3" fillId="24" borderId="24" xfId="42" applyFont="1" applyFill="1" applyBorder="1" applyAlignment="1" applyProtection="1">
      <alignment horizontal="center" vertical="center"/>
    </xf>
    <xf numFmtId="0" fontId="1" fillId="28" borderId="11" xfId="42" applyFont="1" applyFill="1" applyBorder="1" applyAlignment="1" applyProtection="1">
      <alignment horizontal="center" vertical="center"/>
    </xf>
    <xf numFmtId="0" fontId="1" fillId="28" borderId="13" xfId="42" applyFont="1" applyFill="1" applyBorder="1" applyAlignment="1" applyProtection="1">
      <alignment horizontal="center" vertical="center"/>
    </xf>
    <xf numFmtId="0" fontId="1" fillId="28" borderId="14" xfId="42" applyFont="1" applyFill="1" applyBorder="1" applyAlignment="1" applyProtection="1">
      <alignment horizontal="center" vertical="center"/>
    </xf>
    <xf numFmtId="0" fontId="1" fillId="24" borderId="11" xfId="42" applyFont="1" applyFill="1" applyBorder="1" applyAlignment="1" applyProtection="1">
      <alignment horizontal="center" vertical="center"/>
    </xf>
    <xf numFmtId="0" fontId="22" fillId="24" borderId="10" xfId="44" applyFont="1" applyFill="1" applyBorder="1" applyAlignment="1">
      <alignment horizontal="center" vertical="center" wrapText="1"/>
    </xf>
    <xf numFmtId="0" fontId="22" fillId="24" borderId="20" xfId="44" applyFont="1" applyFill="1" applyBorder="1" applyAlignment="1">
      <alignment horizontal="center" vertical="center" wrapText="1"/>
    </xf>
    <xf numFmtId="0" fontId="22" fillId="28" borderId="10" xfId="42" applyFont="1" applyFill="1" applyBorder="1" applyAlignment="1" applyProtection="1">
      <alignment horizontal="center" vertical="center"/>
    </xf>
    <xf numFmtId="176" fontId="22" fillId="28" borderId="10" xfId="42" applyNumberFormat="1" applyFont="1" applyFill="1" applyBorder="1" applyAlignment="1" applyProtection="1">
      <alignment horizontal="center" vertical="center" wrapText="1"/>
    </xf>
    <xf numFmtId="176" fontId="22" fillId="28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 wrapText="1"/>
    </xf>
    <xf numFmtId="178" fontId="15" fillId="24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/>
    </xf>
  </cellXfs>
  <cellStyles count="46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区切り 2" xfId="33" xr:uid="{00000000-0005-0000-0000-000022000000}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 xr:uid="{00000000-0005-0000-0000-00002C000000}"/>
    <cellStyle name="標準 2 2" xfId="43" xr:uid="{00000000-0005-0000-0000-00002D000000}"/>
    <cellStyle name="標準_単体プロセス管理表（原紙）" xfId="44" xr:uid="{00000000-0005-0000-0000-00002E000000}"/>
    <cellStyle name="良い" xfId="45" builtinId="26" customBuiltin="1"/>
  </cellStyles>
  <dxfs count="0"/>
  <tableStyles count="0" defaultTableStyle="TableStyleMedium2" defaultPivotStyle="PivotStyleLight16"/>
  <colors>
    <mruColors>
      <color rgb="FFFFFF99"/>
      <color rgb="FF33CCFF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21.122.166\hj_&#12489;&#12461;&#12517;\Documents%20and%20Settings\user\&#12487;&#12473;&#12463;&#12488;&#12483;&#12503;\work\01_EXH\03_&#26908;&#26619;\01_HR\&#21172;&#20685;&#32773;&#21517;&#31807;\PCL\&#21172;&#20685;&#32773;&#21517;&#31807;_&#24115;&#31080;\&#12304;PCL&#12305;__&#21172;&#21517;&#24115;&#31080;&#24467;&#26989;&#21729;&#22522;&#26412;&#12487;&#12540;&#12479;&#21462;&#24471;AP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来歴"/>
      <sheetName val="品質チェックシート"/>
      <sheetName val="テストケース一覧"/>
      <sheetName val="チェックリスト"/>
      <sheetName val="PCL1"/>
      <sheetName val="PCL2"/>
      <sheetName val="PCL3"/>
      <sheetName val="PCL4"/>
      <sheetName val="PCL5"/>
      <sheetName val="PCL6"/>
      <sheetName val="自動発番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A80D2-33FA-4BD6-BC7B-19A11E998029}">
  <dimension ref="A1:S126"/>
  <sheetViews>
    <sheetView tabSelected="1" workbookViewId="0">
      <pane ySplit="2" topLeftCell="A4" activePane="bottomLeft" state="frozen"/>
      <selection pane="bottomLeft" activeCell="F9" sqref="F9"/>
    </sheetView>
  </sheetViews>
  <sheetFormatPr defaultRowHeight="13.5" x14ac:dyDescent="0.15"/>
  <cols>
    <col min="1" max="1" width="5.5" bestFit="1" customWidth="1"/>
    <col min="2" max="2" width="10.375" bestFit="1" customWidth="1"/>
    <col min="3" max="3" width="33.625" bestFit="1" customWidth="1"/>
    <col min="4" max="4" width="13" customWidth="1"/>
    <col min="5" max="5" width="14.5" bestFit="1" customWidth="1"/>
    <col min="6" max="6" width="10.375" bestFit="1" customWidth="1"/>
    <col min="7" max="8" width="6.875" style="11" customWidth="1"/>
    <col min="9" max="9" width="6.875" customWidth="1"/>
    <col min="10" max="11" width="6.875" style="11" customWidth="1"/>
    <col min="12" max="12" width="6.875" customWidth="1"/>
    <col min="13" max="14" width="6.875" style="11" customWidth="1"/>
    <col min="15" max="15" width="6.875" customWidth="1"/>
    <col min="16" max="16" width="10.375" customWidth="1"/>
    <col min="18" max="18" width="13.875" bestFit="1" customWidth="1"/>
  </cols>
  <sheetData>
    <row r="1" spans="1:19" x14ac:dyDescent="0.15">
      <c r="A1" s="64" t="s">
        <v>0</v>
      </c>
      <c r="B1" s="64" t="s">
        <v>14</v>
      </c>
      <c r="C1" s="66" t="s">
        <v>13</v>
      </c>
      <c r="D1" s="59" t="s">
        <v>92</v>
      </c>
      <c r="E1" s="59" t="s">
        <v>12</v>
      </c>
      <c r="F1" s="59" t="s">
        <v>117</v>
      </c>
      <c r="G1" s="71" t="s">
        <v>135</v>
      </c>
      <c r="H1" s="62"/>
      <c r="I1" s="63"/>
      <c r="J1" s="68" t="s">
        <v>136</v>
      </c>
      <c r="K1" s="69"/>
      <c r="L1" s="70"/>
      <c r="M1" s="61" t="s">
        <v>94</v>
      </c>
      <c r="N1" s="62"/>
      <c r="O1" s="63"/>
      <c r="P1" s="57" t="s">
        <v>110</v>
      </c>
    </row>
    <row r="2" spans="1:19" ht="14.25" thickBot="1" x14ac:dyDescent="0.2">
      <c r="A2" s="65"/>
      <c r="B2" s="65"/>
      <c r="C2" s="67"/>
      <c r="D2" s="60"/>
      <c r="E2" s="60"/>
      <c r="F2" s="60"/>
      <c r="G2" s="44" t="s">
        <v>1</v>
      </c>
      <c r="H2" s="45" t="s">
        <v>2</v>
      </c>
      <c r="I2" s="46" t="s">
        <v>81</v>
      </c>
      <c r="J2" s="10" t="s">
        <v>1</v>
      </c>
      <c r="K2" s="10" t="s">
        <v>2</v>
      </c>
      <c r="L2" s="9" t="s">
        <v>81</v>
      </c>
      <c r="M2" s="45" t="s">
        <v>1</v>
      </c>
      <c r="N2" s="45" t="s">
        <v>2</v>
      </c>
      <c r="O2" s="46" t="s">
        <v>81</v>
      </c>
      <c r="P2" s="58"/>
      <c r="R2" s="20" t="s">
        <v>123</v>
      </c>
      <c r="S2" s="20" t="s">
        <v>118</v>
      </c>
    </row>
    <row r="3" spans="1:19" x14ac:dyDescent="0.15">
      <c r="A3" s="6">
        <v>1</v>
      </c>
      <c r="B3" s="5" t="s">
        <v>53</v>
      </c>
      <c r="C3" s="3" t="s">
        <v>24</v>
      </c>
      <c r="D3" s="3" t="s">
        <v>122</v>
      </c>
      <c r="E3" s="12" t="s">
        <v>42</v>
      </c>
      <c r="F3" s="12" t="s">
        <v>121</v>
      </c>
      <c r="G3" s="17">
        <v>43770</v>
      </c>
      <c r="H3" s="18">
        <v>43826</v>
      </c>
      <c r="I3" s="13" t="s">
        <v>82</v>
      </c>
      <c r="J3" s="52">
        <v>43770</v>
      </c>
      <c r="K3" s="52">
        <v>43826</v>
      </c>
      <c r="L3" s="53" t="s">
        <v>91</v>
      </c>
      <c r="M3" s="18">
        <v>43770</v>
      </c>
      <c r="N3" s="18">
        <v>43826</v>
      </c>
      <c r="O3" s="16" t="s">
        <v>83</v>
      </c>
      <c r="P3" s="7"/>
      <c r="R3" s="20" t="s">
        <v>124</v>
      </c>
      <c r="S3" s="20" t="s">
        <v>119</v>
      </c>
    </row>
    <row r="4" spans="1:19" x14ac:dyDescent="0.15">
      <c r="A4" s="6">
        <v>2</v>
      </c>
      <c r="B4" s="1" t="s">
        <v>53</v>
      </c>
      <c r="C4" s="4" t="s">
        <v>96</v>
      </c>
      <c r="D4" s="3" t="s">
        <v>124</v>
      </c>
      <c r="E4" s="4" t="s">
        <v>42</v>
      </c>
      <c r="F4" s="4" t="s">
        <v>121</v>
      </c>
      <c r="G4" s="19">
        <v>43770</v>
      </c>
      <c r="H4" s="19">
        <v>43826</v>
      </c>
      <c r="I4" s="15" t="s">
        <v>91</v>
      </c>
      <c r="J4" s="54">
        <v>43770</v>
      </c>
      <c r="K4" s="54">
        <v>43826</v>
      </c>
      <c r="L4" s="53" t="s">
        <v>91</v>
      </c>
      <c r="M4" s="15" t="s">
        <v>6</v>
      </c>
      <c r="N4" s="15" t="s">
        <v>6</v>
      </c>
      <c r="O4" s="16" t="s">
        <v>6</v>
      </c>
      <c r="P4" s="8" t="s">
        <v>46</v>
      </c>
      <c r="R4" s="20" t="s">
        <v>125</v>
      </c>
      <c r="S4" s="20" t="s">
        <v>120</v>
      </c>
    </row>
    <row r="5" spans="1:19" x14ac:dyDescent="0.15">
      <c r="A5" s="6">
        <v>3</v>
      </c>
      <c r="B5" s="1" t="s">
        <v>53</v>
      </c>
      <c r="C5" s="4" t="s">
        <v>96</v>
      </c>
      <c r="D5" s="3" t="s">
        <v>125</v>
      </c>
      <c r="E5" s="4" t="s">
        <v>42</v>
      </c>
      <c r="F5" s="4" t="s">
        <v>118</v>
      </c>
      <c r="G5" s="19">
        <v>43836</v>
      </c>
      <c r="H5" s="19">
        <v>43836</v>
      </c>
      <c r="I5" s="14" t="s">
        <v>127</v>
      </c>
      <c r="J5" s="54"/>
      <c r="K5" s="54"/>
      <c r="L5" s="53"/>
      <c r="M5" s="19"/>
      <c r="N5" s="19"/>
      <c r="O5" s="16"/>
      <c r="P5" s="8"/>
      <c r="R5" s="20" t="s">
        <v>126</v>
      </c>
      <c r="S5" s="20" t="s">
        <v>121</v>
      </c>
    </row>
    <row r="6" spans="1:19" x14ac:dyDescent="0.15">
      <c r="A6" s="6">
        <v>4</v>
      </c>
      <c r="B6" s="1" t="s">
        <v>53</v>
      </c>
      <c r="C6" s="4" t="s">
        <v>96</v>
      </c>
      <c r="D6" s="3" t="s">
        <v>126</v>
      </c>
      <c r="E6" s="4" t="s">
        <v>42</v>
      </c>
      <c r="F6" s="4" t="s">
        <v>118</v>
      </c>
      <c r="G6" s="19">
        <v>43851</v>
      </c>
      <c r="H6" s="19">
        <v>43851</v>
      </c>
      <c r="I6" s="14" t="s">
        <v>127</v>
      </c>
      <c r="J6" s="54"/>
      <c r="K6" s="54"/>
      <c r="L6" s="53"/>
      <c r="M6" s="19"/>
      <c r="N6" s="19"/>
      <c r="O6" s="16"/>
      <c r="P6" s="8"/>
    </row>
    <row r="7" spans="1:19" x14ac:dyDescent="0.15">
      <c r="A7" s="6">
        <v>5</v>
      </c>
      <c r="B7" s="2" t="s">
        <v>54</v>
      </c>
      <c r="C7" s="4" t="s">
        <v>44</v>
      </c>
      <c r="D7" s="3" t="s">
        <v>122</v>
      </c>
      <c r="E7" s="3" t="s">
        <v>38</v>
      </c>
      <c r="F7" s="3" t="s">
        <v>121</v>
      </c>
      <c r="G7" s="18">
        <v>43770</v>
      </c>
      <c r="H7" s="18">
        <v>43826</v>
      </c>
      <c r="I7" s="13" t="s">
        <v>82</v>
      </c>
      <c r="J7" s="52">
        <v>43770</v>
      </c>
      <c r="K7" s="52">
        <v>43826</v>
      </c>
      <c r="L7" s="55" t="s">
        <v>91</v>
      </c>
      <c r="M7" s="18">
        <v>43770</v>
      </c>
      <c r="N7" s="18">
        <v>43826</v>
      </c>
      <c r="O7" s="16" t="s">
        <v>83</v>
      </c>
      <c r="P7" s="7"/>
    </row>
    <row r="8" spans="1:19" x14ac:dyDescent="0.15">
      <c r="A8" s="6">
        <v>6</v>
      </c>
      <c r="B8" s="1" t="s">
        <v>54</v>
      </c>
      <c r="C8" s="4" t="s">
        <v>44</v>
      </c>
      <c r="D8" s="3" t="s">
        <v>124</v>
      </c>
      <c r="E8" s="3" t="s">
        <v>38</v>
      </c>
      <c r="F8" s="3" t="s">
        <v>121</v>
      </c>
      <c r="G8" s="18">
        <v>43770</v>
      </c>
      <c r="H8" s="18">
        <v>43826</v>
      </c>
      <c r="I8" s="16" t="s">
        <v>91</v>
      </c>
      <c r="J8" s="52">
        <v>43770</v>
      </c>
      <c r="K8" s="52">
        <v>43826</v>
      </c>
      <c r="L8" s="55" t="s">
        <v>91</v>
      </c>
      <c r="M8" s="16" t="s">
        <v>6</v>
      </c>
      <c r="N8" s="16" t="s">
        <v>6</v>
      </c>
      <c r="O8" s="16" t="s">
        <v>6</v>
      </c>
      <c r="P8" s="7" t="s">
        <v>45</v>
      </c>
    </row>
    <row r="9" spans="1:19" x14ac:dyDescent="0.15">
      <c r="A9" s="6">
        <v>7</v>
      </c>
      <c r="B9" s="1" t="s">
        <v>54</v>
      </c>
      <c r="C9" s="4" t="s">
        <v>44</v>
      </c>
      <c r="D9" s="3" t="s">
        <v>125</v>
      </c>
      <c r="E9" s="3" t="s">
        <v>38</v>
      </c>
      <c r="F9" s="4" t="s">
        <v>121</v>
      </c>
      <c r="G9" s="19">
        <v>43836</v>
      </c>
      <c r="H9" s="19">
        <v>43836</v>
      </c>
      <c r="I9" s="13" t="s">
        <v>84</v>
      </c>
      <c r="J9" s="52"/>
      <c r="K9" s="52"/>
      <c r="L9" s="55"/>
      <c r="M9" s="18"/>
      <c r="N9" s="18"/>
      <c r="O9" s="16"/>
      <c r="P9" s="7"/>
    </row>
    <row r="10" spans="1:19" x14ac:dyDescent="0.15">
      <c r="A10" s="6">
        <v>8</v>
      </c>
      <c r="B10" s="1" t="s">
        <v>54</v>
      </c>
      <c r="C10" s="4" t="s">
        <v>44</v>
      </c>
      <c r="D10" s="3" t="s">
        <v>126</v>
      </c>
      <c r="E10" s="3" t="s">
        <v>38</v>
      </c>
      <c r="F10" s="4" t="s">
        <v>118</v>
      </c>
      <c r="G10" s="19">
        <v>43847</v>
      </c>
      <c r="H10" s="19">
        <v>43847</v>
      </c>
      <c r="I10" s="13" t="s">
        <v>84</v>
      </c>
      <c r="J10" s="52"/>
      <c r="K10" s="52"/>
      <c r="L10" s="55"/>
      <c r="M10" s="18"/>
      <c r="N10" s="18"/>
      <c r="O10" s="16"/>
      <c r="P10" s="7"/>
    </row>
    <row r="11" spans="1:19" x14ac:dyDescent="0.15">
      <c r="A11" s="6">
        <v>81</v>
      </c>
      <c r="B11" s="1" t="s">
        <v>70</v>
      </c>
      <c r="C11" s="4" t="s">
        <v>90</v>
      </c>
      <c r="D11" s="3" t="s">
        <v>122</v>
      </c>
      <c r="E11" s="3" t="s">
        <v>41</v>
      </c>
      <c r="F11" s="3" t="s">
        <v>121</v>
      </c>
      <c r="G11" s="18">
        <v>43770</v>
      </c>
      <c r="H11" s="18">
        <v>43826</v>
      </c>
      <c r="I11" s="13" t="s">
        <v>133</v>
      </c>
      <c r="J11" s="52">
        <v>43770</v>
      </c>
      <c r="K11" s="52">
        <v>43826</v>
      </c>
      <c r="L11" s="53" t="s">
        <v>83</v>
      </c>
      <c r="M11" s="18">
        <v>43770</v>
      </c>
      <c r="N11" s="18">
        <v>43826</v>
      </c>
      <c r="O11" s="16" t="s">
        <v>6</v>
      </c>
      <c r="P11" s="7"/>
    </row>
    <row r="12" spans="1:19" x14ac:dyDescent="0.15">
      <c r="A12" s="6">
        <v>82</v>
      </c>
      <c r="B12" s="1" t="s">
        <v>70</v>
      </c>
      <c r="C12" s="4" t="s">
        <v>90</v>
      </c>
      <c r="D12" s="3" t="s">
        <v>124</v>
      </c>
      <c r="E12" s="3" t="s">
        <v>41</v>
      </c>
      <c r="F12" s="3" t="s">
        <v>121</v>
      </c>
      <c r="G12" s="18">
        <v>43770</v>
      </c>
      <c r="H12" s="18">
        <v>43826</v>
      </c>
      <c r="I12" s="15" t="s">
        <v>83</v>
      </c>
      <c r="J12" s="52">
        <v>43770</v>
      </c>
      <c r="K12" s="52">
        <v>43826</v>
      </c>
      <c r="L12" s="53" t="s">
        <v>83</v>
      </c>
      <c r="M12" s="16" t="s">
        <v>6</v>
      </c>
      <c r="N12" s="16" t="s">
        <v>6</v>
      </c>
      <c r="O12" s="16" t="s">
        <v>6</v>
      </c>
      <c r="P12" s="7" t="s">
        <v>45</v>
      </c>
    </row>
    <row r="13" spans="1:19" x14ac:dyDescent="0.15">
      <c r="A13" s="6">
        <v>83</v>
      </c>
      <c r="B13" s="1" t="s">
        <v>70</v>
      </c>
      <c r="C13" s="4" t="s">
        <v>90</v>
      </c>
      <c r="D13" s="3" t="s">
        <v>125</v>
      </c>
      <c r="E13" s="3" t="s">
        <v>41</v>
      </c>
      <c r="F13" s="4" t="s">
        <v>121</v>
      </c>
      <c r="G13" s="18">
        <v>43770</v>
      </c>
      <c r="H13" s="18">
        <v>43826</v>
      </c>
      <c r="I13" s="18" t="s">
        <v>83</v>
      </c>
      <c r="J13" s="52">
        <v>43822</v>
      </c>
      <c r="K13" s="52">
        <v>43824</v>
      </c>
      <c r="L13" s="53" t="s">
        <v>83</v>
      </c>
      <c r="M13" s="18"/>
      <c r="N13" s="18"/>
      <c r="O13" s="16"/>
      <c r="P13" s="7"/>
    </row>
    <row r="14" spans="1:19" x14ac:dyDescent="0.15">
      <c r="A14" s="6">
        <v>84</v>
      </c>
      <c r="B14" s="1" t="s">
        <v>70</v>
      </c>
      <c r="C14" s="4" t="s">
        <v>90</v>
      </c>
      <c r="D14" s="3" t="s">
        <v>126</v>
      </c>
      <c r="E14" s="3" t="s">
        <v>41</v>
      </c>
      <c r="F14" s="4" t="s">
        <v>118</v>
      </c>
      <c r="G14" s="18">
        <v>43852</v>
      </c>
      <c r="H14" s="18">
        <v>43853</v>
      </c>
      <c r="I14" s="14" t="s">
        <v>127</v>
      </c>
      <c r="J14" s="52"/>
      <c r="K14" s="52"/>
      <c r="L14" s="53"/>
      <c r="M14" s="18"/>
      <c r="N14" s="18"/>
      <c r="O14" s="16"/>
      <c r="P14" s="7"/>
    </row>
    <row r="15" spans="1:19" x14ac:dyDescent="0.15">
      <c r="A15" s="6">
        <v>85</v>
      </c>
      <c r="B15" s="1" t="s">
        <v>88</v>
      </c>
      <c r="C15" s="4" t="s">
        <v>89</v>
      </c>
      <c r="D15" s="3" t="s">
        <v>122</v>
      </c>
      <c r="E15" s="3" t="s">
        <v>41</v>
      </c>
      <c r="F15" s="3" t="s">
        <v>121</v>
      </c>
      <c r="G15" s="18">
        <v>43770</v>
      </c>
      <c r="H15" s="18">
        <v>43826</v>
      </c>
      <c r="I15" s="13" t="s">
        <v>133</v>
      </c>
      <c r="J15" s="52">
        <v>43770</v>
      </c>
      <c r="K15" s="52">
        <v>43826</v>
      </c>
      <c r="L15" s="53" t="s">
        <v>83</v>
      </c>
      <c r="M15" s="18">
        <v>43770</v>
      </c>
      <c r="N15" s="18">
        <v>43826</v>
      </c>
      <c r="O15" s="16" t="s">
        <v>6</v>
      </c>
      <c r="P15" s="7"/>
    </row>
    <row r="16" spans="1:19" x14ac:dyDescent="0.15">
      <c r="A16" s="6">
        <v>86</v>
      </c>
      <c r="B16" s="1" t="s">
        <v>88</v>
      </c>
      <c r="C16" s="4" t="s">
        <v>89</v>
      </c>
      <c r="D16" s="3" t="s">
        <v>124</v>
      </c>
      <c r="E16" s="3" t="s">
        <v>41</v>
      </c>
      <c r="F16" s="3" t="s">
        <v>121</v>
      </c>
      <c r="G16" s="18">
        <v>43770</v>
      </c>
      <c r="H16" s="18">
        <v>43826</v>
      </c>
      <c r="I16" s="15" t="s">
        <v>83</v>
      </c>
      <c r="J16" s="52">
        <v>43770</v>
      </c>
      <c r="K16" s="52">
        <v>43826</v>
      </c>
      <c r="L16" s="53" t="s">
        <v>83</v>
      </c>
      <c r="M16" s="16" t="s">
        <v>6</v>
      </c>
      <c r="N16" s="16" t="s">
        <v>6</v>
      </c>
      <c r="O16" s="16" t="s">
        <v>6</v>
      </c>
      <c r="P16" s="7" t="s">
        <v>45</v>
      </c>
    </row>
    <row r="17" spans="1:16" x14ac:dyDescent="0.15">
      <c r="A17" s="6">
        <v>87</v>
      </c>
      <c r="B17" s="1" t="s">
        <v>88</v>
      </c>
      <c r="C17" s="4" t="s">
        <v>89</v>
      </c>
      <c r="D17" s="3" t="s">
        <v>125</v>
      </c>
      <c r="E17" s="3" t="s">
        <v>41</v>
      </c>
      <c r="F17" s="4" t="s">
        <v>118</v>
      </c>
      <c r="G17" s="18">
        <v>43837</v>
      </c>
      <c r="H17" s="18">
        <v>43837</v>
      </c>
      <c r="I17" s="14" t="s">
        <v>127</v>
      </c>
      <c r="J17" s="52"/>
      <c r="K17" s="52"/>
      <c r="L17" s="53"/>
      <c r="M17" s="18"/>
      <c r="N17" s="18"/>
      <c r="O17" s="16"/>
      <c r="P17" s="7"/>
    </row>
    <row r="18" spans="1:16" x14ac:dyDescent="0.15">
      <c r="A18" s="6">
        <v>88</v>
      </c>
      <c r="B18" s="1" t="s">
        <v>88</v>
      </c>
      <c r="C18" s="4" t="s">
        <v>89</v>
      </c>
      <c r="D18" s="3" t="s">
        <v>126</v>
      </c>
      <c r="E18" s="3" t="s">
        <v>41</v>
      </c>
      <c r="F18" s="4" t="s">
        <v>118</v>
      </c>
      <c r="G18" s="18">
        <v>43854</v>
      </c>
      <c r="H18" s="18">
        <v>43854</v>
      </c>
      <c r="I18" s="14" t="s">
        <v>127</v>
      </c>
      <c r="J18" s="52"/>
      <c r="K18" s="52"/>
      <c r="L18" s="53"/>
      <c r="M18" s="18"/>
      <c r="N18" s="18"/>
      <c r="O18" s="16"/>
      <c r="P18" s="7"/>
    </row>
    <row r="19" spans="1:16" x14ac:dyDescent="0.15">
      <c r="A19" s="6">
        <v>9</v>
      </c>
      <c r="B19" s="2" t="s">
        <v>55</v>
      </c>
      <c r="C19" s="4" t="s">
        <v>25</v>
      </c>
      <c r="D19" s="3" t="s">
        <v>122</v>
      </c>
      <c r="E19" s="3" t="s">
        <v>38</v>
      </c>
      <c r="F19" s="3" t="s">
        <v>121</v>
      </c>
      <c r="G19" s="18">
        <v>43770</v>
      </c>
      <c r="H19" s="18">
        <v>43826</v>
      </c>
      <c r="I19" s="13" t="s">
        <v>82</v>
      </c>
      <c r="J19" s="52">
        <v>43770</v>
      </c>
      <c r="K19" s="52">
        <v>43826</v>
      </c>
      <c r="L19" s="53" t="s">
        <v>91</v>
      </c>
      <c r="M19" s="18">
        <v>43770</v>
      </c>
      <c r="N19" s="18">
        <v>43826</v>
      </c>
      <c r="O19" s="16" t="s">
        <v>83</v>
      </c>
      <c r="P19" s="7"/>
    </row>
    <row r="20" spans="1:16" x14ac:dyDescent="0.15">
      <c r="A20" s="6">
        <v>10</v>
      </c>
      <c r="B20" s="1" t="s">
        <v>55</v>
      </c>
      <c r="C20" s="4" t="s">
        <v>97</v>
      </c>
      <c r="D20" s="3" t="s">
        <v>124</v>
      </c>
      <c r="E20" s="3" t="s">
        <v>38</v>
      </c>
      <c r="F20" s="4" t="s">
        <v>118</v>
      </c>
      <c r="G20" s="18">
        <v>43847</v>
      </c>
      <c r="H20" s="18">
        <v>43851</v>
      </c>
      <c r="I20" s="13" t="s">
        <v>82</v>
      </c>
      <c r="J20" s="52"/>
      <c r="K20" s="52"/>
      <c r="L20" s="53"/>
      <c r="M20" s="16"/>
      <c r="N20" s="16"/>
      <c r="O20" s="16"/>
      <c r="P20" s="7" t="s">
        <v>45</v>
      </c>
    </row>
    <row r="21" spans="1:16" x14ac:dyDescent="0.15">
      <c r="A21" s="6">
        <v>11</v>
      </c>
      <c r="B21" s="1" t="s">
        <v>55</v>
      </c>
      <c r="C21" s="4" t="s">
        <v>97</v>
      </c>
      <c r="D21" s="3" t="s">
        <v>125</v>
      </c>
      <c r="E21" s="3" t="s">
        <v>38</v>
      </c>
      <c r="F21" s="4" t="s">
        <v>118</v>
      </c>
      <c r="G21" s="18">
        <v>43838</v>
      </c>
      <c r="H21" s="18">
        <v>43839</v>
      </c>
      <c r="I21" s="14" t="s">
        <v>127</v>
      </c>
      <c r="J21" s="52"/>
      <c r="K21" s="52"/>
      <c r="L21" s="53"/>
      <c r="M21" s="18"/>
      <c r="N21" s="18"/>
      <c r="O21" s="16"/>
      <c r="P21" s="7"/>
    </row>
    <row r="22" spans="1:16" x14ac:dyDescent="0.15">
      <c r="A22" s="6">
        <v>12</v>
      </c>
      <c r="B22" s="1" t="s">
        <v>55</v>
      </c>
      <c r="C22" s="4" t="s">
        <v>97</v>
      </c>
      <c r="D22" s="3" t="s">
        <v>126</v>
      </c>
      <c r="E22" s="3" t="s">
        <v>38</v>
      </c>
      <c r="F22" s="4" t="s">
        <v>118</v>
      </c>
      <c r="G22" s="18">
        <v>43857</v>
      </c>
      <c r="H22" s="18">
        <v>43859</v>
      </c>
      <c r="I22" s="14" t="s">
        <v>127</v>
      </c>
      <c r="J22" s="52"/>
      <c r="K22" s="52"/>
      <c r="L22" s="53"/>
      <c r="M22" s="18"/>
      <c r="N22" s="18"/>
      <c r="O22" s="16"/>
      <c r="P22" s="7"/>
    </row>
    <row r="23" spans="1:16" x14ac:dyDescent="0.15">
      <c r="A23" s="6">
        <v>13</v>
      </c>
      <c r="B23" s="2" t="s">
        <v>56</v>
      </c>
      <c r="C23" s="4" t="s">
        <v>26</v>
      </c>
      <c r="D23" s="3" t="s">
        <v>122</v>
      </c>
      <c r="E23" s="3" t="s">
        <v>38</v>
      </c>
      <c r="F23" s="3" t="s">
        <v>121</v>
      </c>
      <c r="G23" s="18">
        <v>43770</v>
      </c>
      <c r="H23" s="18">
        <v>43826</v>
      </c>
      <c r="I23" s="13" t="s">
        <v>82</v>
      </c>
      <c r="J23" s="52">
        <v>43770</v>
      </c>
      <c r="K23" s="52">
        <v>43826</v>
      </c>
      <c r="L23" s="53" t="s">
        <v>91</v>
      </c>
      <c r="M23" s="18">
        <v>43770</v>
      </c>
      <c r="N23" s="18">
        <v>43826</v>
      </c>
      <c r="O23" s="16" t="s">
        <v>83</v>
      </c>
      <c r="P23" s="7"/>
    </row>
    <row r="24" spans="1:16" x14ac:dyDescent="0.15">
      <c r="A24" s="6">
        <v>14</v>
      </c>
      <c r="B24" s="1" t="s">
        <v>56</v>
      </c>
      <c r="C24" s="4" t="s">
        <v>98</v>
      </c>
      <c r="D24" s="3" t="s">
        <v>124</v>
      </c>
      <c r="E24" s="3" t="s">
        <v>38</v>
      </c>
      <c r="F24" s="4" t="s">
        <v>118</v>
      </c>
      <c r="G24" s="18">
        <v>43852</v>
      </c>
      <c r="H24" s="18">
        <v>43852</v>
      </c>
      <c r="I24" s="13" t="s">
        <v>82</v>
      </c>
      <c r="J24" s="52"/>
      <c r="K24" s="52"/>
      <c r="L24" s="53"/>
      <c r="M24" s="16"/>
      <c r="N24" s="16"/>
      <c r="O24" s="16"/>
      <c r="P24" s="7" t="s">
        <v>45</v>
      </c>
    </row>
    <row r="25" spans="1:16" x14ac:dyDescent="0.15">
      <c r="A25" s="6">
        <v>15</v>
      </c>
      <c r="B25" s="1" t="s">
        <v>56</v>
      </c>
      <c r="C25" s="4" t="s">
        <v>98</v>
      </c>
      <c r="D25" s="3" t="s">
        <v>125</v>
      </c>
      <c r="E25" s="3" t="s">
        <v>38</v>
      </c>
      <c r="F25" s="4" t="s">
        <v>118</v>
      </c>
      <c r="G25" s="18">
        <v>43839</v>
      </c>
      <c r="H25" s="18">
        <v>43839</v>
      </c>
      <c r="I25" s="14" t="s">
        <v>127</v>
      </c>
      <c r="J25" s="52"/>
      <c r="K25" s="52"/>
      <c r="L25" s="53"/>
      <c r="M25" s="18"/>
      <c r="N25" s="18"/>
      <c r="O25" s="16"/>
      <c r="P25" s="7"/>
    </row>
    <row r="26" spans="1:16" x14ac:dyDescent="0.15">
      <c r="A26" s="6">
        <v>16</v>
      </c>
      <c r="B26" s="1" t="s">
        <v>56</v>
      </c>
      <c r="C26" s="4" t="s">
        <v>98</v>
      </c>
      <c r="D26" s="3" t="s">
        <v>126</v>
      </c>
      <c r="E26" s="3" t="s">
        <v>38</v>
      </c>
      <c r="F26" s="4" t="s">
        <v>118</v>
      </c>
      <c r="G26" s="18">
        <v>43860</v>
      </c>
      <c r="H26" s="18">
        <v>43860</v>
      </c>
      <c r="I26" s="14" t="s">
        <v>127</v>
      </c>
      <c r="J26" s="52"/>
      <c r="K26" s="52"/>
      <c r="L26" s="53"/>
      <c r="M26" s="18"/>
      <c r="N26" s="18"/>
      <c r="O26" s="16"/>
      <c r="P26" s="7"/>
    </row>
    <row r="27" spans="1:16" x14ac:dyDescent="0.15">
      <c r="A27" s="6">
        <v>17</v>
      </c>
      <c r="B27" s="2" t="s">
        <v>57</v>
      </c>
      <c r="C27" s="4" t="s">
        <v>27</v>
      </c>
      <c r="D27" s="3" t="s">
        <v>122</v>
      </c>
      <c r="E27" s="3" t="s">
        <v>42</v>
      </c>
      <c r="F27" s="3" t="s">
        <v>121</v>
      </c>
      <c r="G27" s="18">
        <v>43770</v>
      </c>
      <c r="H27" s="18">
        <v>43826</v>
      </c>
      <c r="I27" s="13" t="s">
        <v>133</v>
      </c>
      <c r="J27" s="52">
        <v>43770</v>
      </c>
      <c r="K27" s="52">
        <v>43826</v>
      </c>
      <c r="L27" s="53" t="s">
        <v>83</v>
      </c>
      <c r="M27" s="18">
        <v>43770</v>
      </c>
      <c r="N27" s="18">
        <v>43826</v>
      </c>
      <c r="O27" s="13" t="s">
        <v>93</v>
      </c>
      <c r="P27" s="7"/>
    </row>
    <row r="28" spans="1:16" x14ac:dyDescent="0.15">
      <c r="A28" s="6">
        <v>18</v>
      </c>
      <c r="B28" s="1" t="s">
        <v>57</v>
      </c>
      <c r="C28" s="4" t="s">
        <v>99</v>
      </c>
      <c r="D28" s="3" t="s">
        <v>124</v>
      </c>
      <c r="E28" s="3" t="s">
        <v>42</v>
      </c>
      <c r="F28" s="3" t="s">
        <v>121</v>
      </c>
      <c r="G28" s="18">
        <v>43770</v>
      </c>
      <c r="H28" s="18">
        <v>43826</v>
      </c>
      <c r="I28" s="15" t="s">
        <v>83</v>
      </c>
      <c r="J28" s="52">
        <v>43770</v>
      </c>
      <c r="K28" s="52">
        <v>43826</v>
      </c>
      <c r="L28" s="53" t="s">
        <v>83</v>
      </c>
      <c r="M28" s="16" t="s">
        <v>6</v>
      </c>
      <c r="N28" s="16" t="s">
        <v>6</v>
      </c>
      <c r="O28" s="16" t="s">
        <v>6</v>
      </c>
      <c r="P28" s="7" t="s">
        <v>46</v>
      </c>
    </row>
    <row r="29" spans="1:16" x14ac:dyDescent="0.15">
      <c r="A29" s="6">
        <v>19</v>
      </c>
      <c r="B29" s="1" t="s">
        <v>57</v>
      </c>
      <c r="C29" s="4" t="s">
        <v>99</v>
      </c>
      <c r="D29" s="3" t="s">
        <v>125</v>
      </c>
      <c r="E29" s="3" t="s">
        <v>42</v>
      </c>
      <c r="F29" s="4" t="s">
        <v>118</v>
      </c>
      <c r="G29" s="18">
        <v>43840</v>
      </c>
      <c r="H29" s="18">
        <v>43844</v>
      </c>
      <c r="I29" s="14" t="s">
        <v>127</v>
      </c>
      <c r="J29" s="52"/>
      <c r="K29" s="52"/>
      <c r="L29" s="53"/>
      <c r="M29" s="18"/>
      <c r="N29" s="18"/>
      <c r="O29" s="16"/>
      <c r="P29" s="7"/>
    </row>
    <row r="30" spans="1:16" x14ac:dyDescent="0.15">
      <c r="A30" s="6">
        <v>20</v>
      </c>
      <c r="B30" s="1" t="s">
        <v>57</v>
      </c>
      <c r="C30" s="4" t="s">
        <v>99</v>
      </c>
      <c r="D30" s="3" t="s">
        <v>126</v>
      </c>
      <c r="E30" s="3" t="s">
        <v>42</v>
      </c>
      <c r="F30" s="4" t="s">
        <v>118</v>
      </c>
      <c r="G30" s="18">
        <v>43861</v>
      </c>
      <c r="H30" s="18">
        <v>43865</v>
      </c>
      <c r="I30" s="14" t="s">
        <v>127</v>
      </c>
      <c r="J30" s="52"/>
      <c r="K30" s="52"/>
      <c r="L30" s="53"/>
      <c r="M30" s="18"/>
      <c r="N30" s="18"/>
      <c r="O30" s="16"/>
      <c r="P30" s="7"/>
    </row>
    <row r="31" spans="1:16" x14ac:dyDescent="0.15">
      <c r="A31" s="6">
        <v>21</v>
      </c>
      <c r="B31" s="2" t="s">
        <v>58</v>
      </c>
      <c r="C31" s="4" t="s">
        <v>85</v>
      </c>
      <c r="D31" s="3" t="s">
        <v>122</v>
      </c>
      <c r="E31" s="3" t="s">
        <v>42</v>
      </c>
      <c r="F31" s="3" t="s">
        <v>121</v>
      </c>
      <c r="G31" s="18">
        <v>43770</v>
      </c>
      <c r="H31" s="18">
        <v>43826</v>
      </c>
      <c r="I31" s="13" t="s">
        <v>133</v>
      </c>
      <c r="J31" s="52">
        <v>43770</v>
      </c>
      <c r="K31" s="52">
        <v>43826</v>
      </c>
      <c r="L31" s="53" t="s">
        <v>83</v>
      </c>
      <c r="M31" s="18">
        <v>43770</v>
      </c>
      <c r="N31" s="18">
        <v>43826</v>
      </c>
      <c r="O31" s="13" t="s">
        <v>93</v>
      </c>
      <c r="P31" s="7"/>
    </row>
    <row r="32" spans="1:16" x14ac:dyDescent="0.15">
      <c r="A32" s="6">
        <v>22</v>
      </c>
      <c r="B32" s="1" t="s">
        <v>58</v>
      </c>
      <c r="C32" s="4" t="s">
        <v>85</v>
      </c>
      <c r="D32" s="3" t="s">
        <v>124</v>
      </c>
      <c r="E32" s="3" t="s">
        <v>42</v>
      </c>
      <c r="F32" s="4" t="s">
        <v>118</v>
      </c>
      <c r="G32" s="18">
        <v>43836</v>
      </c>
      <c r="H32" s="18">
        <v>43837</v>
      </c>
      <c r="I32" s="13" t="s">
        <v>82</v>
      </c>
      <c r="J32" s="52"/>
      <c r="K32" s="52"/>
      <c r="L32" s="53"/>
      <c r="M32" s="16"/>
      <c r="N32" s="16"/>
      <c r="O32" s="16"/>
      <c r="P32" s="7" t="s">
        <v>46</v>
      </c>
    </row>
    <row r="33" spans="1:16" x14ac:dyDescent="0.15">
      <c r="A33" s="6">
        <v>23</v>
      </c>
      <c r="B33" s="1" t="s">
        <v>58</v>
      </c>
      <c r="C33" s="4" t="s">
        <v>85</v>
      </c>
      <c r="D33" s="3" t="s">
        <v>125</v>
      </c>
      <c r="E33" s="3" t="s">
        <v>42</v>
      </c>
      <c r="F33" s="4" t="s">
        <v>118</v>
      </c>
      <c r="G33" s="18">
        <v>43845</v>
      </c>
      <c r="H33" s="18">
        <v>43845</v>
      </c>
      <c r="I33" s="14" t="s">
        <v>127</v>
      </c>
      <c r="J33" s="52"/>
      <c r="K33" s="52"/>
      <c r="L33" s="53"/>
      <c r="M33" s="18"/>
      <c r="N33" s="18"/>
      <c r="O33" s="16"/>
      <c r="P33" s="7"/>
    </row>
    <row r="34" spans="1:16" x14ac:dyDescent="0.15">
      <c r="A34" s="6">
        <v>24</v>
      </c>
      <c r="B34" s="1" t="s">
        <v>58</v>
      </c>
      <c r="C34" s="4" t="s">
        <v>85</v>
      </c>
      <c r="D34" s="3" t="s">
        <v>126</v>
      </c>
      <c r="E34" s="3" t="s">
        <v>42</v>
      </c>
      <c r="F34" s="4" t="s">
        <v>118</v>
      </c>
      <c r="G34" s="18">
        <v>43866</v>
      </c>
      <c r="H34" s="18">
        <v>43866</v>
      </c>
      <c r="I34" s="14" t="s">
        <v>127</v>
      </c>
      <c r="J34" s="52"/>
      <c r="K34" s="52"/>
      <c r="L34" s="53"/>
      <c r="M34" s="18"/>
      <c r="N34" s="18"/>
      <c r="O34" s="16"/>
      <c r="P34" s="7"/>
    </row>
    <row r="35" spans="1:16" x14ac:dyDescent="0.15">
      <c r="A35" s="6">
        <v>25</v>
      </c>
      <c r="B35" s="2" t="s">
        <v>86</v>
      </c>
      <c r="C35" s="4" t="s">
        <v>87</v>
      </c>
      <c r="D35" s="3" t="s">
        <v>122</v>
      </c>
      <c r="E35" s="3" t="s">
        <v>42</v>
      </c>
      <c r="F35" s="3" t="s">
        <v>121</v>
      </c>
      <c r="G35" s="18">
        <v>43770</v>
      </c>
      <c r="H35" s="18">
        <v>43826</v>
      </c>
      <c r="I35" s="13" t="s">
        <v>133</v>
      </c>
      <c r="J35" s="52">
        <v>43770</v>
      </c>
      <c r="K35" s="52">
        <v>43826</v>
      </c>
      <c r="L35" s="53" t="s">
        <v>83</v>
      </c>
      <c r="M35" s="18">
        <v>43770</v>
      </c>
      <c r="N35" s="18">
        <v>43826</v>
      </c>
      <c r="O35" s="13" t="s">
        <v>93</v>
      </c>
      <c r="P35" s="7"/>
    </row>
    <row r="36" spans="1:16" x14ac:dyDescent="0.15">
      <c r="A36" s="6">
        <v>26</v>
      </c>
      <c r="B36" s="1" t="s">
        <v>86</v>
      </c>
      <c r="C36" s="4" t="s">
        <v>87</v>
      </c>
      <c r="D36" s="3" t="s">
        <v>124</v>
      </c>
      <c r="E36" s="3" t="s">
        <v>42</v>
      </c>
      <c r="F36" s="4" t="s">
        <v>118</v>
      </c>
      <c r="G36" s="18">
        <v>43838</v>
      </c>
      <c r="H36" s="18">
        <v>43844</v>
      </c>
      <c r="I36" s="13" t="s">
        <v>82</v>
      </c>
      <c r="J36" s="52"/>
      <c r="K36" s="52"/>
      <c r="L36" s="53"/>
      <c r="M36" s="16"/>
      <c r="N36" s="16"/>
      <c r="O36" s="16"/>
      <c r="P36" s="7" t="s">
        <v>46</v>
      </c>
    </row>
    <row r="37" spans="1:16" x14ac:dyDescent="0.15">
      <c r="A37" s="6">
        <v>27</v>
      </c>
      <c r="B37" s="1" t="s">
        <v>86</v>
      </c>
      <c r="C37" s="4" t="s">
        <v>87</v>
      </c>
      <c r="D37" s="3" t="s">
        <v>125</v>
      </c>
      <c r="E37" s="3" t="s">
        <v>42</v>
      </c>
      <c r="F37" s="4" t="s">
        <v>118</v>
      </c>
      <c r="G37" s="18">
        <v>43846</v>
      </c>
      <c r="H37" s="18">
        <v>43847</v>
      </c>
      <c r="I37" s="14" t="s">
        <v>127</v>
      </c>
      <c r="J37" s="52"/>
      <c r="K37" s="52"/>
      <c r="L37" s="53"/>
      <c r="M37" s="18"/>
      <c r="N37" s="18"/>
      <c r="O37" s="16"/>
      <c r="P37" s="7"/>
    </row>
    <row r="38" spans="1:16" x14ac:dyDescent="0.15">
      <c r="A38" s="6">
        <v>28</v>
      </c>
      <c r="B38" s="1" t="s">
        <v>86</v>
      </c>
      <c r="C38" s="4" t="s">
        <v>87</v>
      </c>
      <c r="D38" s="3" t="s">
        <v>126</v>
      </c>
      <c r="E38" s="3" t="s">
        <v>42</v>
      </c>
      <c r="F38" s="4" t="s">
        <v>118</v>
      </c>
      <c r="G38" s="18">
        <v>43853</v>
      </c>
      <c r="H38" s="18">
        <v>43857</v>
      </c>
      <c r="I38" s="14" t="s">
        <v>82</v>
      </c>
      <c r="J38" s="52"/>
      <c r="K38" s="52"/>
      <c r="L38" s="53"/>
      <c r="M38" s="18"/>
      <c r="N38" s="18"/>
      <c r="O38" s="16"/>
      <c r="P38" s="7"/>
    </row>
    <row r="39" spans="1:16" x14ac:dyDescent="0.15">
      <c r="A39" s="6">
        <v>29</v>
      </c>
      <c r="B39" s="2" t="s">
        <v>59</v>
      </c>
      <c r="C39" s="4" t="s">
        <v>28</v>
      </c>
      <c r="D39" s="3" t="s">
        <v>122</v>
      </c>
      <c r="E39" s="3" t="s">
        <v>42</v>
      </c>
      <c r="F39" s="3" t="s">
        <v>121</v>
      </c>
      <c r="G39" s="18">
        <v>43770</v>
      </c>
      <c r="H39" s="18">
        <v>43826</v>
      </c>
      <c r="I39" s="13" t="s">
        <v>133</v>
      </c>
      <c r="J39" s="52">
        <v>43770</v>
      </c>
      <c r="K39" s="52">
        <v>43826</v>
      </c>
      <c r="L39" s="53" t="s">
        <v>83</v>
      </c>
      <c r="M39" s="18">
        <v>43770</v>
      </c>
      <c r="N39" s="18">
        <v>43826</v>
      </c>
      <c r="O39" s="13" t="s">
        <v>93</v>
      </c>
      <c r="P39" s="7"/>
    </row>
    <row r="40" spans="1:16" x14ac:dyDescent="0.15">
      <c r="A40" s="6">
        <v>30</v>
      </c>
      <c r="B40" s="1" t="s">
        <v>59</v>
      </c>
      <c r="C40" s="4" t="s">
        <v>100</v>
      </c>
      <c r="D40" s="3" t="s">
        <v>124</v>
      </c>
      <c r="E40" s="3" t="s">
        <v>42</v>
      </c>
      <c r="F40" s="4" t="s">
        <v>118</v>
      </c>
      <c r="G40" s="18">
        <v>43845</v>
      </c>
      <c r="H40" s="18">
        <v>43846</v>
      </c>
      <c r="I40" s="13" t="s">
        <v>82</v>
      </c>
      <c r="J40" s="52"/>
      <c r="K40" s="52"/>
      <c r="L40" s="53"/>
      <c r="M40" s="16"/>
      <c r="N40" s="16"/>
      <c r="O40" s="16"/>
      <c r="P40" s="7" t="s">
        <v>46</v>
      </c>
    </row>
    <row r="41" spans="1:16" x14ac:dyDescent="0.15">
      <c r="A41" s="6">
        <v>31</v>
      </c>
      <c r="B41" s="1" t="s">
        <v>59</v>
      </c>
      <c r="C41" s="4" t="s">
        <v>100</v>
      </c>
      <c r="D41" s="3" t="s">
        <v>125</v>
      </c>
      <c r="E41" s="3" t="s">
        <v>42</v>
      </c>
      <c r="F41" s="4" t="s">
        <v>118</v>
      </c>
      <c r="G41" s="18">
        <v>43850</v>
      </c>
      <c r="H41" s="18">
        <v>43850</v>
      </c>
      <c r="I41" s="14" t="s">
        <v>127</v>
      </c>
      <c r="J41" s="52"/>
      <c r="K41" s="52"/>
      <c r="L41" s="53"/>
      <c r="M41" s="18"/>
      <c r="N41" s="18"/>
      <c r="O41" s="16"/>
      <c r="P41" s="7"/>
    </row>
    <row r="42" spans="1:16" x14ac:dyDescent="0.15">
      <c r="A42" s="6">
        <v>32</v>
      </c>
      <c r="B42" s="1" t="s">
        <v>59</v>
      </c>
      <c r="C42" s="4" t="s">
        <v>100</v>
      </c>
      <c r="D42" s="3" t="s">
        <v>126</v>
      </c>
      <c r="E42" s="3" t="s">
        <v>42</v>
      </c>
      <c r="F42" s="4" t="s">
        <v>118</v>
      </c>
      <c r="G42" s="18">
        <v>43858</v>
      </c>
      <c r="H42" s="18">
        <v>43858</v>
      </c>
      <c r="I42" s="14" t="s">
        <v>82</v>
      </c>
      <c r="J42" s="52"/>
      <c r="K42" s="52"/>
      <c r="L42" s="53"/>
      <c r="M42" s="18"/>
      <c r="N42" s="18"/>
      <c r="O42" s="16"/>
      <c r="P42" s="7"/>
    </row>
    <row r="43" spans="1:16" x14ac:dyDescent="0.15">
      <c r="A43" s="6">
        <v>41</v>
      </c>
      <c r="B43" s="1" t="s">
        <v>60</v>
      </c>
      <c r="C43" s="4" t="s">
        <v>29</v>
      </c>
      <c r="D43" s="3" t="s">
        <v>122</v>
      </c>
      <c r="E43" s="3" t="s">
        <v>42</v>
      </c>
      <c r="F43" s="3" t="s">
        <v>121</v>
      </c>
      <c r="G43" s="18">
        <v>43770</v>
      </c>
      <c r="H43" s="18">
        <v>43826</v>
      </c>
      <c r="I43" s="13" t="s">
        <v>82</v>
      </c>
      <c r="J43" s="52">
        <v>43770</v>
      </c>
      <c r="K43" s="52">
        <v>43826</v>
      </c>
      <c r="L43" s="53" t="s">
        <v>91</v>
      </c>
      <c r="M43" s="18">
        <v>43770</v>
      </c>
      <c r="N43" s="18">
        <v>43826</v>
      </c>
      <c r="O43" s="16" t="s">
        <v>83</v>
      </c>
      <c r="P43" s="7"/>
    </row>
    <row r="44" spans="1:16" x14ac:dyDescent="0.15">
      <c r="A44" s="6">
        <v>42</v>
      </c>
      <c r="B44" s="1" t="s">
        <v>60</v>
      </c>
      <c r="C44" s="4" t="s">
        <v>101</v>
      </c>
      <c r="D44" s="3" t="s">
        <v>124</v>
      </c>
      <c r="E44" s="3" t="s">
        <v>42</v>
      </c>
      <c r="F44" s="3" t="s">
        <v>121</v>
      </c>
      <c r="G44" s="18">
        <v>43770</v>
      </c>
      <c r="H44" s="18">
        <v>43826</v>
      </c>
      <c r="I44" s="15" t="s">
        <v>83</v>
      </c>
      <c r="J44" s="52">
        <v>43770</v>
      </c>
      <c r="K44" s="52">
        <v>43826</v>
      </c>
      <c r="L44" s="53" t="s">
        <v>83</v>
      </c>
      <c r="M44" s="16" t="s">
        <v>6</v>
      </c>
      <c r="N44" s="16" t="s">
        <v>6</v>
      </c>
      <c r="O44" s="16" t="s">
        <v>6</v>
      </c>
      <c r="P44" s="7" t="s">
        <v>46</v>
      </c>
    </row>
    <row r="45" spans="1:16" x14ac:dyDescent="0.15">
      <c r="A45" s="6">
        <v>43</v>
      </c>
      <c r="B45" s="1" t="s">
        <v>60</v>
      </c>
      <c r="C45" s="4" t="s">
        <v>101</v>
      </c>
      <c r="D45" s="3" t="s">
        <v>125</v>
      </c>
      <c r="E45" s="3" t="s">
        <v>42</v>
      </c>
      <c r="F45" s="4" t="s">
        <v>119</v>
      </c>
      <c r="G45" s="18">
        <v>43824</v>
      </c>
      <c r="H45" s="18">
        <v>43825</v>
      </c>
      <c r="I45" s="14" t="s">
        <v>82</v>
      </c>
      <c r="J45" s="52">
        <v>43824</v>
      </c>
      <c r="K45" s="52"/>
      <c r="L45" s="53" t="s">
        <v>91</v>
      </c>
      <c r="M45" s="18"/>
      <c r="N45" s="18"/>
      <c r="O45" s="16"/>
      <c r="P45" s="7"/>
    </row>
    <row r="46" spans="1:16" x14ac:dyDescent="0.15">
      <c r="A46" s="6">
        <v>44</v>
      </c>
      <c r="B46" s="1" t="s">
        <v>60</v>
      </c>
      <c r="C46" s="4" t="s">
        <v>101</v>
      </c>
      <c r="D46" s="3" t="s">
        <v>126</v>
      </c>
      <c r="E46" s="3" t="s">
        <v>42</v>
      </c>
      <c r="F46" s="4" t="s">
        <v>118</v>
      </c>
      <c r="G46" s="18">
        <v>43850</v>
      </c>
      <c r="H46" s="18">
        <v>43852</v>
      </c>
      <c r="I46" s="13" t="s">
        <v>84</v>
      </c>
      <c r="J46" s="52"/>
      <c r="K46" s="52"/>
      <c r="L46" s="53"/>
      <c r="M46" s="18"/>
      <c r="N46" s="18"/>
      <c r="O46" s="16"/>
      <c r="P46" s="7"/>
    </row>
    <row r="47" spans="1:16" x14ac:dyDescent="0.15">
      <c r="A47" s="6">
        <v>45</v>
      </c>
      <c r="B47" s="1" t="s">
        <v>61</v>
      </c>
      <c r="C47" s="4" t="s">
        <v>30</v>
      </c>
      <c r="D47" s="3" t="s">
        <v>122</v>
      </c>
      <c r="E47" s="3" t="s">
        <v>42</v>
      </c>
      <c r="F47" s="3" t="s">
        <v>121</v>
      </c>
      <c r="G47" s="18">
        <v>43770</v>
      </c>
      <c r="H47" s="18">
        <v>43826</v>
      </c>
      <c r="I47" s="13" t="s">
        <v>82</v>
      </c>
      <c r="J47" s="52">
        <v>43770</v>
      </c>
      <c r="K47" s="52">
        <v>43826</v>
      </c>
      <c r="L47" s="53" t="s">
        <v>91</v>
      </c>
      <c r="M47" s="18">
        <v>43770</v>
      </c>
      <c r="N47" s="18">
        <v>43826</v>
      </c>
      <c r="O47" s="16" t="s">
        <v>83</v>
      </c>
      <c r="P47" s="7"/>
    </row>
    <row r="48" spans="1:16" x14ac:dyDescent="0.15">
      <c r="A48" s="6">
        <v>46</v>
      </c>
      <c r="B48" s="1" t="s">
        <v>61</v>
      </c>
      <c r="C48" s="4" t="s">
        <v>102</v>
      </c>
      <c r="D48" s="3" t="s">
        <v>124</v>
      </c>
      <c r="E48" s="3" t="s">
        <v>42</v>
      </c>
      <c r="F48" s="3" t="s">
        <v>121</v>
      </c>
      <c r="G48" s="18">
        <v>43770</v>
      </c>
      <c r="H48" s="18">
        <v>43826</v>
      </c>
      <c r="I48" s="15" t="s">
        <v>83</v>
      </c>
      <c r="J48" s="52">
        <v>43770</v>
      </c>
      <c r="K48" s="52">
        <v>43826</v>
      </c>
      <c r="L48" s="53" t="s">
        <v>83</v>
      </c>
      <c r="M48" s="16" t="s">
        <v>6</v>
      </c>
      <c r="N48" s="16" t="s">
        <v>6</v>
      </c>
      <c r="O48" s="16" t="s">
        <v>6</v>
      </c>
      <c r="P48" s="7" t="s">
        <v>46</v>
      </c>
    </row>
    <row r="49" spans="1:16" x14ac:dyDescent="0.15">
      <c r="A49" s="6">
        <v>47</v>
      </c>
      <c r="B49" s="1" t="s">
        <v>61</v>
      </c>
      <c r="C49" s="4" t="s">
        <v>102</v>
      </c>
      <c r="D49" s="3" t="s">
        <v>125</v>
      </c>
      <c r="E49" s="3" t="s">
        <v>42</v>
      </c>
      <c r="F49" s="4" t="s">
        <v>118</v>
      </c>
      <c r="G49" s="18">
        <v>43837</v>
      </c>
      <c r="H49" s="18">
        <v>43837</v>
      </c>
      <c r="I49" s="13" t="s">
        <v>84</v>
      </c>
      <c r="J49" s="52"/>
      <c r="K49" s="52"/>
      <c r="L49" s="53"/>
      <c r="M49" s="18"/>
      <c r="N49" s="18"/>
      <c r="O49" s="16"/>
      <c r="P49" s="7"/>
    </row>
    <row r="50" spans="1:16" x14ac:dyDescent="0.15">
      <c r="A50" s="6">
        <v>48</v>
      </c>
      <c r="B50" s="1" t="s">
        <v>61</v>
      </c>
      <c r="C50" s="4" t="s">
        <v>102</v>
      </c>
      <c r="D50" s="3" t="s">
        <v>126</v>
      </c>
      <c r="E50" s="3" t="s">
        <v>42</v>
      </c>
      <c r="F50" s="4" t="s">
        <v>118</v>
      </c>
      <c r="G50" s="18">
        <v>43853</v>
      </c>
      <c r="H50" s="18">
        <v>43853</v>
      </c>
      <c r="I50" s="13" t="s">
        <v>84</v>
      </c>
      <c r="J50" s="52"/>
      <c r="K50" s="52"/>
      <c r="L50" s="55"/>
      <c r="M50" s="18"/>
      <c r="N50" s="18"/>
      <c r="O50" s="16"/>
      <c r="P50" s="7"/>
    </row>
    <row r="51" spans="1:16" x14ac:dyDescent="0.15">
      <c r="A51" s="6">
        <v>49</v>
      </c>
      <c r="B51" s="1" t="s">
        <v>62</v>
      </c>
      <c r="C51" s="4" t="s">
        <v>31</v>
      </c>
      <c r="D51" s="3" t="s">
        <v>122</v>
      </c>
      <c r="E51" s="3" t="s">
        <v>42</v>
      </c>
      <c r="F51" s="3" t="s">
        <v>121</v>
      </c>
      <c r="G51" s="18">
        <v>43770</v>
      </c>
      <c r="H51" s="18">
        <v>43826</v>
      </c>
      <c r="I51" s="13" t="s">
        <v>82</v>
      </c>
      <c r="J51" s="52">
        <v>43770</v>
      </c>
      <c r="K51" s="52">
        <v>43826</v>
      </c>
      <c r="L51" s="55" t="s">
        <v>91</v>
      </c>
      <c r="M51" s="18">
        <v>43770</v>
      </c>
      <c r="N51" s="18">
        <v>43826</v>
      </c>
      <c r="O51" s="16" t="s">
        <v>83</v>
      </c>
      <c r="P51" s="7"/>
    </row>
    <row r="52" spans="1:16" x14ac:dyDescent="0.15">
      <c r="A52" s="6">
        <v>50</v>
      </c>
      <c r="B52" s="1" t="s">
        <v>62</v>
      </c>
      <c r="C52" s="4" t="s">
        <v>103</v>
      </c>
      <c r="D52" s="3" t="s">
        <v>124</v>
      </c>
      <c r="E52" s="3" t="s">
        <v>42</v>
      </c>
      <c r="F52" s="3" t="s">
        <v>121</v>
      </c>
      <c r="G52" s="18">
        <v>43770</v>
      </c>
      <c r="H52" s="18">
        <v>43826</v>
      </c>
      <c r="I52" s="15" t="s">
        <v>91</v>
      </c>
      <c r="J52" s="52">
        <v>43770</v>
      </c>
      <c r="K52" s="52">
        <v>43826</v>
      </c>
      <c r="L52" s="53" t="s">
        <v>91</v>
      </c>
      <c r="M52" s="16" t="s">
        <v>6</v>
      </c>
      <c r="N52" s="16" t="s">
        <v>6</v>
      </c>
      <c r="O52" s="16" t="s">
        <v>6</v>
      </c>
      <c r="P52" s="7" t="s">
        <v>46</v>
      </c>
    </row>
    <row r="53" spans="1:16" x14ac:dyDescent="0.15">
      <c r="A53" s="6">
        <v>51</v>
      </c>
      <c r="B53" s="1" t="s">
        <v>62</v>
      </c>
      <c r="C53" s="4" t="s">
        <v>103</v>
      </c>
      <c r="D53" s="3" t="s">
        <v>125</v>
      </c>
      <c r="E53" s="3" t="s">
        <v>42</v>
      </c>
      <c r="F53" s="4" t="s">
        <v>118</v>
      </c>
      <c r="G53" s="18">
        <v>43838</v>
      </c>
      <c r="H53" s="18">
        <v>43838</v>
      </c>
      <c r="I53" s="13" t="s">
        <v>84</v>
      </c>
      <c r="J53" s="52"/>
      <c r="K53" s="52"/>
      <c r="L53" s="53"/>
      <c r="M53" s="18"/>
      <c r="N53" s="18"/>
      <c r="O53" s="16"/>
      <c r="P53" s="7"/>
    </row>
    <row r="54" spans="1:16" x14ac:dyDescent="0.15">
      <c r="A54" s="6">
        <v>52</v>
      </c>
      <c r="B54" s="1" t="s">
        <v>62</v>
      </c>
      <c r="C54" s="4" t="s">
        <v>103</v>
      </c>
      <c r="D54" s="3" t="s">
        <v>126</v>
      </c>
      <c r="E54" s="3" t="s">
        <v>42</v>
      </c>
      <c r="F54" s="4" t="s">
        <v>118</v>
      </c>
      <c r="G54" s="18">
        <v>43854</v>
      </c>
      <c r="H54" s="18">
        <v>43857</v>
      </c>
      <c r="I54" s="13" t="s">
        <v>84</v>
      </c>
      <c r="J54" s="52"/>
      <c r="K54" s="52"/>
      <c r="L54" s="53"/>
      <c r="M54" s="18"/>
      <c r="N54" s="18"/>
      <c r="O54" s="16"/>
      <c r="P54" s="7"/>
    </row>
    <row r="55" spans="1:16" x14ac:dyDescent="0.15">
      <c r="A55" s="6">
        <v>61</v>
      </c>
      <c r="B55" s="1" t="s">
        <v>63</v>
      </c>
      <c r="C55" s="4" t="s">
        <v>32</v>
      </c>
      <c r="D55" s="3" t="s">
        <v>122</v>
      </c>
      <c r="E55" s="3" t="s">
        <v>39</v>
      </c>
      <c r="F55" s="3" t="s">
        <v>121</v>
      </c>
      <c r="G55" s="18">
        <v>43770</v>
      </c>
      <c r="H55" s="18">
        <v>43826</v>
      </c>
      <c r="I55" s="13" t="s">
        <v>82</v>
      </c>
      <c r="J55" s="52">
        <v>43770</v>
      </c>
      <c r="K55" s="52">
        <v>43826</v>
      </c>
      <c r="L55" s="53" t="s">
        <v>91</v>
      </c>
      <c r="M55" s="18">
        <v>43770</v>
      </c>
      <c r="N55" s="18">
        <v>43826</v>
      </c>
      <c r="O55" s="16" t="s">
        <v>83</v>
      </c>
      <c r="P55" s="7"/>
    </row>
    <row r="56" spans="1:16" x14ac:dyDescent="0.15">
      <c r="A56" s="6">
        <v>62</v>
      </c>
      <c r="B56" s="1" t="s">
        <v>63</v>
      </c>
      <c r="C56" s="4" t="s">
        <v>104</v>
      </c>
      <c r="D56" s="3" t="s">
        <v>124</v>
      </c>
      <c r="E56" s="3" t="s">
        <v>39</v>
      </c>
      <c r="F56" s="3" t="s">
        <v>121</v>
      </c>
      <c r="G56" s="18">
        <v>43770</v>
      </c>
      <c r="H56" s="18">
        <v>43826</v>
      </c>
      <c r="I56" s="15" t="s">
        <v>91</v>
      </c>
      <c r="J56" s="52">
        <v>43770</v>
      </c>
      <c r="K56" s="52">
        <v>43826</v>
      </c>
      <c r="L56" s="53" t="s">
        <v>91</v>
      </c>
      <c r="M56" s="16" t="s">
        <v>6</v>
      </c>
      <c r="N56" s="16" t="s">
        <v>6</v>
      </c>
      <c r="O56" s="16" t="s">
        <v>6</v>
      </c>
      <c r="P56" s="7" t="s">
        <v>45</v>
      </c>
    </row>
    <row r="57" spans="1:16" x14ac:dyDescent="0.15">
      <c r="A57" s="6">
        <v>63</v>
      </c>
      <c r="B57" s="1" t="s">
        <v>63</v>
      </c>
      <c r="C57" s="4" t="s">
        <v>104</v>
      </c>
      <c r="D57" s="3" t="s">
        <v>125</v>
      </c>
      <c r="E57" s="3" t="s">
        <v>39</v>
      </c>
      <c r="F57" s="4" t="s">
        <v>118</v>
      </c>
      <c r="G57" s="18">
        <v>43839</v>
      </c>
      <c r="H57" s="18">
        <v>43840</v>
      </c>
      <c r="I57" s="13" t="s">
        <v>84</v>
      </c>
      <c r="J57" s="52"/>
      <c r="K57" s="52"/>
      <c r="L57" s="53"/>
      <c r="M57" s="18"/>
      <c r="N57" s="18"/>
      <c r="O57" s="16"/>
      <c r="P57" s="7"/>
    </row>
    <row r="58" spans="1:16" x14ac:dyDescent="0.15">
      <c r="A58" s="6">
        <v>64</v>
      </c>
      <c r="B58" s="1" t="s">
        <v>63</v>
      </c>
      <c r="C58" s="4" t="s">
        <v>104</v>
      </c>
      <c r="D58" s="3" t="s">
        <v>126</v>
      </c>
      <c r="E58" s="3" t="s">
        <v>39</v>
      </c>
      <c r="F58" s="4" t="s">
        <v>118</v>
      </c>
      <c r="G58" s="18">
        <v>43858</v>
      </c>
      <c r="H58" s="18">
        <v>43859</v>
      </c>
      <c r="I58" s="13" t="s">
        <v>84</v>
      </c>
      <c r="J58" s="52"/>
      <c r="K58" s="52"/>
      <c r="L58" s="53"/>
      <c r="M58" s="18"/>
      <c r="N58" s="18"/>
      <c r="O58" s="16"/>
      <c r="P58" s="7"/>
    </row>
    <row r="59" spans="1:16" x14ac:dyDescent="0.15">
      <c r="A59" s="6">
        <v>65</v>
      </c>
      <c r="B59" s="1" t="s">
        <v>64</v>
      </c>
      <c r="C59" s="4" t="s">
        <v>33</v>
      </c>
      <c r="D59" s="3" t="s">
        <v>122</v>
      </c>
      <c r="E59" s="3" t="s">
        <v>39</v>
      </c>
      <c r="F59" s="3" t="s">
        <v>121</v>
      </c>
      <c r="G59" s="18">
        <v>43770</v>
      </c>
      <c r="H59" s="18">
        <v>43826</v>
      </c>
      <c r="I59" s="13" t="s">
        <v>82</v>
      </c>
      <c r="J59" s="52">
        <v>43770</v>
      </c>
      <c r="K59" s="52">
        <v>43826</v>
      </c>
      <c r="L59" s="53" t="s">
        <v>91</v>
      </c>
      <c r="M59" s="18">
        <v>43770</v>
      </c>
      <c r="N59" s="18">
        <v>43826</v>
      </c>
      <c r="O59" s="16" t="s">
        <v>83</v>
      </c>
      <c r="P59" s="7"/>
    </row>
    <row r="60" spans="1:16" x14ac:dyDescent="0.15">
      <c r="A60" s="6">
        <v>66</v>
      </c>
      <c r="B60" s="1" t="s">
        <v>64</v>
      </c>
      <c r="C60" s="4" t="s">
        <v>105</v>
      </c>
      <c r="D60" s="3" t="s">
        <v>124</v>
      </c>
      <c r="E60" s="3" t="s">
        <v>39</v>
      </c>
      <c r="F60" s="3" t="s">
        <v>121</v>
      </c>
      <c r="G60" s="18">
        <v>43770</v>
      </c>
      <c r="H60" s="18">
        <v>43826</v>
      </c>
      <c r="I60" s="15" t="s">
        <v>91</v>
      </c>
      <c r="J60" s="52">
        <v>43770</v>
      </c>
      <c r="K60" s="52">
        <v>43826</v>
      </c>
      <c r="L60" s="53" t="s">
        <v>91</v>
      </c>
      <c r="M60" s="16" t="s">
        <v>6</v>
      </c>
      <c r="N60" s="16" t="s">
        <v>6</v>
      </c>
      <c r="O60" s="16" t="s">
        <v>6</v>
      </c>
      <c r="P60" s="7" t="s">
        <v>45</v>
      </c>
    </row>
    <row r="61" spans="1:16" x14ac:dyDescent="0.15">
      <c r="A61" s="6">
        <v>67</v>
      </c>
      <c r="B61" s="1" t="s">
        <v>64</v>
      </c>
      <c r="C61" s="4" t="s">
        <v>105</v>
      </c>
      <c r="D61" s="3" t="s">
        <v>125</v>
      </c>
      <c r="E61" s="3" t="s">
        <v>39</v>
      </c>
      <c r="F61" s="4" t="s">
        <v>118</v>
      </c>
      <c r="G61" s="18">
        <v>43844</v>
      </c>
      <c r="H61" s="18">
        <v>43844</v>
      </c>
      <c r="I61" s="13" t="s">
        <v>84</v>
      </c>
      <c r="J61" s="52"/>
      <c r="K61" s="52"/>
      <c r="L61" s="53"/>
      <c r="M61" s="18"/>
      <c r="N61" s="18"/>
      <c r="O61" s="16"/>
      <c r="P61" s="7"/>
    </row>
    <row r="62" spans="1:16" x14ac:dyDescent="0.15">
      <c r="A62" s="6">
        <v>68</v>
      </c>
      <c r="B62" s="1" t="s">
        <v>64</v>
      </c>
      <c r="C62" s="4" t="s">
        <v>105</v>
      </c>
      <c r="D62" s="3" t="s">
        <v>126</v>
      </c>
      <c r="E62" s="3" t="s">
        <v>39</v>
      </c>
      <c r="F62" s="4" t="s">
        <v>118</v>
      </c>
      <c r="G62" s="18">
        <v>43860</v>
      </c>
      <c r="H62" s="18">
        <v>43860</v>
      </c>
      <c r="I62" s="13" t="s">
        <v>84</v>
      </c>
      <c r="J62" s="52"/>
      <c r="K62" s="52"/>
      <c r="L62" s="53"/>
      <c r="M62" s="18"/>
      <c r="N62" s="18"/>
      <c r="O62" s="16"/>
      <c r="P62" s="7"/>
    </row>
    <row r="63" spans="1:16" x14ac:dyDescent="0.15">
      <c r="A63" s="6">
        <v>69</v>
      </c>
      <c r="B63" s="1" t="s">
        <v>65</v>
      </c>
      <c r="C63" s="4" t="s">
        <v>34</v>
      </c>
      <c r="D63" s="3" t="s">
        <v>122</v>
      </c>
      <c r="E63" s="3" t="s">
        <v>39</v>
      </c>
      <c r="F63" s="3" t="s">
        <v>121</v>
      </c>
      <c r="G63" s="18">
        <v>43770</v>
      </c>
      <c r="H63" s="18">
        <v>43826</v>
      </c>
      <c r="I63" s="13" t="s">
        <v>82</v>
      </c>
      <c r="J63" s="52">
        <v>43770</v>
      </c>
      <c r="K63" s="52">
        <v>43826</v>
      </c>
      <c r="L63" s="53" t="s">
        <v>91</v>
      </c>
      <c r="M63" s="18">
        <v>43770</v>
      </c>
      <c r="N63" s="18">
        <v>43826</v>
      </c>
      <c r="O63" s="16" t="s">
        <v>83</v>
      </c>
      <c r="P63" s="7"/>
    </row>
    <row r="64" spans="1:16" x14ac:dyDescent="0.15">
      <c r="A64" s="6">
        <v>70</v>
      </c>
      <c r="B64" s="1" t="s">
        <v>65</v>
      </c>
      <c r="C64" s="4" t="s">
        <v>106</v>
      </c>
      <c r="D64" s="3" t="s">
        <v>124</v>
      </c>
      <c r="E64" s="3" t="s">
        <v>39</v>
      </c>
      <c r="F64" s="3" t="s">
        <v>121</v>
      </c>
      <c r="G64" s="18">
        <v>43770</v>
      </c>
      <c r="H64" s="18">
        <v>43826</v>
      </c>
      <c r="I64" s="15" t="s">
        <v>91</v>
      </c>
      <c r="J64" s="52">
        <v>43770</v>
      </c>
      <c r="K64" s="52">
        <v>43826</v>
      </c>
      <c r="L64" s="53" t="s">
        <v>91</v>
      </c>
      <c r="M64" s="16" t="s">
        <v>6</v>
      </c>
      <c r="N64" s="16" t="s">
        <v>6</v>
      </c>
      <c r="O64" s="16" t="s">
        <v>6</v>
      </c>
      <c r="P64" s="7" t="s">
        <v>45</v>
      </c>
    </row>
    <row r="65" spans="1:16" x14ac:dyDescent="0.15">
      <c r="A65" s="6">
        <v>71</v>
      </c>
      <c r="B65" s="1" t="s">
        <v>65</v>
      </c>
      <c r="C65" s="4" t="s">
        <v>106</v>
      </c>
      <c r="D65" s="3" t="s">
        <v>125</v>
      </c>
      <c r="E65" s="3" t="s">
        <v>39</v>
      </c>
      <c r="F65" s="4" t="s">
        <v>118</v>
      </c>
      <c r="G65" s="18">
        <v>43845</v>
      </c>
      <c r="H65" s="18">
        <v>43845</v>
      </c>
      <c r="I65" s="13" t="s">
        <v>84</v>
      </c>
      <c r="J65" s="52"/>
      <c r="K65" s="52"/>
      <c r="L65" s="53"/>
      <c r="M65" s="18"/>
      <c r="N65" s="18"/>
      <c r="O65" s="16"/>
      <c r="P65" s="7"/>
    </row>
    <row r="66" spans="1:16" x14ac:dyDescent="0.15">
      <c r="A66" s="6">
        <v>72</v>
      </c>
      <c r="B66" s="1" t="s">
        <v>65</v>
      </c>
      <c r="C66" s="4" t="s">
        <v>106</v>
      </c>
      <c r="D66" s="3" t="s">
        <v>126</v>
      </c>
      <c r="E66" s="3" t="s">
        <v>39</v>
      </c>
      <c r="F66" s="4" t="s">
        <v>118</v>
      </c>
      <c r="G66" s="18">
        <v>43861</v>
      </c>
      <c r="H66" s="18">
        <v>43861</v>
      </c>
      <c r="I66" s="13" t="s">
        <v>84</v>
      </c>
      <c r="J66" s="52"/>
      <c r="K66" s="52"/>
      <c r="L66" s="53"/>
      <c r="M66" s="18"/>
      <c r="N66" s="18"/>
      <c r="O66" s="16"/>
      <c r="P66" s="7"/>
    </row>
    <row r="67" spans="1:16" x14ac:dyDescent="0.15">
      <c r="A67" s="6">
        <v>73</v>
      </c>
      <c r="B67" s="1" t="s">
        <v>66</v>
      </c>
      <c r="C67" s="4" t="s">
        <v>35</v>
      </c>
      <c r="D67" s="3" t="s">
        <v>122</v>
      </c>
      <c r="E67" s="3" t="s">
        <v>39</v>
      </c>
      <c r="F67" s="3" t="s">
        <v>121</v>
      </c>
      <c r="G67" s="18">
        <v>43770</v>
      </c>
      <c r="H67" s="18">
        <v>43826</v>
      </c>
      <c r="I67" s="13" t="s">
        <v>82</v>
      </c>
      <c r="J67" s="52">
        <v>43770</v>
      </c>
      <c r="K67" s="52">
        <v>43826</v>
      </c>
      <c r="L67" s="53" t="s">
        <v>91</v>
      </c>
      <c r="M67" s="18">
        <v>43770</v>
      </c>
      <c r="N67" s="18">
        <v>43826</v>
      </c>
      <c r="O67" s="16" t="s">
        <v>83</v>
      </c>
      <c r="P67" s="7"/>
    </row>
    <row r="68" spans="1:16" x14ac:dyDescent="0.15">
      <c r="A68" s="6">
        <v>74</v>
      </c>
      <c r="B68" s="1" t="s">
        <v>66</v>
      </c>
      <c r="C68" s="4" t="s">
        <v>107</v>
      </c>
      <c r="D68" s="3" t="s">
        <v>124</v>
      </c>
      <c r="E68" s="3" t="s">
        <v>39</v>
      </c>
      <c r="F68" s="3" t="s">
        <v>121</v>
      </c>
      <c r="G68" s="18">
        <v>43770</v>
      </c>
      <c r="H68" s="18">
        <v>43826</v>
      </c>
      <c r="I68" s="15" t="s">
        <v>91</v>
      </c>
      <c r="J68" s="52">
        <v>43770</v>
      </c>
      <c r="K68" s="52">
        <v>43826</v>
      </c>
      <c r="L68" s="53" t="s">
        <v>91</v>
      </c>
      <c r="M68" s="16" t="s">
        <v>6</v>
      </c>
      <c r="N68" s="16" t="s">
        <v>6</v>
      </c>
      <c r="O68" s="16" t="s">
        <v>6</v>
      </c>
      <c r="P68" s="7" t="s">
        <v>45</v>
      </c>
    </row>
    <row r="69" spans="1:16" x14ac:dyDescent="0.15">
      <c r="A69" s="6">
        <v>75</v>
      </c>
      <c r="B69" s="1" t="s">
        <v>66</v>
      </c>
      <c r="C69" s="4" t="s">
        <v>107</v>
      </c>
      <c r="D69" s="3" t="s">
        <v>125</v>
      </c>
      <c r="E69" s="3" t="s">
        <v>39</v>
      </c>
      <c r="F69" s="4" t="s">
        <v>118</v>
      </c>
      <c r="G69" s="18">
        <v>43845</v>
      </c>
      <c r="H69" s="18">
        <v>43845</v>
      </c>
      <c r="I69" s="13" t="s">
        <v>84</v>
      </c>
      <c r="J69" s="52"/>
      <c r="K69" s="52"/>
      <c r="L69" s="53"/>
      <c r="M69" s="18"/>
      <c r="N69" s="18"/>
      <c r="O69" s="16"/>
      <c r="P69" s="7"/>
    </row>
    <row r="70" spans="1:16" x14ac:dyDescent="0.15">
      <c r="A70" s="6">
        <v>76</v>
      </c>
      <c r="B70" s="1" t="s">
        <v>66</v>
      </c>
      <c r="C70" s="4" t="s">
        <v>107</v>
      </c>
      <c r="D70" s="3" t="s">
        <v>126</v>
      </c>
      <c r="E70" s="3" t="s">
        <v>39</v>
      </c>
      <c r="F70" s="4" t="s">
        <v>118</v>
      </c>
      <c r="G70" s="18">
        <v>43861</v>
      </c>
      <c r="H70" s="18">
        <v>43861</v>
      </c>
      <c r="I70" s="13" t="s">
        <v>84</v>
      </c>
      <c r="J70" s="52"/>
      <c r="K70" s="52"/>
      <c r="L70" s="53"/>
      <c r="M70" s="18"/>
      <c r="N70" s="18"/>
      <c r="O70" s="16"/>
      <c r="P70" s="7"/>
    </row>
    <row r="71" spans="1:16" x14ac:dyDescent="0.15">
      <c r="A71" s="6">
        <v>77</v>
      </c>
      <c r="B71" s="1" t="s">
        <v>67</v>
      </c>
      <c r="C71" s="4" t="s">
        <v>36</v>
      </c>
      <c r="D71" s="3" t="s">
        <v>122</v>
      </c>
      <c r="E71" s="3" t="s">
        <v>39</v>
      </c>
      <c r="F71" s="3" t="s">
        <v>121</v>
      </c>
      <c r="G71" s="18">
        <v>43770</v>
      </c>
      <c r="H71" s="18">
        <v>43826</v>
      </c>
      <c r="I71" s="13" t="s">
        <v>82</v>
      </c>
      <c r="J71" s="52">
        <v>43770</v>
      </c>
      <c r="K71" s="52">
        <v>43826</v>
      </c>
      <c r="L71" s="53" t="s">
        <v>91</v>
      </c>
      <c r="M71" s="18">
        <v>43770</v>
      </c>
      <c r="N71" s="18">
        <v>43826</v>
      </c>
      <c r="O71" s="16" t="s">
        <v>83</v>
      </c>
      <c r="P71" s="7"/>
    </row>
    <row r="72" spans="1:16" x14ac:dyDescent="0.15">
      <c r="A72" s="6">
        <v>78</v>
      </c>
      <c r="B72" s="1" t="s">
        <v>67</v>
      </c>
      <c r="C72" s="4" t="s">
        <v>108</v>
      </c>
      <c r="D72" s="3" t="s">
        <v>124</v>
      </c>
      <c r="E72" s="3" t="s">
        <v>39</v>
      </c>
      <c r="F72" s="3" t="s">
        <v>121</v>
      </c>
      <c r="G72" s="18">
        <v>43770</v>
      </c>
      <c r="H72" s="18">
        <v>43826</v>
      </c>
      <c r="I72" s="15" t="s">
        <v>91</v>
      </c>
      <c r="J72" s="52">
        <v>43770</v>
      </c>
      <c r="K72" s="52">
        <v>43826</v>
      </c>
      <c r="L72" s="53" t="s">
        <v>91</v>
      </c>
      <c r="M72" s="16" t="s">
        <v>6</v>
      </c>
      <c r="N72" s="16" t="s">
        <v>6</v>
      </c>
      <c r="O72" s="16" t="s">
        <v>6</v>
      </c>
      <c r="P72" s="7" t="s">
        <v>45</v>
      </c>
    </row>
    <row r="73" spans="1:16" x14ac:dyDescent="0.15">
      <c r="A73" s="6">
        <v>79</v>
      </c>
      <c r="B73" s="1" t="s">
        <v>67</v>
      </c>
      <c r="C73" s="4" t="s">
        <v>108</v>
      </c>
      <c r="D73" s="3" t="s">
        <v>125</v>
      </c>
      <c r="E73" s="3" t="s">
        <v>39</v>
      </c>
      <c r="F73" s="4" t="s">
        <v>118</v>
      </c>
      <c r="G73" s="18">
        <v>43846</v>
      </c>
      <c r="H73" s="18">
        <v>43846</v>
      </c>
      <c r="I73" s="13" t="s">
        <v>84</v>
      </c>
      <c r="J73" s="52"/>
      <c r="K73" s="52"/>
      <c r="L73" s="53"/>
      <c r="M73" s="18"/>
      <c r="N73" s="18"/>
      <c r="O73" s="16"/>
      <c r="P73" s="7"/>
    </row>
    <row r="74" spans="1:16" x14ac:dyDescent="0.15">
      <c r="A74" s="6">
        <v>80</v>
      </c>
      <c r="B74" s="1" t="s">
        <v>67</v>
      </c>
      <c r="C74" s="4" t="s">
        <v>108</v>
      </c>
      <c r="D74" s="3" t="s">
        <v>126</v>
      </c>
      <c r="E74" s="3" t="s">
        <v>39</v>
      </c>
      <c r="F74" s="4" t="s">
        <v>118</v>
      </c>
      <c r="G74" s="18">
        <v>43864</v>
      </c>
      <c r="H74" s="18">
        <v>43864</v>
      </c>
      <c r="I74" s="13" t="s">
        <v>84</v>
      </c>
      <c r="J74" s="52"/>
      <c r="K74" s="52"/>
      <c r="L74" s="53"/>
      <c r="M74" s="18"/>
      <c r="N74" s="18"/>
      <c r="O74" s="16"/>
      <c r="P74" s="7"/>
    </row>
    <row r="75" spans="1:16" x14ac:dyDescent="0.15">
      <c r="A75" s="6">
        <v>33</v>
      </c>
      <c r="B75" s="1" t="s">
        <v>72</v>
      </c>
      <c r="C75" s="4" t="s">
        <v>48</v>
      </c>
      <c r="D75" s="3" t="s">
        <v>122</v>
      </c>
      <c r="E75" s="3" t="s">
        <v>42</v>
      </c>
      <c r="F75" s="4" t="s">
        <v>118</v>
      </c>
      <c r="G75" s="18">
        <v>43850</v>
      </c>
      <c r="H75" s="18">
        <v>43852</v>
      </c>
      <c r="I75" s="13" t="s">
        <v>134</v>
      </c>
      <c r="J75" s="52"/>
      <c r="K75" s="52"/>
      <c r="L75" s="53"/>
      <c r="M75" s="18"/>
      <c r="N75" s="18"/>
      <c r="O75" s="16"/>
      <c r="P75" s="7"/>
    </row>
    <row r="76" spans="1:16" x14ac:dyDescent="0.15">
      <c r="A76" s="6">
        <v>34</v>
      </c>
      <c r="B76" s="1" t="s">
        <v>72</v>
      </c>
      <c r="C76" s="4" t="s">
        <v>48</v>
      </c>
      <c r="D76" s="3" t="s">
        <v>124</v>
      </c>
      <c r="E76" s="3" t="s">
        <v>42</v>
      </c>
      <c r="F76" s="4" t="s">
        <v>118</v>
      </c>
      <c r="G76" s="18"/>
      <c r="H76" s="18"/>
      <c r="I76" s="13"/>
      <c r="J76" s="52"/>
      <c r="K76" s="52"/>
      <c r="L76" s="53"/>
      <c r="M76" s="18"/>
      <c r="N76" s="18"/>
      <c r="O76" s="16"/>
      <c r="P76" s="7" t="s">
        <v>46</v>
      </c>
    </row>
    <row r="77" spans="1:16" x14ac:dyDescent="0.15">
      <c r="A77" s="6">
        <v>35</v>
      </c>
      <c r="B77" s="1" t="s">
        <v>72</v>
      </c>
      <c r="C77" s="4" t="s">
        <v>48</v>
      </c>
      <c r="D77" s="3" t="s">
        <v>125</v>
      </c>
      <c r="E77" s="3" t="s">
        <v>42</v>
      </c>
      <c r="F77" s="4" t="s">
        <v>118</v>
      </c>
      <c r="G77" s="18"/>
      <c r="H77" s="18"/>
      <c r="I77" s="14"/>
      <c r="J77" s="52"/>
      <c r="K77" s="52"/>
      <c r="L77" s="53"/>
      <c r="M77" s="18"/>
      <c r="N77" s="18"/>
      <c r="O77" s="16"/>
      <c r="P77" s="7"/>
    </row>
    <row r="78" spans="1:16" x14ac:dyDescent="0.15">
      <c r="A78" s="6">
        <v>36</v>
      </c>
      <c r="B78" s="1" t="s">
        <v>72</v>
      </c>
      <c r="C78" s="4" t="s">
        <v>48</v>
      </c>
      <c r="D78" s="3" t="s">
        <v>126</v>
      </c>
      <c r="E78" s="3" t="s">
        <v>42</v>
      </c>
      <c r="F78" s="4" t="s">
        <v>118</v>
      </c>
      <c r="G78" s="18"/>
      <c r="H78" s="18"/>
      <c r="I78" s="13"/>
      <c r="J78" s="52"/>
      <c r="K78" s="52"/>
      <c r="L78" s="53"/>
      <c r="M78" s="18"/>
      <c r="N78" s="18"/>
      <c r="O78" s="16"/>
      <c r="P78" s="7"/>
    </row>
    <row r="79" spans="1:16" x14ac:dyDescent="0.15">
      <c r="A79" s="6">
        <v>37</v>
      </c>
      <c r="B79" s="1" t="s">
        <v>73</v>
      </c>
      <c r="C79" s="4" t="s">
        <v>49</v>
      </c>
      <c r="D79" s="3" t="s">
        <v>122</v>
      </c>
      <c r="E79" s="3" t="s">
        <v>42</v>
      </c>
      <c r="F79" s="4" t="s">
        <v>118</v>
      </c>
      <c r="G79" s="18">
        <v>43853</v>
      </c>
      <c r="H79" s="18">
        <v>43854</v>
      </c>
      <c r="I79" s="13" t="s">
        <v>134</v>
      </c>
      <c r="J79" s="52"/>
      <c r="K79" s="52"/>
      <c r="L79" s="53"/>
      <c r="M79" s="18"/>
      <c r="N79" s="18"/>
      <c r="O79" s="16"/>
      <c r="P79" s="7"/>
    </row>
    <row r="80" spans="1:16" x14ac:dyDescent="0.15">
      <c r="A80" s="6">
        <v>38</v>
      </c>
      <c r="B80" s="1" t="s">
        <v>73</v>
      </c>
      <c r="C80" s="4" t="s">
        <v>49</v>
      </c>
      <c r="D80" s="3" t="s">
        <v>124</v>
      </c>
      <c r="E80" s="3" t="s">
        <v>42</v>
      </c>
      <c r="F80" s="4" t="s">
        <v>118</v>
      </c>
      <c r="G80" s="18"/>
      <c r="H80" s="18"/>
      <c r="I80" s="13"/>
      <c r="J80" s="52"/>
      <c r="K80" s="52"/>
      <c r="L80" s="53"/>
      <c r="M80" s="18"/>
      <c r="N80" s="18"/>
      <c r="O80" s="16"/>
      <c r="P80" s="7" t="s">
        <v>46</v>
      </c>
    </row>
    <row r="81" spans="1:16" x14ac:dyDescent="0.15">
      <c r="A81" s="6">
        <v>39</v>
      </c>
      <c r="B81" s="1" t="s">
        <v>73</v>
      </c>
      <c r="C81" s="4" t="s">
        <v>49</v>
      </c>
      <c r="D81" s="3" t="s">
        <v>125</v>
      </c>
      <c r="E81" s="3" t="s">
        <v>42</v>
      </c>
      <c r="F81" s="4" t="s">
        <v>118</v>
      </c>
      <c r="G81" s="18"/>
      <c r="H81" s="18"/>
      <c r="I81" s="14"/>
      <c r="J81" s="52"/>
      <c r="K81" s="52"/>
      <c r="L81" s="53"/>
      <c r="M81" s="18"/>
      <c r="N81" s="18"/>
      <c r="O81" s="16"/>
      <c r="P81" s="7"/>
    </row>
    <row r="82" spans="1:16" x14ac:dyDescent="0.15">
      <c r="A82" s="6">
        <v>40</v>
      </c>
      <c r="B82" s="1" t="s">
        <v>73</v>
      </c>
      <c r="C82" s="4" t="s">
        <v>49</v>
      </c>
      <c r="D82" s="3" t="s">
        <v>126</v>
      </c>
      <c r="E82" s="3" t="s">
        <v>42</v>
      </c>
      <c r="F82" s="4" t="s">
        <v>118</v>
      </c>
      <c r="G82" s="18"/>
      <c r="H82" s="18"/>
      <c r="I82" s="13"/>
      <c r="J82" s="52"/>
      <c r="K82" s="52"/>
      <c r="L82" s="53"/>
      <c r="M82" s="18"/>
      <c r="N82" s="18"/>
      <c r="O82" s="16"/>
      <c r="P82" s="7"/>
    </row>
    <row r="83" spans="1:16" x14ac:dyDescent="0.15">
      <c r="A83" s="6">
        <v>53</v>
      </c>
      <c r="B83" s="1" t="s">
        <v>71</v>
      </c>
      <c r="C83" s="4" t="s">
        <v>47</v>
      </c>
      <c r="D83" s="3" t="s">
        <v>122</v>
      </c>
      <c r="E83" s="3" t="s">
        <v>38</v>
      </c>
      <c r="F83" s="4" t="s">
        <v>118</v>
      </c>
      <c r="G83" s="18">
        <v>43857</v>
      </c>
      <c r="H83" s="18">
        <v>43859</v>
      </c>
      <c r="I83" s="13" t="s">
        <v>134</v>
      </c>
      <c r="J83" s="52"/>
      <c r="K83" s="52"/>
      <c r="L83" s="53"/>
      <c r="M83" s="18"/>
      <c r="N83" s="18"/>
      <c r="O83" s="16"/>
      <c r="P83" s="7"/>
    </row>
    <row r="84" spans="1:16" x14ac:dyDescent="0.15">
      <c r="A84" s="6">
        <v>54</v>
      </c>
      <c r="B84" s="1" t="s">
        <v>71</v>
      </c>
      <c r="C84" s="4" t="s">
        <v>47</v>
      </c>
      <c r="D84" s="3" t="s">
        <v>124</v>
      </c>
      <c r="E84" s="3" t="s">
        <v>38</v>
      </c>
      <c r="F84" s="4" t="s">
        <v>118</v>
      </c>
      <c r="G84" s="18"/>
      <c r="H84" s="18"/>
      <c r="I84" s="13"/>
      <c r="J84" s="52"/>
      <c r="K84" s="52"/>
      <c r="L84" s="53"/>
      <c r="M84" s="18"/>
      <c r="N84" s="18"/>
      <c r="O84" s="16"/>
      <c r="P84" s="7" t="s">
        <v>45</v>
      </c>
    </row>
    <row r="85" spans="1:16" x14ac:dyDescent="0.15">
      <c r="A85" s="6">
        <v>55</v>
      </c>
      <c r="B85" s="1" t="s">
        <v>71</v>
      </c>
      <c r="C85" s="4" t="s">
        <v>47</v>
      </c>
      <c r="D85" s="3" t="s">
        <v>125</v>
      </c>
      <c r="E85" s="3" t="s">
        <v>38</v>
      </c>
      <c r="F85" s="4" t="s">
        <v>118</v>
      </c>
      <c r="G85" s="18"/>
      <c r="H85" s="18"/>
      <c r="I85" s="14"/>
      <c r="J85" s="52"/>
      <c r="K85" s="52"/>
      <c r="L85" s="53"/>
      <c r="M85" s="18"/>
      <c r="N85" s="18"/>
      <c r="O85" s="16"/>
      <c r="P85" s="7"/>
    </row>
    <row r="86" spans="1:16" x14ac:dyDescent="0.15">
      <c r="A86" s="6">
        <v>56</v>
      </c>
      <c r="B86" s="1" t="s">
        <v>71</v>
      </c>
      <c r="C86" s="4" t="s">
        <v>47</v>
      </c>
      <c r="D86" s="3" t="s">
        <v>126</v>
      </c>
      <c r="E86" s="3" t="s">
        <v>38</v>
      </c>
      <c r="F86" s="4" t="s">
        <v>118</v>
      </c>
      <c r="G86" s="18"/>
      <c r="H86" s="18"/>
      <c r="I86" s="14"/>
      <c r="J86" s="52"/>
      <c r="K86" s="52"/>
      <c r="L86" s="53"/>
      <c r="M86" s="18"/>
      <c r="N86" s="18"/>
      <c r="O86" s="16"/>
      <c r="P86" s="7"/>
    </row>
    <row r="87" spans="1:16" x14ac:dyDescent="0.15">
      <c r="A87" s="6">
        <v>57</v>
      </c>
      <c r="B87" s="1" t="s">
        <v>74</v>
      </c>
      <c r="C87" s="4" t="s">
        <v>50</v>
      </c>
      <c r="D87" s="3" t="s">
        <v>122</v>
      </c>
      <c r="E87" s="3" t="s">
        <v>42</v>
      </c>
      <c r="F87" s="4" t="s">
        <v>118</v>
      </c>
      <c r="G87" s="18">
        <v>43860</v>
      </c>
      <c r="H87" s="18">
        <v>43864</v>
      </c>
      <c r="I87" s="13" t="s">
        <v>134</v>
      </c>
      <c r="J87" s="52"/>
      <c r="K87" s="52"/>
      <c r="L87" s="53"/>
      <c r="M87" s="18"/>
      <c r="N87" s="18"/>
      <c r="O87" s="16"/>
      <c r="P87" s="7"/>
    </row>
    <row r="88" spans="1:16" x14ac:dyDescent="0.15">
      <c r="A88" s="6">
        <v>58</v>
      </c>
      <c r="B88" s="1" t="s">
        <v>74</v>
      </c>
      <c r="C88" s="4" t="s">
        <v>50</v>
      </c>
      <c r="D88" s="3" t="s">
        <v>124</v>
      </c>
      <c r="E88" s="3" t="s">
        <v>42</v>
      </c>
      <c r="F88" s="4" t="s">
        <v>118</v>
      </c>
      <c r="G88" s="18"/>
      <c r="H88" s="18"/>
      <c r="I88" s="13"/>
      <c r="J88" s="52"/>
      <c r="K88" s="52"/>
      <c r="L88" s="53"/>
      <c r="M88" s="18"/>
      <c r="N88" s="18"/>
      <c r="O88" s="16"/>
      <c r="P88" s="7" t="s">
        <v>46</v>
      </c>
    </row>
    <row r="89" spans="1:16" x14ac:dyDescent="0.15">
      <c r="A89" s="6">
        <v>59</v>
      </c>
      <c r="B89" s="1" t="s">
        <v>74</v>
      </c>
      <c r="C89" s="4" t="s">
        <v>50</v>
      </c>
      <c r="D89" s="3" t="s">
        <v>125</v>
      </c>
      <c r="E89" s="3" t="s">
        <v>42</v>
      </c>
      <c r="F89" s="4" t="s">
        <v>118</v>
      </c>
      <c r="G89" s="18"/>
      <c r="H89" s="18"/>
      <c r="I89" s="14"/>
      <c r="J89" s="52"/>
      <c r="K89" s="52"/>
      <c r="L89" s="53"/>
      <c r="M89" s="18"/>
      <c r="N89" s="18"/>
      <c r="O89" s="16"/>
      <c r="P89" s="7"/>
    </row>
    <row r="90" spans="1:16" x14ac:dyDescent="0.15">
      <c r="A90" s="6">
        <v>60</v>
      </c>
      <c r="B90" s="1" t="s">
        <v>74</v>
      </c>
      <c r="C90" s="4" t="s">
        <v>50</v>
      </c>
      <c r="D90" s="3" t="s">
        <v>126</v>
      </c>
      <c r="E90" s="3" t="s">
        <v>42</v>
      </c>
      <c r="F90" s="4" t="s">
        <v>118</v>
      </c>
      <c r="G90" s="18"/>
      <c r="H90" s="18"/>
      <c r="I90" s="14"/>
      <c r="J90" s="52"/>
      <c r="K90" s="52"/>
      <c r="L90" s="53"/>
      <c r="M90" s="18"/>
      <c r="N90" s="18"/>
      <c r="O90" s="16"/>
      <c r="P90" s="7"/>
    </row>
    <row r="91" spans="1:16" x14ac:dyDescent="0.15">
      <c r="A91" s="6">
        <v>89</v>
      </c>
      <c r="B91" s="1" t="s">
        <v>52</v>
      </c>
      <c r="C91" s="4" t="s">
        <v>95</v>
      </c>
      <c r="D91" s="3" t="s">
        <v>122</v>
      </c>
      <c r="E91" s="3" t="s">
        <v>51</v>
      </c>
      <c r="F91" s="4" t="s">
        <v>118</v>
      </c>
      <c r="G91" s="18"/>
      <c r="H91" s="18"/>
      <c r="I91" s="13"/>
      <c r="J91" s="52"/>
      <c r="K91" s="52"/>
      <c r="L91" s="53"/>
      <c r="M91" s="18"/>
      <c r="N91" s="18"/>
      <c r="O91" s="16"/>
      <c r="P91" s="7"/>
    </row>
    <row r="92" spans="1:16" x14ac:dyDescent="0.15">
      <c r="A92" s="6">
        <v>90</v>
      </c>
      <c r="B92" s="1" t="s">
        <v>52</v>
      </c>
      <c r="C92" s="4" t="s">
        <v>95</v>
      </c>
      <c r="D92" s="3" t="s">
        <v>124</v>
      </c>
      <c r="E92" s="3" t="s">
        <v>51</v>
      </c>
      <c r="F92" s="4" t="s">
        <v>118</v>
      </c>
      <c r="G92" s="18"/>
      <c r="H92" s="18"/>
      <c r="I92" s="13"/>
      <c r="J92" s="52"/>
      <c r="K92" s="52"/>
      <c r="L92" s="53"/>
      <c r="M92" s="18"/>
      <c r="N92" s="18"/>
      <c r="O92" s="16"/>
      <c r="P92" s="7" t="s">
        <v>43</v>
      </c>
    </row>
    <row r="93" spans="1:16" x14ac:dyDescent="0.15">
      <c r="A93" s="6">
        <v>91</v>
      </c>
      <c r="B93" s="1" t="s">
        <v>52</v>
      </c>
      <c r="C93" s="4" t="s">
        <v>95</v>
      </c>
      <c r="D93" s="3" t="s">
        <v>125</v>
      </c>
      <c r="E93" s="3" t="s">
        <v>51</v>
      </c>
      <c r="F93" s="4" t="s">
        <v>118</v>
      </c>
      <c r="G93" s="18"/>
      <c r="H93" s="18"/>
      <c r="I93" s="13"/>
      <c r="J93" s="52"/>
      <c r="K93" s="52"/>
      <c r="L93" s="53"/>
      <c r="M93" s="18"/>
      <c r="N93" s="18"/>
      <c r="O93" s="16"/>
      <c r="P93" s="7"/>
    </row>
    <row r="94" spans="1:16" x14ac:dyDescent="0.15">
      <c r="A94" s="6">
        <v>92</v>
      </c>
      <c r="B94" s="1" t="s">
        <v>52</v>
      </c>
      <c r="C94" s="4" t="s">
        <v>95</v>
      </c>
      <c r="D94" s="3" t="s">
        <v>126</v>
      </c>
      <c r="E94" s="3" t="s">
        <v>51</v>
      </c>
      <c r="F94" s="4" t="s">
        <v>118</v>
      </c>
      <c r="G94" s="18"/>
      <c r="H94" s="18"/>
      <c r="I94" s="13"/>
      <c r="J94" s="52"/>
      <c r="K94" s="52"/>
      <c r="L94" s="53"/>
      <c r="M94" s="18"/>
      <c r="N94" s="18"/>
      <c r="O94" s="16"/>
      <c r="P94" s="7"/>
    </row>
    <row r="95" spans="1:16" x14ac:dyDescent="0.15">
      <c r="A95" s="6">
        <v>93</v>
      </c>
      <c r="B95" s="1" t="s">
        <v>52</v>
      </c>
      <c r="C95" s="4" t="s">
        <v>75</v>
      </c>
      <c r="D95" s="3" t="s">
        <v>122</v>
      </c>
      <c r="E95" s="3" t="s">
        <v>51</v>
      </c>
      <c r="F95" s="4" t="s">
        <v>118</v>
      </c>
      <c r="G95" s="18"/>
      <c r="H95" s="18"/>
      <c r="I95" s="13"/>
      <c r="J95" s="52"/>
      <c r="K95" s="52"/>
      <c r="L95" s="53"/>
      <c r="M95" s="18"/>
      <c r="N95" s="18"/>
      <c r="O95" s="16"/>
      <c r="P95" s="7"/>
    </row>
    <row r="96" spans="1:16" x14ac:dyDescent="0.15">
      <c r="A96" s="6">
        <v>94</v>
      </c>
      <c r="B96" s="1" t="s">
        <v>52</v>
      </c>
      <c r="C96" s="4" t="s">
        <v>75</v>
      </c>
      <c r="D96" s="3" t="s">
        <v>124</v>
      </c>
      <c r="E96" s="3" t="s">
        <v>51</v>
      </c>
      <c r="F96" s="4" t="s">
        <v>118</v>
      </c>
      <c r="G96" s="18"/>
      <c r="H96" s="18"/>
      <c r="I96" s="13"/>
      <c r="J96" s="52"/>
      <c r="K96" s="52"/>
      <c r="L96" s="53"/>
      <c r="M96" s="18"/>
      <c r="N96" s="18"/>
      <c r="O96" s="16"/>
      <c r="P96" s="7" t="s">
        <v>43</v>
      </c>
    </row>
    <row r="97" spans="1:16" x14ac:dyDescent="0.15">
      <c r="A97" s="6">
        <v>95</v>
      </c>
      <c r="B97" s="1" t="s">
        <v>52</v>
      </c>
      <c r="C97" s="4" t="s">
        <v>75</v>
      </c>
      <c r="D97" s="3" t="s">
        <v>125</v>
      </c>
      <c r="E97" s="3" t="s">
        <v>51</v>
      </c>
      <c r="F97" s="4" t="s">
        <v>118</v>
      </c>
      <c r="G97" s="18"/>
      <c r="H97" s="18"/>
      <c r="I97" s="13"/>
      <c r="J97" s="52"/>
      <c r="K97" s="52"/>
      <c r="L97" s="53"/>
      <c r="M97" s="18"/>
      <c r="N97" s="18"/>
      <c r="O97" s="16"/>
      <c r="P97" s="7"/>
    </row>
    <row r="98" spans="1:16" x14ac:dyDescent="0.15">
      <c r="A98" s="6">
        <v>96</v>
      </c>
      <c r="B98" s="1" t="s">
        <v>52</v>
      </c>
      <c r="C98" s="4" t="s">
        <v>75</v>
      </c>
      <c r="D98" s="3" t="s">
        <v>126</v>
      </c>
      <c r="E98" s="3" t="s">
        <v>51</v>
      </c>
      <c r="F98" s="4" t="s">
        <v>118</v>
      </c>
      <c r="G98" s="18"/>
      <c r="H98" s="18"/>
      <c r="I98" s="13"/>
      <c r="J98" s="52"/>
      <c r="K98" s="52"/>
      <c r="L98" s="53"/>
      <c r="M98" s="18"/>
      <c r="N98" s="18"/>
      <c r="O98" s="16"/>
      <c r="P98" s="7"/>
    </row>
    <row r="99" spans="1:16" x14ac:dyDescent="0.15">
      <c r="A99" s="6">
        <v>97</v>
      </c>
      <c r="B99" s="1" t="s">
        <v>52</v>
      </c>
      <c r="C99" s="4" t="s">
        <v>76</v>
      </c>
      <c r="D99" s="3" t="s">
        <v>122</v>
      </c>
      <c r="E99" s="3" t="s">
        <v>51</v>
      </c>
      <c r="F99" s="4" t="s">
        <v>118</v>
      </c>
      <c r="G99" s="18"/>
      <c r="H99" s="18"/>
      <c r="I99" s="13"/>
      <c r="J99" s="52"/>
      <c r="K99" s="52"/>
      <c r="L99" s="53"/>
      <c r="M99" s="18"/>
      <c r="N99" s="18"/>
      <c r="O99" s="16"/>
      <c r="P99" s="7"/>
    </row>
    <row r="100" spans="1:16" x14ac:dyDescent="0.15">
      <c r="A100" s="6">
        <v>98</v>
      </c>
      <c r="B100" s="1" t="s">
        <v>52</v>
      </c>
      <c r="C100" s="4" t="s">
        <v>76</v>
      </c>
      <c r="D100" s="3" t="s">
        <v>124</v>
      </c>
      <c r="E100" s="3" t="s">
        <v>51</v>
      </c>
      <c r="F100" s="4" t="s">
        <v>118</v>
      </c>
      <c r="G100" s="18"/>
      <c r="H100" s="18"/>
      <c r="I100" s="13"/>
      <c r="J100" s="52"/>
      <c r="K100" s="52"/>
      <c r="L100" s="53"/>
      <c r="M100" s="18"/>
      <c r="N100" s="18"/>
      <c r="O100" s="16"/>
      <c r="P100" s="7" t="s">
        <v>43</v>
      </c>
    </row>
    <row r="101" spans="1:16" x14ac:dyDescent="0.15">
      <c r="A101" s="6">
        <v>99</v>
      </c>
      <c r="B101" s="1" t="s">
        <v>52</v>
      </c>
      <c r="C101" s="4" t="s">
        <v>76</v>
      </c>
      <c r="D101" s="3" t="s">
        <v>125</v>
      </c>
      <c r="E101" s="3" t="s">
        <v>51</v>
      </c>
      <c r="F101" s="4" t="s">
        <v>118</v>
      </c>
      <c r="G101" s="18"/>
      <c r="H101" s="18"/>
      <c r="I101" s="13"/>
      <c r="J101" s="52"/>
      <c r="K101" s="52"/>
      <c r="L101" s="53"/>
      <c r="M101" s="18"/>
      <c r="N101" s="18"/>
      <c r="O101" s="16"/>
      <c r="P101" s="7"/>
    </row>
    <row r="102" spans="1:16" x14ac:dyDescent="0.15">
      <c r="A102" s="6">
        <v>100</v>
      </c>
      <c r="B102" s="1" t="s">
        <v>52</v>
      </c>
      <c r="C102" s="4" t="s">
        <v>76</v>
      </c>
      <c r="D102" s="3" t="s">
        <v>126</v>
      </c>
      <c r="E102" s="3" t="s">
        <v>51</v>
      </c>
      <c r="F102" s="4" t="s">
        <v>118</v>
      </c>
      <c r="G102" s="18"/>
      <c r="H102" s="18"/>
      <c r="I102" s="13"/>
      <c r="J102" s="52"/>
      <c r="K102" s="52"/>
      <c r="L102" s="53"/>
      <c r="M102" s="18"/>
      <c r="N102" s="18"/>
      <c r="O102" s="16"/>
      <c r="P102" s="7"/>
    </row>
    <row r="103" spans="1:16" x14ac:dyDescent="0.15">
      <c r="A103" s="6">
        <v>101</v>
      </c>
      <c r="B103" s="1" t="s">
        <v>52</v>
      </c>
      <c r="C103" s="4" t="s">
        <v>77</v>
      </c>
      <c r="D103" s="3" t="s">
        <v>122</v>
      </c>
      <c r="E103" s="3" t="s">
        <v>51</v>
      </c>
      <c r="F103" s="4" t="s">
        <v>118</v>
      </c>
      <c r="G103" s="18"/>
      <c r="H103" s="18"/>
      <c r="I103" s="13"/>
      <c r="J103" s="52"/>
      <c r="K103" s="52"/>
      <c r="L103" s="53"/>
      <c r="M103" s="18"/>
      <c r="N103" s="18"/>
      <c r="O103" s="16"/>
      <c r="P103" s="7"/>
    </row>
    <row r="104" spans="1:16" x14ac:dyDescent="0.15">
      <c r="A104" s="6">
        <v>102</v>
      </c>
      <c r="B104" s="1" t="s">
        <v>52</v>
      </c>
      <c r="C104" s="4" t="s">
        <v>77</v>
      </c>
      <c r="D104" s="3" t="s">
        <v>124</v>
      </c>
      <c r="E104" s="3" t="s">
        <v>51</v>
      </c>
      <c r="F104" s="4" t="s">
        <v>118</v>
      </c>
      <c r="G104" s="18"/>
      <c r="H104" s="18"/>
      <c r="I104" s="13"/>
      <c r="J104" s="52"/>
      <c r="K104" s="52"/>
      <c r="L104" s="53"/>
      <c r="M104" s="18"/>
      <c r="N104" s="18"/>
      <c r="O104" s="16"/>
      <c r="P104" s="7" t="s">
        <v>43</v>
      </c>
    </row>
    <row r="105" spans="1:16" x14ac:dyDescent="0.15">
      <c r="A105" s="6">
        <v>103</v>
      </c>
      <c r="B105" s="1" t="s">
        <v>52</v>
      </c>
      <c r="C105" s="4" t="s">
        <v>77</v>
      </c>
      <c r="D105" s="3" t="s">
        <v>125</v>
      </c>
      <c r="E105" s="3" t="s">
        <v>51</v>
      </c>
      <c r="F105" s="4" t="s">
        <v>118</v>
      </c>
      <c r="G105" s="18"/>
      <c r="H105" s="18"/>
      <c r="I105" s="14"/>
      <c r="J105" s="52"/>
      <c r="K105" s="52"/>
      <c r="L105" s="53"/>
      <c r="M105" s="18"/>
      <c r="N105" s="18"/>
      <c r="O105" s="16"/>
      <c r="P105" s="7"/>
    </row>
    <row r="106" spans="1:16" x14ac:dyDescent="0.15">
      <c r="A106" s="6">
        <v>104</v>
      </c>
      <c r="B106" s="1" t="s">
        <v>52</v>
      </c>
      <c r="C106" s="4" t="s">
        <v>77</v>
      </c>
      <c r="D106" s="3" t="s">
        <v>126</v>
      </c>
      <c r="E106" s="3" t="s">
        <v>51</v>
      </c>
      <c r="F106" s="4" t="s">
        <v>118</v>
      </c>
      <c r="G106" s="18"/>
      <c r="H106" s="18"/>
      <c r="I106" s="14"/>
      <c r="J106" s="52"/>
      <c r="K106" s="52"/>
      <c r="L106" s="53"/>
      <c r="M106" s="18"/>
      <c r="N106" s="18"/>
      <c r="O106" s="16"/>
      <c r="P106" s="7"/>
    </row>
    <row r="107" spans="1:16" x14ac:dyDescent="0.15">
      <c r="A107" s="6">
        <v>105</v>
      </c>
      <c r="B107" s="1" t="s">
        <v>52</v>
      </c>
      <c r="C107" s="4" t="s">
        <v>78</v>
      </c>
      <c r="D107" s="3" t="s">
        <v>122</v>
      </c>
      <c r="E107" s="3" t="s">
        <v>51</v>
      </c>
      <c r="F107" s="4" t="s">
        <v>118</v>
      </c>
      <c r="G107" s="18"/>
      <c r="H107" s="18"/>
      <c r="I107" s="13"/>
      <c r="J107" s="52"/>
      <c r="K107" s="52"/>
      <c r="L107" s="53"/>
      <c r="M107" s="18"/>
      <c r="N107" s="18"/>
      <c r="O107" s="16"/>
      <c r="P107" s="7"/>
    </row>
    <row r="108" spans="1:16" x14ac:dyDescent="0.15">
      <c r="A108" s="6">
        <v>106</v>
      </c>
      <c r="B108" s="1" t="s">
        <v>52</v>
      </c>
      <c r="C108" s="4" t="s">
        <v>78</v>
      </c>
      <c r="D108" s="3" t="s">
        <v>124</v>
      </c>
      <c r="E108" s="3" t="s">
        <v>51</v>
      </c>
      <c r="F108" s="4" t="s">
        <v>118</v>
      </c>
      <c r="G108" s="18"/>
      <c r="H108" s="18"/>
      <c r="I108" s="13"/>
      <c r="J108" s="52"/>
      <c r="K108" s="52"/>
      <c r="L108" s="53"/>
      <c r="M108" s="18"/>
      <c r="N108" s="18"/>
      <c r="O108" s="16"/>
      <c r="P108" s="7" t="s">
        <v>43</v>
      </c>
    </row>
    <row r="109" spans="1:16" x14ac:dyDescent="0.15">
      <c r="A109" s="6">
        <v>107</v>
      </c>
      <c r="B109" s="1" t="s">
        <v>52</v>
      </c>
      <c r="C109" s="4" t="s">
        <v>78</v>
      </c>
      <c r="D109" s="3" t="s">
        <v>125</v>
      </c>
      <c r="E109" s="3" t="s">
        <v>51</v>
      </c>
      <c r="F109" s="4" t="s">
        <v>118</v>
      </c>
      <c r="G109" s="18"/>
      <c r="H109" s="18"/>
      <c r="I109" s="14"/>
      <c r="J109" s="52"/>
      <c r="K109" s="52"/>
      <c r="L109" s="53"/>
      <c r="M109" s="18"/>
      <c r="N109" s="18"/>
      <c r="O109" s="16"/>
      <c r="P109" s="7"/>
    </row>
    <row r="110" spans="1:16" x14ac:dyDescent="0.15">
      <c r="A110" s="6">
        <v>108</v>
      </c>
      <c r="B110" s="1" t="s">
        <v>52</v>
      </c>
      <c r="C110" s="4" t="s">
        <v>78</v>
      </c>
      <c r="D110" s="3" t="s">
        <v>126</v>
      </c>
      <c r="E110" s="3" t="s">
        <v>51</v>
      </c>
      <c r="F110" s="4" t="s">
        <v>118</v>
      </c>
      <c r="G110" s="18"/>
      <c r="H110" s="18"/>
      <c r="I110" s="14"/>
      <c r="J110" s="52"/>
      <c r="K110" s="52"/>
      <c r="L110" s="53"/>
      <c r="M110" s="18"/>
      <c r="N110" s="18"/>
      <c r="O110" s="16"/>
      <c r="P110" s="7"/>
    </row>
    <row r="111" spans="1:16" x14ac:dyDescent="0.15">
      <c r="A111" s="6">
        <v>109</v>
      </c>
      <c r="B111" s="1" t="s">
        <v>52</v>
      </c>
      <c r="C111" s="4" t="s">
        <v>79</v>
      </c>
      <c r="D111" s="3" t="s">
        <v>122</v>
      </c>
      <c r="E111" s="3" t="s">
        <v>51</v>
      </c>
      <c r="F111" s="4" t="s">
        <v>118</v>
      </c>
      <c r="G111" s="18"/>
      <c r="H111" s="18"/>
      <c r="I111" s="13"/>
      <c r="J111" s="52"/>
      <c r="K111" s="52"/>
      <c r="L111" s="53"/>
      <c r="M111" s="18"/>
      <c r="N111" s="18"/>
      <c r="O111" s="16"/>
      <c r="P111" s="7"/>
    </row>
    <row r="112" spans="1:16" x14ac:dyDescent="0.15">
      <c r="A112" s="6">
        <v>110</v>
      </c>
      <c r="B112" s="1" t="s">
        <v>52</v>
      </c>
      <c r="C112" s="4" t="s">
        <v>79</v>
      </c>
      <c r="D112" s="3" t="s">
        <v>124</v>
      </c>
      <c r="E112" s="3" t="s">
        <v>51</v>
      </c>
      <c r="F112" s="4" t="s">
        <v>118</v>
      </c>
      <c r="G112" s="18"/>
      <c r="H112" s="18"/>
      <c r="I112" s="13"/>
      <c r="J112" s="52"/>
      <c r="K112" s="52"/>
      <c r="L112" s="53"/>
      <c r="M112" s="18"/>
      <c r="N112" s="18"/>
      <c r="O112" s="16"/>
      <c r="P112" s="7" t="s">
        <v>43</v>
      </c>
    </row>
    <row r="113" spans="1:16" x14ac:dyDescent="0.15">
      <c r="A113" s="6">
        <v>111</v>
      </c>
      <c r="B113" s="1" t="s">
        <v>52</v>
      </c>
      <c r="C113" s="4" t="s">
        <v>79</v>
      </c>
      <c r="D113" s="3" t="s">
        <v>125</v>
      </c>
      <c r="E113" s="3" t="s">
        <v>51</v>
      </c>
      <c r="F113" s="4" t="s">
        <v>118</v>
      </c>
      <c r="G113" s="18"/>
      <c r="H113" s="18"/>
      <c r="I113" s="14"/>
      <c r="J113" s="52"/>
      <c r="K113" s="52"/>
      <c r="L113" s="53"/>
      <c r="M113" s="18"/>
      <c r="N113" s="18"/>
      <c r="O113" s="16"/>
      <c r="P113" s="7"/>
    </row>
    <row r="114" spans="1:16" x14ac:dyDescent="0.15">
      <c r="A114" s="6">
        <v>112</v>
      </c>
      <c r="B114" s="1" t="s">
        <v>52</v>
      </c>
      <c r="C114" s="4" t="s">
        <v>79</v>
      </c>
      <c r="D114" s="3" t="s">
        <v>126</v>
      </c>
      <c r="E114" s="3" t="s">
        <v>51</v>
      </c>
      <c r="F114" s="4" t="s">
        <v>118</v>
      </c>
      <c r="G114" s="18"/>
      <c r="H114" s="18"/>
      <c r="I114" s="14"/>
      <c r="J114" s="52"/>
      <c r="K114" s="52"/>
      <c r="L114" s="53"/>
      <c r="M114" s="18"/>
      <c r="N114" s="18"/>
      <c r="O114" s="16"/>
      <c r="P114" s="7"/>
    </row>
    <row r="115" spans="1:16" x14ac:dyDescent="0.15">
      <c r="A115" s="6">
        <v>113</v>
      </c>
      <c r="B115" s="1" t="s">
        <v>52</v>
      </c>
      <c r="C115" s="4" t="s">
        <v>80</v>
      </c>
      <c r="D115" s="3" t="s">
        <v>122</v>
      </c>
      <c r="E115" s="3" t="s">
        <v>51</v>
      </c>
      <c r="F115" s="4" t="s">
        <v>118</v>
      </c>
      <c r="G115" s="18"/>
      <c r="H115" s="18"/>
      <c r="I115" s="13"/>
      <c r="J115" s="52"/>
      <c r="K115" s="52"/>
      <c r="L115" s="53"/>
      <c r="M115" s="18"/>
      <c r="N115" s="18"/>
      <c r="O115" s="16"/>
      <c r="P115" s="7"/>
    </row>
    <row r="116" spans="1:16" x14ac:dyDescent="0.15">
      <c r="A116" s="6">
        <v>114</v>
      </c>
      <c r="B116" s="1" t="s">
        <v>52</v>
      </c>
      <c r="C116" s="4" t="s">
        <v>80</v>
      </c>
      <c r="D116" s="3" t="s">
        <v>124</v>
      </c>
      <c r="E116" s="3" t="s">
        <v>51</v>
      </c>
      <c r="F116" s="4" t="s">
        <v>118</v>
      </c>
      <c r="G116" s="18"/>
      <c r="H116" s="18"/>
      <c r="I116" s="13"/>
      <c r="J116" s="52"/>
      <c r="K116" s="52"/>
      <c r="L116" s="53"/>
      <c r="M116" s="18"/>
      <c r="N116" s="18"/>
      <c r="O116" s="16"/>
      <c r="P116" s="7" t="s">
        <v>43</v>
      </c>
    </row>
    <row r="117" spans="1:16" x14ac:dyDescent="0.15">
      <c r="A117" s="6">
        <v>115</v>
      </c>
      <c r="B117" s="1" t="s">
        <v>52</v>
      </c>
      <c r="C117" s="4" t="s">
        <v>80</v>
      </c>
      <c r="D117" s="3" t="s">
        <v>125</v>
      </c>
      <c r="E117" s="3" t="s">
        <v>51</v>
      </c>
      <c r="F117" s="4" t="s">
        <v>118</v>
      </c>
      <c r="G117" s="18"/>
      <c r="H117" s="18"/>
      <c r="I117" s="14"/>
      <c r="J117" s="52"/>
      <c r="K117" s="52"/>
      <c r="L117" s="53"/>
      <c r="M117" s="18"/>
      <c r="N117" s="18"/>
      <c r="O117" s="16"/>
      <c r="P117" s="7"/>
    </row>
    <row r="118" spans="1:16" x14ac:dyDescent="0.15">
      <c r="A118" s="6">
        <v>116</v>
      </c>
      <c r="B118" s="1" t="s">
        <v>52</v>
      </c>
      <c r="C118" s="4" t="s">
        <v>80</v>
      </c>
      <c r="D118" s="3" t="s">
        <v>126</v>
      </c>
      <c r="E118" s="3" t="s">
        <v>51</v>
      </c>
      <c r="F118" s="4" t="s">
        <v>118</v>
      </c>
      <c r="G118" s="18"/>
      <c r="H118" s="18"/>
      <c r="I118" s="14"/>
      <c r="J118" s="52"/>
      <c r="K118" s="52"/>
      <c r="L118" s="53"/>
      <c r="M118" s="18"/>
      <c r="N118" s="18"/>
      <c r="O118" s="16"/>
      <c r="P118" s="7"/>
    </row>
    <row r="119" spans="1:16" x14ac:dyDescent="0.15">
      <c r="A119" s="6">
        <v>117</v>
      </c>
      <c r="B119" s="34" t="s">
        <v>68</v>
      </c>
      <c r="C119" s="35" t="s">
        <v>40</v>
      </c>
      <c r="D119" s="36" t="s">
        <v>122</v>
      </c>
      <c r="E119" s="36" t="s">
        <v>51</v>
      </c>
      <c r="F119" s="36" t="s">
        <v>121</v>
      </c>
      <c r="G119" s="37">
        <v>43770</v>
      </c>
      <c r="H119" s="37">
        <v>43826</v>
      </c>
      <c r="I119" s="38" t="s">
        <v>93</v>
      </c>
      <c r="J119" s="37">
        <v>43770</v>
      </c>
      <c r="K119" s="37">
        <v>43826</v>
      </c>
      <c r="L119" s="39" t="s">
        <v>91</v>
      </c>
      <c r="M119" s="37">
        <v>43770</v>
      </c>
      <c r="N119" s="37">
        <v>43826</v>
      </c>
      <c r="O119" s="40" t="s">
        <v>83</v>
      </c>
      <c r="P119" s="41"/>
    </row>
    <row r="120" spans="1:16" x14ac:dyDescent="0.15">
      <c r="A120" s="6">
        <v>118</v>
      </c>
      <c r="B120" s="34" t="s">
        <v>68</v>
      </c>
      <c r="C120" s="35" t="s">
        <v>40</v>
      </c>
      <c r="D120" s="36" t="s">
        <v>124</v>
      </c>
      <c r="E120" s="36" t="s">
        <v>51</v>
      </c>
      <c r="F120" s="36" t="s">
        <v>121</v>
      </c>
      <c r="G120" s="37">
        <v>43770</v>
      </c>
      <c r="H120" s="37">
        <v>43826</v>
      </c>
      <c r="I120" s="38" t="s">
        <v>6</v>
      </c>
      <c r="J120" s="37">
        <v>43770</v>
      </c>
      <c r="K120" s="37">
        <v>43826</v>
      </c>
      <c r="L120" s="42" t="s">
        <v>6</v>
      </c>
      <c r="M120" s="40" t="s">
        <v>6</v>
      </c>
      <c r="N120" s="40" t="s">
        <v>6</v>
      </c>
      <c r="O120" s="40" t="s">
        <v>6</v>
      </c>
      <c r="P120" s="41" t="s">
        <v>43</v>
      </c>
    </row>
    <row r="121" spans="1:16" x14ac:dyDescent="0.15">
      <c r="A121" s="6">
        <v>119</v>
      </c>
      <c r="B121" s="34" t="s">
        <v>68</v>
      </c>
      <c r="C121" s="35" t="s">
        <v>40</v>
      </c>
      <c r="D121" s="36" t="s">
        <v>125</v>
      </c>
      <c r="E121" s="36" t="s">
        <v>51</v>
      </c>
      <c r="F121" s="35" t="s">
        <v>118</v>
      </c>
      <c r="G121" s="37"/>
      <c r="H121" s="37"/>
      <c r="I121" s="38"/>
      <c r="J121" s="37"/>
      <c r="K121" s="37"/>
      <c r="L121" s="39"/>
      <c r="M121" s="37"/>
      <c r="N121" s="37"/>
      <c r="O121" s="40"/>
      <c r="P121" s="41"/>
    </row>
    <row r="122" spans="1:16" x14ac:dyDescent="0.15">
      <c r="A122" s="6">
        <v>120</v>
      </c>
      <c r="B122" s="34" t="s">
        <v>68</v>
      </c>
      <c r="C122" s="35" t="s">
        <v>40</v>
      </c>
      <c r="D122" s="36" t="s">
        <v>126</v>
      </c>
      <c r="E122" s="36" t="s">
        <v>51</v>
      </c>
      <c r="F122" s="35" t="s">
        <v>118</v>
      </c>
      <c r="G122" s="37"/>
      <c r="H122" s="37"/>
      <c r="I122" s="38"/>
      <c r="J122" s="37"/>
      <c r="K122" s="37"/>
      <c r="L122" s="39"/>
      <c r="M122" s="37"/>
      <c r="N122" s="37"/>
      <c r="O122" s="40"/>
      <c r="P122" s="41"/>
    </row>
    <row r="123" spans="1:16" x14ac:dyDescent="0.15">
      <c r="A123" s="6">
        <v>121</v>
      </c>
      <c r="B123" s="34" t="s">
        <v>69</v>
      </c>
      <c r="C123" s="35" t="s">
        <v>37</v>
      </c>
      <c r="D123" s="36" t="s">
        <v>122</v>
      </c>
      <c r="E123" s="36" t="s">
        <v>51</v>
      </c>
      <c r="F123" s="36" t="s">
        <v>121</v>
      </c>
      <c r="G123" s="37">
        <v>43770</v>
      </c>
      <c r="H123" s="37">
        <v>43826</v>
      </c>
      <c r="I123" s="38" t="s">
        <v>93</v>
      </c>
      <c r="J123" s="37">
        <v>43770</v>
      </c>
      <c r="K123" s="37">
        <v>43826</v>
      </c>
      <c r="L123" s="39" t="s">
        <v>91</v>
      </c>
      <c r="M123" s="37">
        <v>43770</v>
      </c>
      <c r="N123" s="37">
        <v>43826</v>
      </c>
      <c r="O123" s="40" t="s">
        <v>83</v>
      </c>
      <c r="P123" s="41"/>
    </row>
    <row r="124" spans="1:16" x14ac:dyDescent="0.15">
      <c r="A124" s="6">
        <v>122</v>
      </c>
      <c r="B124" s="34" t="s">
        <v>69</v>
      </c>
      <c r="C124" s="35" t="s">
        <v>109</v>
      </c>
      <c r="D124" s="36" t="s">
        <v>124</v>
      </c>
      <c r="E124" s="36" t="s">
        <v>51</v>
      </c>
      <c r="F124" s="36" t="s">
        <v>121</v>
      </c>
      <c r="G124" s="37">
        <v>43770</v>
      </c>
      <c r="H124" s="37">
        <v>43826</v>
      </c>
      <c r="I124" s="38" t="s">
        <v>6</v>
      </c>
      <c r="J124" s="37">
        <v>43770</v>
      </c>
      <c r="K124" s="37">
        <v>43826</v>
      </c>
      <c r="L124" s="42" t="s">
        <v>6</v>
      </c>
      <c r="M124" s="40" t="s">
        <v>6</v>
      </c>
      <c r="N124" s="40" t="s">
        <v>6</v>
      </c>
      <c r="O124" s="40" t="s">
        <v>6</v>
      </c>
      <c r="P124" s="41" t="s">
        <v>43</v>
      </c>
    </row>
    <row r="125" spans="1:16" x14ac:dyDescent="0.15">
      <c r="A125" s="6">
        <v>123</v>
      </c>
      <c r="B125" s="34" t="s">
        <v>69</v>
      </c>
      <c r="C125" s="35" t="s">
        <v>109</v>
      </c>
      <c r="D125" s="36" t="s">
        <v>125</v>
      </c>
      <c r="E125" s="36" t="s">
        <v>51</v>
      </c>
      <c r="F125" s="35" t="s">
        <v>118</v>
      </c>
      <c r="G125" s="37"/>
      <c r="H125" s="37"/>
      <c r="I125" s="38"/>
      <c r="J125" s="37"/>
      <c r="K125" s="37"/>
      <c r="L125" s="39"/>
      <c r="M125" s="37"/>
      <c r="N125" s="37"/>
      <c r="O125" s="40"/>
      <c r="P125" s="41"/>
    </row>
    <row r="126" spans="1:16" x14ac:dyDescent="0.15">
      <c r="A126" s="6">
        <v>124</v>
      </c>
      <c r="B126" s="34" t="s">
        <v>69</v>
      </c>
      <c r="C126" s="35" t="s">
        <v>109</v>
      </c>
      <c r="D126" s="36" t="s">
        <v>126</v>
      </c>
      <c r="E126" s="36" t="s">
        <v>51</v>
      </c>
      <c r="F126" s="35" t="s">
        <v>118</v>
      </c>
      <c r="G126" s="37"/>
      <c r="H126" s="37"/>
      <c r="I126" s="38"/>
      <c r="J126" s="37"/>
      <c r="K126" s="37"/>
      <c r="L126" s="39"/>
      <c r="M126" s="37"/>
      <c r="N126" s="37"/>
      <c r="O126" s="40"/>
      <c r="P126" s="41"/>
    </row>
  </sheetData>
  <autoFilter ref="A2:P126" xr:uid="{8878A430-924D-4643-8473-34CAA4898BC0}"/>
  <sortState xmlns:xlrd2="http://schemas.microsoft.com/office/spreadsheetml/2017/richdata2" ref="B3:P126">
    <sortCondition ref="B3:B126"/>
    <sortCondition ref="D3:D126"/>
  </sortState>
  <mergeCells count="10">
    <mergeCell ref="P1:P2"/>
    <mergeCell ref="F1:F2"/>
    <mergeCell ref="M1:O1"/>
    <mergeCell ref="A1:A2"/>
    <mergeCell ref="E1:E2"/>
    <mergeCell ref="D1:D2"/>
    <mergeCell ref="B1:B2"/>
    <mergeCell ref="C1:C2"/>
    <mergeCell ref="J1:L1"/>
    <mergeCell ref="G1:I1"/>
  </mergeCells>
  <phoneticPr fontId="2"/>
  <dataValidations count="2">
    <dataValidation type="list" allowBlank="1" showInputMessage="1" showErrorMessage="1" sqref="F3:F126" xr:uid="{C850F363-08C2-40AB-A1E6-A0C061E56DCD}">
      <formula1>$S$2:$S$5</formula1>
    </dataValidation>
    <dataValidation type="list" allowBlank="1" showInputMessage="1" showErrorMessage="1" sqref="D3:D126" xr:uid="{657DC3D1-CDA9-4277-ABE5-886BB228D15A}">
      <formula1>$R$2:$R$5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50AE-E0F9-4B1C-84F1-A957AA3517B0}">
  <dimension ref="A1:Z33"/>
  <sheetViews>
    <sheetView workbookViewId="0">
      <selection sqref="A1:A2"/>
    </sheetView>
  </sheetViews>
  <sheetFormatPr defaultRowHeight="13.5" x14ac:dyDescent="0.15"/>
  <cols>
    <col min="1" max="1" width="5.75" bestFit="1" customWidth="1"/>
    <col min="2" max="2" width="11.375" bestFit="1" customWidth="1"/>
    <col min="3" max="3" width="33.625" bestFit="1" customWidth="1"/>
    <col min="4" max="4" width="8.875" bestFit="1" customWidth="1"/>
    <col min="5" max="5" width="8.75" bestFit="1" customWidth="1"/>
    <col min="6" max="6" width="5.625" bestFit="1" customWidth="1"/>
    <col min="7" max="7" width="7.25" bestFit="1" customWidth="1"/>
    <col min="8" max="8" width="8" customWidth="1"/>
    <col min="9" max="9" width="7.5" style="31" bestFit="1" customWidth="1"/>
    <col min="10" max="11" width="5.75" style="31" bestFit="1" customWidth="1"/>
    <col min="12" max="12" width="7.875" style="31" bestFit="1" customWidth="1"/>
    <col min="13" max="13" width="8.25" style="31" customWidth="1"/>
    <col min="14" max="14" width="9.125" style="31" customWidth="1"/>
    <col min="15" max="15" width="3.75" customWidth="1"/>
    <col min="16" max="16" width="3.875" bestFit="1" customWidth="1"/>
    <col min="18" max="20" width="4.125" customWidth="1"/>
    <col min="21" max="21" width="5.5" bestFit="1" customWidth="1"/>
    <col min="22" max="22" width="4" customWidth="1"/>
    <col min="23" max="23" width="4" bestFit="1" customWidth="1"/>
    <col min="25" max="25" width="5.75" customWidth="1"/>
    <col min="26" max="26" width="4.5" bestFit="1" customWidth="1"/>
  </cols>
  <sheetData>
    <row r="1" spans="1:26" ht="13.15" customHeight="1" x14ac:dyDescent="0.15">
      <c r="A1" s="72" t="s">
        <v>0</v>
      </c>
      <c r="B1" s="72" t="s">
        <v>115</v>
      </c>
      <c r="C1" s="72" t="s">
        <v>116</v>
      </c>
      <c r="D1" s="72" t="s">
        <v>132</v>
      </c>
      <c r="E1" s="74" t="s">
        <v>130</v>
      </c>
      <c r="F1" s="74"/>
      <c r="G1" s="74"/>
      <c r="H1" s="74"/>
      <c r="I1" s="77" t="s">
        <v>113</v>
      </c>
      <c r="J1" s="79" t="s">
        <v>7</v>
      </c>
      <c r="K1" s="79" t="s">
        <v>114</v>
      </c>
      <c r="L1" s="79" t="s">
        <v>128</v>
      </c>
      <c r="M1" s="77" t="s">
        <v>129</v>
      </c>
      <c r="N1" s="75" t="s">
        <v>131</v>
      </c>
      <c r="P1" s="21" t="s">
        <v>15</v>
      </c>
      <c r="Q1" s="27" t="s">
        <v>4</v>
      </c>
      <c r="R1" s="27"/>
      <c r="S1" s="27"/>
      <c r="T1" s="27"/>
      <c r="U1" s="27"/>
      <c r="W1" s="21" t="s">
        <v>15</v>
      </c>
      <c r="X1" s="22" t="s">
        <v>22</v>
      </c>
      <c r="Y1" s="22"/>
      <c r="Z1" s="22"/>
    </row>
    <row r="2" spans="1:26" ht="14.25" thickBot="1" x14ac:dyDescent="0.2">
      <c r="A2" s="73"/>
      <c r="B2" s="73"/>
      <c r="C2" s="73"/>
      <c r="D2" s="73"/>
      <c r="E2" s="32" t="s">
        <v>23</v>
      </c>
      <c r="F2" s="32" t="s">
        <v>111</v>
      </c>
      <c r="G2" s="32" t="s">
        <v>112</v>
      </c>
      <c r="H2" s="33" t="s">
        <v>10</v>
      </c>
      <c r="I2" s="78"/>
      <c r="J2" s="78"/>
      <c r="K2" s="78"/>
      <c r="L2" s="78"/>
      <c r="M2" s="78"/>
      <c r="N2" s="76"/>
      <c r="P2" s="23" t="s">
        <v>16</v>
      </c>
      <c r="Q2" s="24" t="s">
        <v>3</v>
      </c>
      <c r="R2" s="28"/>
      <c r="S2" s="28"/>
      <c r="T2" s="28"/>
      <c r="U2" s="29">
        <v>90</v>
      </c>
      <c r="W2" s="23" t="s">
        <v>18</v>
      </c>
      <c r="X2" s="24" t="s">
        <v>7</v>
      </c>
      <c r="Y2" s="25"/>
      <c r="Z2" s="26">
        <v>0.6</v>
      </c>
    </row>
    <row r="3" spans="1:26" x14ac:dyDescent="0.15">
      <c r="A3" s="6">
        <f t="shared" ref="A3:A33" si="0">IF($B3="","",ROW()-2)</f>
        <v>1</v>
      </c>
      <c r="B3" s="5" t="s">
        <v>53</v>
      </c>
      <c r="C3" s="3" t="s">
        <v>24</v>
      </c>
      <c r="D3" s="3"/>
      <c r="E3" s="47">
        <v>70</v>
      </c>
      <c r="F3" s="48"/>
      <c r="G3" s="47"/>
      <c r="H3" s="56">
        <f>SUM(E3:G3)</f>
        <v>70</v>
      </c>
      <c r="I3" s="30">
        <f>H3/1000*$U$2</f>
        <v>6.3000000000000007</v>
      </c>
      <c r="J3" s="30">
        <f>$I3*$Z$2</f>
        <v>3.7800000000000002</v>
      </c>
      <c r="K3" s="30">
        <f>$I3*$Z$3</f>
        <v>0.94500000000000006</v>
      </c>
      <c r="L3" s="30">
        <f>$I3*$Z$4</f>
        <v>0.63000000000000012</v>
      </c>
      <c r="M3" s="43">
        <f>$I3*$Z$5</f>
        <v>0.94500000000000006</v>
      </c>
      <c r="N3" s="50"/>
      <c r="P3" s="23" t="s">
        <v>17</v>
      </c>
      <c r="Q3" s="24" t="s">
        <v>5</v>
      </c>
      <c r="R3" s="28"/>
      <c r="S3" s="28"/>
      <c r="T3" s="28"/>
      <c r="U3" s="29">
        <v>12</v>
      </c>
      <c r="W3" s="23" t="s">
        <v>19</v>
      </c>
      <c r="X3" s="24" t="s">
        <v>8</v>
      </c>
      <c r="Y3" s="25"/>
      <c r="Z3" s="26">
        <v>0.15</v>
      </c>
    </row>
    <row r="4" spans="1:26" x14ac:dyDescent="0.15">
      <c r="A4" s="6">
        <f t="shared" si="0"/>
        <v>2</v>
      </c>
      <c r="B4" s="2" t="s">
        <v>54</v>
      </c>
      <c r="C4" s="4" t="s">
        <v>44</v>
      </c>
      <c r="D4" s="3"/>
      <c r="E4" s="47">
        <v>85</v>
      </c>
      <c r="F4" s="49"/>
      <c r="G4" s="49"/>
      <c r="H4" s="56">
        <f t="shared" ref="H4:H33" si="1">SUM(E4:G4)</f>
        <v>85</v>
      </c>
      <c r="I4" s="30">
        <f t="shared" ref="I4:I33" si="2">H4/1000*$U$2</f>
        <v>7.65</v>
      </c>
      <c r="J4" s="30">
        <f t="shared" ref="J4:J33" si="3">$I4*$Z$2</f>
        <v>4.59</v>
      </c>
      <c r="K4" s="30">
        <f t="shared" ref="K4:K33" si="4">$I4*$Z$3</f>
        <v>1.1475</v>
      </c>
      <c r="L4" s="30">
        <f t="shared" ref="L4:L33" si="5">$I4*$Z$4</f>
        <v>0.76500000000000012</v>
      </c>
      <c r="M4" s="30">
        <f t="shared" ref="M4:M33" si="6">$I4*$Z$5</f>
        <v>1.1475</v>
      </c>
      <c r="N4" s="51"/>
      <c r="W4" s="23" t="s">
        <v>20</v>
      </c>
      <c r="X4" s="24" t="s">
        <v>9</v>
      </c>
      <c r="Y4" s="25"/>
      <c r="Z4" s="26">
        <v>0.1</v>
      </c>
    </row>
    <row r="5" spans="1:26" x14ac:dyDescent="0.15">
      <c r="A5" s="6">
        <f t="shared" si="0"/>
        <v>3</v>
      </c>
      <c r="B5" s="2" t="s">
        <v>55</v>
      </c>
      <c r="C5" s="4" t="s">
        <v>25</v>
      </c>
      <c r="D5" s="3"/>
      <c r="E5" s="47"/>
      <c r="F5" s="49"/>
      <c r="G5" s="49"/>
      <c r="H5" s="56">
        <f t="shared" si="1"/>
        <v>0</v>
      </c>
      <c r="I5" s="30">
        <f t="shared" si="2"/>
        <v>0</v>
      </c>
      <c r="J5" s="30">
        <f t="shared" si="3"/>
        <v>0</v>
      </c>
      <c r="K5" s="30">
        <f t="shared" si="4"/>
        <v>0</v>
      </c>
      <c r="L5" s="30">
        <f t="shared" si="5"/>
        <v>0</v>
      </c>
      <c r="M5" s="30">
        <f t="shared" si="6"/>
        <v>0</v>
      </c>
      <c r="N5" s="51"/>
      <c r="W5" s="23" t="s">
        <v>21</v>
      </c>
      <c r="X5" s="24" t="s">
        <v>11</v>
      </c>
      <c r="Y5" s="25"/>
      <c r="Z5" s="26">
        <v>0.15</v>
      </c>
    </row>
    <row r="6" spans="1:26" x14ac:dyDescent="0.15">
      <c r="A6" s="6">
        <f t="shared" si="0"/>
        <v>4</v>
      </c>
      <c r="B6" s="2" t="s">
        <v>56</v>
      </c>
      <c r="C6" s="4" t="s">
        <v>26</v>
      </c>
      <c r="D6" s="3"/>
      <c r="E6" s="47"/>
      <c r="F6" s="49"/>
      <c r="G6" s="49"/>
      <c r="H6" s="56">
        <f t="shared" si="1"/>
        <v>0</v>
      </c>
      <c r="I6" s="30">
        <f t="shared" si="2"/>
        <v>0</v>
      </c>
      <c r="J6" s="30">
        <f t="shared" si="3"/>
        <v>0</v>
      </c>
      <c r="K6" s="30">
        <f t="shared" si="4"/>
        <v>0</v>
      </c>
      <c r="L6" s="30">
        <f t="shared" si="5"/>
        <v>0</v>
      </c>
      <c r="M6" s="30">
        <f t="shared" si="6"/>
        <v>0</v>
      </c>
      <c r="N6" s="51"/>
    </row>
    <row r="7" spans="1:26" x14ac:dyDescent="0.15">
      <c r="A7" s="6">
        <f t="shared" si="0"/>
        <v>5</v>
      </c>
      <c r="B7" s="2" t="s">
        <v>57</v>
      </c>
      <c r="C7" s="4" t="s">
        <v>27</v>
      </c>
      <c r="D7" s="3"/>
      <c r="E7" s="47">
        <v>512</v>
      </c>
      <c r="F7" s="47">
        <v>233</v>
      </c>
      <c r="G7" s="47">
        <f>103+107+97</f>
        <v>307</v>
      </c>
      <c r="H7" s="56">
        <f t="shared" si="1"/>
        <v>1052</v>
      </c>
      <c r="I7" s="30">
        <f t="shared" si="2"/>
        <v>94.68</v>
      </c>
      <c r="J7" s="30">
        <f t="shared" si="3"/>
        <v>56.808</v>
      </c>
      <c r="K7" s="30">
        <f t="shared" si="4"/>
        <v>14.202</v>
      </c>
      <c r="L7" s="30">
        <f t="shared" si="5"/>
        <v>9.4680000000000017</v>
      </c>
      <c r="M7" s="30">
        <f t="shared" si="6"/>
        <v>14.202</v>
      </c>
      <c r="N7" s="51"/>
    </row>
    <row r="8" spans="1:26" x14ac:dyDescent="0.15">
      <c r="A8" s="6">
        <f t="shared" si="0"/>
        <v>6</v>
      </c>
      <c r="B8" s="2" t="s">
        <v>58</v>
      </c>
      <c r="C8" s="4" t="s">
        <v>85</v>
      </c>
      <c r="D8" s="3"/>
      <c r="E8" s="47"/>
      <c r="F8" s="47"/>
      <c r="G8" s="47"/>
      <c r="H8" s="56">
        <f t="shared" si="1"/>
        <v>0</v>
      </c>
      <c r="I8" s="30">
        <f t="shared" si="2"/>
        <v>0</v>
      </c>
      <c r="J8" s="30">
        <f t="shared" si="3"/>
        <v>0</v>
      </c>
      <c r="K8" s="30">
        <f t="shared" si="4"/>
        <v>0</v>
      </c>
      <c r="L8" s="30">
        <f t="shared" si="5"/>
        <v>0</v>
      </c>
      <c r="M8" s="30">
        <f t="shared" si="6"/>
        <v>0</v>
      </c>
      <c r="N8" s="51"/>
    </row>
    <row r="9" spans="1:26" x14ac:dyDescent="0.15">
      <c r="A9" s="6">
        <f t="shared" si="0"/>
        <v>7</v>
      </c>
      <c r="B9" s="2" t="s">
        <v>86</v>
      </c>
      <c r="C9" s="4" t="s">
        <v>87</v>
      </c>
      <c r="D9" s="3"/>
      <c r="E9" s="47"/>
      <c r="F9" s="47"/>
      <c r="G9" s="47"/>
      <c r="H9" s="56">
        <f t="shared" si="1"/>
        <v>0</v>
      </c>
      <c r="I9" s="30">
        <f t="shared" si="2"/>
        <v>0</v>
      </c>
      <c r="J9" s="30">
        <f t="shared" si="3"/>
        <v>0</v>
      </c>
      <c r="K9" s="30">
        <f t="shared" si="4"/>
        <v>0</v>
      </c>
      <c r="L9" s="30">
        <f t="shared" si="5"/>
        <v>0</v>
      </c>
      <c r="M9" s="30">
        <f t="shared" si="6"/>
        <v>0</v>
      </c>
      <c r="N9" s="51"/>
    </row>
    <row r="10" spans="1:26" x14ac:dyDescent="0.15">
      <c r="A10" s="6">
        <f t="shared" si="0"/>
        <v>8</v>
      </c>
      <c r="B10" s="2" t="s">
        <v>59</v>
      </c>
      <c r="C10" s="4" t="s">
        <v>28</v>
      </c>
      <c r="D10" s="3"/>
      <c r="E10" s="47"/>
      <c r="F10" s="47"/>
      <c r="G10" s="47"/>
      <c r="H10" s="56">
        <f t="shared" si="1"/>
        <v>0</v>
      </c>
      <c r="I10" s="30">
        <f t="shared" si="2"/>
        <v>0</v>
      </c>
      <c r="J10" s="30">
        <f t="shared" si="3"/>
        <v>0</v>
      </c>
      <c r="K10" s="30">
        <f t="shared" si="4"/>
        <v>0</v>
      </c>
      <c r="L10" s="30">
        <f t="shared" si="5"/>
        <v>0</v>
      </c>
      <c r="M10" s="30">
        <f t="shared" si="6"/>
        <v>0</v>
      </c>
      <c r="N10" s="51"/>
    </row>
    <row r="11" spans="1:26" x14ac:dyDescent="0.15">
      <c r="A11" s="6">
        <f t="shared" si="0"/>
        <v>9</v>
      </c>
      <c r="B11" s="1" t="s">
        <v>60</v>
      </c>
      <c r="C11" s="4" t="s">
        <v>29</v>
      </c>
      <c r="D11" s="3"/>
      <c r="E11" s="47">
        <v>481</v>
      </c>
      <c r="F11" s="47">
        <v>240</v>
      </c>
      <c r="G11" s="47">
        <f>68+20</f>
        <v>88</v>
      </c>
      <c r="H11" s="56">
        <f t="shared" si="1"/>
        <v>809</v>
      </c>
      <c r="I11" s="30">
        <f t="shared" si="2"/>
        <v>72.81</v>
      </c>
      <c r="J11" s="30">
        <f t="shared" si="3"/>
        <v>43.686</v>
      </c>
      <c r="K11" s="30">
        <f t="shared" si="4"/>
        <v>10.9215</v>
      </c>
      <c r="L11" s="30">
        <f t="shared" si="5"/>
        <v>7.2810000000000006</v>
      </c>
      <c r="M11" s="30">
        <f t="shared" si="6"/>
        <v>10.9215</v>
      </c>
      <c r="N11" s="51"/>
    </row>
    <row r="12" spans="1:26" x14ac:dyDescent="0.15">
      <c r="A12" s="6">
        <f t="shared" si="0"/>
        <v>10</v>
      </c>
      <c r="B12" s="1" t="s">
        <v>61</v>
      </c>
      <c r="C12" s="4" t="s">
        <v>30</v>
      </c>
      <c r="D12" s="3"/>
      <c r="E12" s="47">
        <v>281</v>
      </c>
      <c r="F12" s="47">
        <v>38</v>
      </c>
      <c r="G12" s="47">
        <f>58</f>
        <v>58</v>
      </c>
      <c r="H12" s="56">
        <f t="shared" si="1"/>
        <v>377</v>
      </c>
      <c r="I12" s="30">
        <f t="shared" si="2"/>
        <v>33.93</v>
      </c>
      <c r="J12" s="30">
        <f t="shared" si="3"/>
        <v>20.358000000000001</v>
      </c>
      <c r="K12" s="30">
        <f t="shared" si="4"/>
        <v>5.0895000000000001</v>
      </c>
      <c r="L12" s="30">
        <f t="shared" si="5"/>
        <v>3.3930000000000002</v>
      </c>
      <c r="M12" s="30">
        <f t="shared" si="6"/>
        <v>5.0895000000000001</v>
      </c>
      <c r="N12" s="51"/>
    </row>
    <row r="13" spans="1:26" x14ac:dyDescent="0.15">
      <c r="A13" s="6">
        <f t="shared" si="0"/>
        <v>11</v>
      </c>
      <c r="B13" s="1" t="s">
        <v>62</v>
      </c>
      <c r="C13" s="4" t="s">
        <v>31</v>
      </c>
      <c r="D13" s="3"/>
      <c r="E13" s="47">
        <v>510</v>
      </c>
      <c r="F13" s="47"/>
      <c r="G13" s="47"/>
      <c r="H13" s="56">
        <f t="shared" si="1"/>
        <v>510</v>
      </c>
      <c r="I13" s="30">
        <f t="shared" si="2"/>
        <v>45.9</v>
      </c>
      <c r="J13" s="30">
        <f t="shared" si="3"/>
        <v>27.54</v>
      </c>
      <c r="K13" s="30">
        <f t="shared" si="4"/>
        <v>6.8849999999999998</v>
      </c>
      <c r="L13" s="30">
        <f t="shared" si="5"/>
        <v>4.59</v>
      </c>
      <c r="M13" s="30">
        <f t="shared" si="6"/>
        <v>6.8849999999999998</v>
      </c>
      <c r="N13" s="51"/>
    </row>
    <row r="14" spans="1:26" x14ac:dyDescent="0.15">
      <c r="A14" s="6">
        <f t="shared" si="0"/>
        <v>12</v>
      </c>
      <c r="B14" s="1" t="s">
        <v>63</v>
      </c>
      <c r="C14" s="4" t="s">
        <v>32</v>
      </c>
      <c r="D14" s="3"/>
      <c r="E14" s="47">
        <v>538</v>
      </c>
      <c r="F14" s="47"/>
      <c r="G14" s="47"/>
      <c r="H14" s="56">
        <f t="shared" si="1"/>
        <v>538</v>
      </c>
      <c r="I14" s="30">
        <f t="shared" si="2"/>
        <v>48.42</v>
      </c>
      <c r="J14" s="30">
        <f t="shared" si="3"/>
        <v>29.052</v>
      </c>
      <c r="K14" s="30">
        <f t="shared" si="4"/>
        <v>7.2629999999999999</v>
      </c>
      <c r="L14" s="30">
        <f t="shared" si="5"/>
        <v>4.8420000000000005</v>
      </c>
      <c r="M14" s="30">
        <f t="shared" si="6"/>
        <v>7.2629999999999999</v>
      </c>
      <c r="N14" s="51"/>
    </row>
    <row r="15" spans="1:26" x14ac:dyDescent="0.15">
      <c r="A15" s="6">
        <f t="shared" si="0"/>
        <v>13</v>
      </c>
      <c r="B15" s="1" t="s">
        <v>64</v>
      </c>
      <c r="C15" s="4" t="s">
        <v>33</v>
      </c>
      <c r="D15" s="3"/>
      <c r="E15" s="47">
        <v>537</v>
      </c>
      <c r="F15" s="47"/>
      <c r="G15" s="47"/>
      <c r="H15" s="56">
        <f t="shared" si="1"/>
        <v>537</v>
      </c>
      <c r="I15" s="30">
        <f t="shared" si="2"/>
        <v>48.330000000000005</v>
      </c>
      <c r="J15" s="30">
        <f t="shared" si="3"/>
        <v>28.998000000000001</v>
      </c>
      <c r="K15" s="30">
        <f t="shared" si="4"/>
        <v>7.2495000000000003</v>
      </c>
      <c r="L15" s="30">
        <f t="shared" si="5"/>
        <v>4.8330000000000011</v>
      </c>
      <c r="M15" s="30">
        <f t="shared" si="6"/>
        <v>7.2495000000000003</v>
      </c>
      <c r="N15" s="51"/>
    </row>
    <row r="16" spans="1:26" x14ac:dyDescent="0.15">
      <c r="A16" s="6">
        <f t="shared" si="0"/>
        <v>14</v>
      </c>
      <c r="B16" s="1" t="s">
        <v>65</v>
      </c>
      <c r="C16" s="4" t="s">
        <v>34</v>
      </c>
      <c r="D16" s="3"/>
      <c r="E16" s="47">
        <v>137</v>
      </c>
      <c r="F16" s="47"/>
      <c r="G16" s="47"/>
      <c r="H16" s="56">
        <f t="shared" si="1"/>
        <v>137</v>
      </c>
      <c r="I16" s="30">
        <f t="shared" si="2"/>
        <v>12.330000000000002</v>
      </c>
      <c r="J16" s="30">
        <f t="shared" si="3"/>
        <v>7.3980000000000006</v>
      </c>
      <c r="K16" s="30">
        <f t="shared" si="4"/>
        <v>1.8495000000000001</v>
      </c>
      <c r="L16" s="30">
        <f t="shared" si="5"/>
        <v>1.2330000000000003</v>
      </c>
      <c r="M16" s="30">
        <f t="shared" si="6"/>
        <v>1.8495000000000001</v>
      </c>
      <c r="N16" s="51"/>
    </row>
    <row r="17" spans="1:14" x14ac:dyDescent="0.15">
      <c r="A17" s="6">
        <f t="shared" si="0"/>
        <v>15</v>
      </c>
      <c r="B17" s="1" t="s">
        <v>66</v>
      </c>
      <c r="C17" s="4" t="s">
        <v>35</v>
      </c>
      <c r="D17" s="3"/>
      <c r="E17" s="47">
        <v>202</v>
      </c>
      <c r="F17" s="47"/>
      <c r="G17" s="47"/>
      <c r="H17" s="56">
        <f t="shared" si="1"/>
        <v>202</v>
      </c>
      <c r="I17" s="30">
        <f t="shared" si="2"/>
        <v>18.18</v>
      </c>
      <c r="J17" s="30">
        <f t="shared" si="3"/>
        <v>10.907999999999999</v>
      </c>
      <c r="K17" s="30">
        <f t="shared" si="4"/>
        <v>2.7269999999999999</v>
      </c>
      <c r="L17" s="30">
        <f t="shared" si="5"/>
        <v>1.8180000000000001</v>
      </c>
      <c r="M17" s="30">
        <f t="shared" si="6"/>
        <v>2.7269999999999999</v>
      </c>
      <c r="N17" s="51"/>
    </row>
    <row r="18" spans="1:14" x14ac:dyDescent="0.15">
      <c r="A18" s="6">
        <f t="shared" si="0"/>
        <v>16</v>
      </c>
      <c r="B18" s="1" t="s">
        <v>67</v>
      </c>
      <c r="C18" s="4" t="s">
        <v>36</v>
      </c>
      <c r="D18" s="3"/>
      <c r="E18" s="47">
        <v>138</v>
      </c>
      <c r="F18" s="47"/>
      <c r="G18" s="47"/>
      <c r="H18" s="56">
        <f t="shared" si="1"/>
        <v>138</v>
      </c>
      <c r="I18" s="30">
        <f t="shared" si="2"/>
        <v>12.420000000000002</v>
      </c>
      <c r="J18" s="30">
        <f t="shared" si="3"/>
        <v>7.4520000000000008</v>
      </c>
      <c r="K18" s="30">
        <f t="shared" si="4"/>
        <v>1.8630000000000002</v>
      </c>
      <c r="L18" s="30">
        <f t="shared" si="5"/>
        <v>1.2420000000000002</v>
      </c>
      <c r="M18" s="30">
        <f t="shared" si="6"/>
        <v>1.8630000000000002</v>
      </c>
      <c r="N18" s="51"/>
    </row>
    <row r="19" spans="1:14" x14ac:dyDescent="0.15">
      <c r="A19" s="6">
        <f t="shared" si="0"/>
        <v>17</v>
      </c>
      <c r="B19" s="1" t="s">
        <v>68</v>
      </c>
      <c r="C19" s="4" t="s">
        <v>40</v>
      </c>
      <c r="D19" s="3"/>
      <c r="E19" s="47">
        <v>603</v>
      </c>
      <c r="F19" s="47"/>
      <c r="G19" s="47"/>
      <c r="H19" s="56">
        <f t="shared" si="1"/>
        <v>603</v>
      </c>
      <c r="I19" s="30">
        <f t="shared" si="2"/>
        <v>54.269999999999996</v>
      </c>
      <c r="J19" s="30">
        <f t="shared" si="3"/>
        <v>32.561999999999998</v>
      </c>
      <c r="K19" s="30">
        <f t="shared" si="4"/>
        <v>8.1404999999999994</v>
      </c>
      <c r="L19" s="30">
        <f t="shared" si="5"/>
        <v>5.4269999999999996</v>
      </c>
      <c r="M19" s="30">
        <f t="shared" si="6"/>
        <v>8.1404999999999994</v>
      </c>
      <c r="N19" s="51"/>
    </row>
    <row r="20" spans="1:14" x14ac:dyDescent="0.15">
      <c r="A20" s="6">
        <f t="shared" si="0"/>
        <v>18</v>
      </c>
      <c r="B20" s="1" t="s">
        <v>69</v>
      </c>
      <c r="C20" s="4" t="s">
        <v>37</v>
      </c>
      <c r="D20" s="3"/>
      <c r="E20" s="47">
        <v>542</v>
      </c>
      <c r="F20" s="47"/>
      <c r="G20" s="47"/>
      <c r="H20" s="56">
        <f t="shared" si="1"/>
        <v>542</v>
      </c>
      <c r="I20" s="30">
        <f t="shared" si="2"/>
        <v>48.78</v>
      </c>
      <c r="J20" s="30">
        <f t="shared" si="3"/>
        <v>29.268000000000001</v>
      </c>
      <c r="K20" s="30">
        <f t="shared" si="4"/>
        <v>7.3170000000000002</v>
      </c>
      <c r="L20" s="30">
        <f t="shared" si="5"/>
        <v>4.8780000000000001</v>
      </c>
      <c r="M20" s="30">
        <f t="shared" si="6"/>
        <v>7.3170000000000002</v>
      </c>
      <c r="N20" s="51"/>
    </row>
    <row r="21" spans="1:14" x14ac:dyDescent="0.15">
      <c r="A21" s="6">
        <f t="shared" si="0"/>
        <v>19</v>
      </c>
      <c r="B21" s="1" t="s">
        <v>70</v>
      </c>
      <c r="C21" s="4" t="s">
        <v>90</v>
      </c>
      <c r="D21" s="3"/>
      <c r="E21" s="47">
        <v>520</v>
      </c>
      <c r="F21" s="47">
        <v>120</v>
      </c>
      <c r="G21" s="47">
        <f>160</f>
        <v>160</v>
      </c>
      <c r="H21" s="56">
        <f t="shared" si="1"/>
        <v>800</v>
      </c>
      <c r="I21" s="30">
        <f t="shared" si="2"/>
        <v>72</v>
      </c>
      <c r="J21" s="30">
        <f t="shared" si="3"/>
        <v>43.199999999999996</v>
      </c>
      <c r="K21" s="30">
        <f t="shared" si="4"/>
        <v>10.799999999999999</v>
      </c>
      <c r="L21" s="30">
        <f t="shared" si="5"/>
        <v>7.2</v>
      </c>
      <c r="M21" s="30">
        <f t="shared" si="6"/>
        <v>10.799999999999999</v>
      </c>
      <c r="N21" s="51"/>
    </row>
    <row r="22" spans="1:14" x14ac:dyDescent="0.15">
      <c r="A22" s="6">
        <f t="shared" si="0"/>
        <v>20</v>
      </c>
      <c r="B22" s="1" t="s">
        <v>88</v>
      </c>
      <c r="C22" s="4" t="s">
        <v>89</v>
      </c>
      <c r="D22" s="3"/>
      <c r="E22" s="47">
        <v>341</v>
      </c>
      <c r="F22" s="47">
        <v>53</v>
      </c>
      <c r="G22" s="47">
        <f>24+37</f>
        <v>61</v>
      </c>
      <c r="H22" s="56">
        <f t="shared" si="1"/>
        <v>455</v>
      </c>
      <c r="I22" s="30">
        <f t="shared" si="2"/>
        <v>40.950000000000003</v>
      </c>
      <c r="J22" s="30">
        <f t="shared" si="3"/>
        <v>24.57</v>
      </c>
      <c r="K22" s="30">
        <f>$I22*$Z$3</f>
        <v>6.1425000000000001</v>
      </c>
      <c r="L22" s="30">
        <f t="shared" si="5"/>
        <v>4.0950000000000006</v>
      </c>
      <c r="M22" s="30">
        <f t="shared" si="6"/>
        <v>6.1425000000000001</v>
      </c>
      <c r="N22" s="51"/>
    </row>
    <row r="23" spans="1:14" x14ac:dyDescent="0.15">
      <c r="A23" s="6">
        <f t="shared" si="0"/>
        <v>21</v>
      </c>
      <c r="B23" s="1" t="s">
        <v>71</v>
      </c>
      <c r="C23" s="4" t="s">
        <v>47</v>
      </c>
      <c r="D23" s="3"/>
      <c r="E23" s="47"/>
      <c r="F23" s="47"/>
      <c r="G23" s="47"/>
      <c r="H23" s="56">
        <f t="shared" si="1"/>
        <v>0</v>
      </c>
      <c r="I23" s="30">
        <f t="shared" si="2"/>
        <v>0</v>
      </c>
      <c r="J23" s="30">
        <f t="shared" si="3"/>
        <v>0</v>
      </c>
      <c r="K23" s="30">
        <f t="shared" si="4"/>
        <v>0</v>
      </c>
      <c r="L23" s="30">
        <f t="shared" si="5"/>
        <v>0</v>
      </c>
      <c r="M23" s="30">
        <f t="shared" si="6"/>
        <v>0</v>
      </c>
      <c r="N23" s="51"/>
    </row>
    <row r="24" spans="1:14" x14ac:dyDescent="0.15">
      <c r="A24" s="6">
        <f t="shared" si="0"/>
        <v>22</v>
      </c>
      <c r="B24" s="1" t="s">
        <v>72</v>
      </c>
      <c r="C24" s="4" t="s">
        <v>48</v>
      </c>
      <c r="D24" s="3"/>
      <c r="E24" s="47"/>
      <c r="F24" s="47"/>
      <c r="G24" s="47"/>
      <c r="H24" s="56">
        <f t="shared" si="1"/>
        <v>0</v>
      </c>
      <c r="I24" s="30">
        <f t="shared" si="2"/>
        <v>0</v>
      </c>
      <c r="J24" s="30">
        <f t="shared" si="3"/>
        <v>0</v>
      </c>
      <c r="K24" s="30">
        <f t="shared" si="4"/>
        <v>0</v>
      </c>
      <c r="L24" s="30">
        <f t="shared" si="5"/>
        <v>0</v>
      </c>
      <c r="M24" s="30">
        <f t="shared" si="6"/>
        <v>0</v>
      </c>
      <c r="N24" s="51"/>
    </row>
    <row r="25" spans="1:14" x14ac:dyDescent="0.15">
      <c r="A25" s="6">
        <f t="shared" si="0"/>
        <v>23</v>
      </c>
      <c r="B25" s="1" t="s">
        <v>73</v>
      </c>
      <c r="C25" s="4" t="s">
        <v>49</v>
      </c>
      <c r="D25" s="3"/>
      <c r="E25" s="47"/>
      <c r="F25" s="47"/>
      <c r="G25" s="47"/>
      <c r="H25" s="56">
        <f t="shared" si="1"/>
        <v>0</v>
      </c>
      <c r="I25" s="30">
        <f t="shared" si="2"/>
        <v>0</v>
      </c>
      <c r="J25" s="30">
        <f t="shared" si="3"/>
        <v>0</v>
      </c>
      <c r="K25" s="30">
        <f t="shared" si="4"/>
        <v>0</v>
      </c>
      <c r="L25" s="30">
        <f t="shared" si="5"/>
        <v>0</v>
      </c>
      <c r="M25" s="30">
        <f t="shared" si="6"/>
        <v>0</v>
      </c>
      <c r="N25" s="51"/>
    </row>
    <row r="26" spans="1:14" x14ac:dyDescent="0.15">
      <c r="A26" s="6">
        <f t="shared" si="0"/>
        <v>24</v>
      </c>
      <c r="B26" s="1" t="s">
        <v>74</v>
      </c>
      <c r="C26" s="4" t="s">
        <v>50</v>
      </c>
      <c r="D26" s="3"/>
      <c r="E26" s="47"/>
      <c r="F26" s="47"/>
      <c r="G26" s="47"/>
      <c r="H26" s="56">
        <f t="shared" si="1"/>
        <v>0</v>
      </c>
      <c r="I26" s="30">
        <f t="shared" si="2"/>
        <v>0</v>
      </c>
      <c r="J26" s="30">
        <f t="shared" si="3"/>
        <v>0</v>
      </c>
      <c r="K26" s="30">
        <f t="shared" si="4"/>
        <v>0</v>
      </c>
      <c r="L26" s="30">
        <f t="shared" si="5"/>
        <v>0</v>
      </c>
      <c r="M26" s="30">
        <f t="shared" si="6"/>
        <v>0</v>
      </c>
      <c r="N26" s="51"/>
    </row>
    <row r="27" spans="1:14" x14ac:dyDescent="0.15">
      <c r="A27" s="6">
        <f t="shared" si="0"/>
        <v>25</v>
      </c>
      <c r="B27" s="1" t="s">
        <v>52</v>
      </c>
      <c r="C27" s="4" t="s">
        <v>95</v>
      </c>
      <c r="D27" s="3"/>
      <c r="E27" s="47"/>
      <c r="F27" s="47"/>
      <c r="G27" s="47"/>
      <c r="H27" s="56">
        <f t="shared" si="1"/>
        <v>0</v>
      </c>
      <c r="I27" s="30">
        <f t="shared" si="2"/>
        <v>0</v>
      </c>
      <c r="J27" s="30">
        <f t="shared" si="3"/>
        <v>0</v>
      </c>
      <c r="K27" s="30">
        <f t="shared" si="4"/>
        <v>0</v>
      </c>
      <c r="L27" s="30">
        <f t="shared" si="5"/>
        <v>0</v>
      </c>
      <c r="M27" s="30">
        <f t="shared" si="6"/>
        <v>0</v>
      </c>
      <c r="N27" s="51"/>
    </row>
    <row r="28" spans="1:14" x14ac:dyDescent="0.15">
      <c r="A28" s="6">
        <f t="shared" si="0"/>
        <v>26</v>
      </c>
      <c r="B28" s="1" t="s">
        <v>52</v>
      </c>
      <c r="C28" s="4" t="s">
        <v>75</v>
      </c>
      <c r="D28" s="3"/>
      <c r="E28" s="47"/>
      <c r="F28" s="47"/>
      <c r="G28" s="47"/>
      <c r="H28" s="56">
        <f t="shared" si="1"/>
        <v>0</v>
      </c>
      <c r="I28" s="30">
        <f t="shared" si="2"/>
        <v>0</v>
      </c>
      <c r="J28" s="30">
        <f t="shared" si="3"/>
        <v>0</v>
      </c>
      <c r="K28" s="30">
        <f t="shared" si="4"/>
        <v>0</v>
      </c>
      <c r="L28" s="30">
        <f t="shared" si="5"/>
        <v>0</v>
      </c>
      <c r="M28" s="30">
        <f t="shared" si="6"/>
        <v>0</v>
      </c>
      <c r="N28" s="51"/>
    </row>
    <row r="29" spans="1:14" x14ac:dyDescent="0.15">
      <c r="A29" s="6">
        <f t="shared" si="0"/>
        <v>27</v>
      </c>
      <c r="B29" s="1" t="s">
        <v>52</v>
      </c>
      <c r="C29" s="4" t="s">
        <v>76</v>
      </c>
      <c r="D29" s="3"/>
      <c r="E29" s="47"/>
      <c r="F29" s="47"/>
      <c r="G29" s="47"/>
      <c r="H29" s="56">
        <f t="shared" si="1"/>
        <v>0</v>
      </c>
      <c r="I29" s="30">
        <f t="shared" si="2"/>
        <v>0</v>
      </c>
      <c r="J29" s="30">
        <f t="shared" si="3"/>
        <v>0</v>
      </c>
      <c r="K29" s="30">
        <f t="shared" si="4"/>
        <v>0</v>
      </c>
      <c r="L29" s="30">
        <f t="shared" si="5"/>
        <v>0</v>
      </c>
      <c r="M29" s="30">
        <f t="shared" si="6"/>
        <v>0</v>
      </c>
      <c r="N29" s="51"/>
    </row>
    <row r="30" spans="1:14" x14ac:dyDescent="0.15">
      <c r="A30" s="6">
        <f t="shared" si="0"/>
        <v>28</v>
      </c>
      <c r="B30" s="1" t="s">
        <v>52</v>
      </c>
      <c r="C30" s="4" t="s">
        <v>77</v>
      </c>
      <c r="D30" s="3"/>
      <c r="E30" s="47"/>
      <c r="F30" s="47"/>
      <c r="G30" s="47"/>
      <c r="H30" s="56">
        <f t="shared" si="1"/>
        <v>0</v>
      </c>
      <c r="I30" s="30">
        <f t="shared" si="2"/>
        <v>0</v>
      </c>
      <c r="J30" s="30">
        <f t="shared" si="3"/>
        <v>0</v>
      </c>
      <c r="K30" s="30">
        <f t="shared" si="4"/>
        <v>0</v>
      </c>
      <c r="L30" s="30">
        <f t="shared" si="5"/>
        <v>0</v>
      </c>
      <c r="M30" s="30">
        <f t="shared" si="6"/>
        <v>0</v>
      </c>
      <c r="N30" s="51"/>
    </row>
    <row r="31" spans="1:14" x14ac:dyDescent="0.15">
      <c r="A31" s="6">
        <f t="shared" si="0"/>
        <v>29</v>
      </c>
      <c r="B31" s="1" t="s">
        <v>52</v>
      </c>
      <c r="C31" s="4" t="s">
        <v>78</v>
      </c>
      <c r="D31" s="3"/>
      <c r="E31" s="47"/>
      <c r="F31" s="47"/>
      <c r="G31" s="47"/>
      <c r="H31" s="56">
        <f t="shared" si="1"/>
        <v>0</v>
      </c>
      <c r="I31" s="30">
        <f t="shared" si="2"/>
        <v>0</v>
      </c>
      <c r="J31" s="30">
        <f t="shared" si="3"/>
        <v>0</v>
      </c>
      <c r="K31" s="30">
        <f t="shared" si="4"/>
        <v>0</v>
      </c>
      <c r="L31" s="30">
        <f t="shared" si="5"/>
        <v>0</v>
      </c>
      <c r="M31" s="30">
        <f t="shared" si="6"/>
        <v>0</v>
      </c>
      <c r="N31" s="51"/>
    </row>
    <row r="32" spans="1:14" x14ac:dyDescent="0.15">
      <c r="A32" s="6">
        <f t="shared" si="0"/>
        <v>30</v>
      </c>
      <c r="B32" s="1" t="s">
        <v>52</v>
      </c>
      <c r="C32" s="4" t="s">
        <v>79</v>
      </c>
      <c r="D32" s="3"/>
      <c r="E32" s="47"/>
      <c r="F32" s="47"/>
      <c r="G32" s="47"/>
      <c r="H32" s="56">
        <f t="shared" si="1"/>
        <v>0</v>
      </c>
      <c r="I32" s="30">
        <f t="shared" si="2"/>
        <v>0</v>
      </c>
      <c r="J32" s="30">
        <f t="shared" si="3"/>
        <v>0</v>
      </c>
      <c r="K32" s="30">
        <f t="shared" si="4"/>
        <v>0</v>
      </c>
      <c r="L32" s="30">
        <f t="shared" si="5"/>
        <v>0</v>
      </c>
      <c r="M32" s="30">
        <f t="shared" si="6"/>
        <v>0</v>
      </c>
      <c r="N32" s="51"/>
    </row>
    <row r="33" spans="1:14" x14ac:dyDescent="0.15">
      <c r="A33" s="6">
        <f t="shared" si="0"/>
        <v>31</v>
      </c>
      <c r="B33" s="1" t="s">
        <v>52</v>
      </c>
      <c r="C33" s="4" t="s">
        <v>80</v>
      </c>
      <c r="D33" s="3"/>
      <c r="E33" s="47"/>
      <c r="F33" s="47"/>
      <c r="G33" s="47"/>
      <c r="H33" s="56">
        <f t="shared" si="1"/>
        <v>0</v>
      </c>
      <c r="I33" s="30">
        <f t="shared" si="2"/>
        <v>0</v>
      </c>
      <c r="J33" s="30">
        <f t="shared" si="3"/>
        <v>0</v>
      </c>
      <c r="K33" s="30">
        <f t="shared" si="4"/>
        <v>0</v>
      </c>
      <c r="L33" s="30">
        <f t="shared" si="5"/>
        <v>0</v>
      </c>
      <c r="M33" s="30">
        <f t="shared" si="6"/>
        <v>0</v>
      </c>
      <c r="N33" s="51"/>
    </row>
  </sheetData>
  <mergeCells count="11">
    <mergeCell ref="A1:A2"/>
    <mergeCell ref="B1:B2"/>
    <mergeCell ref="C1:C2"/>
    <mergeCell ref="E1:H1"/>
    <mergeCell ref="N1:N2"/>
    <mergeCell ref="D1:D2"/>
    <mergeCell ref="I1:I2"/>
    <mergeCell ref="J1:J2"/>
    <mergeCell ref="K1:K2"/>
    <mergeCell ref="L1:L2"/>
    <mergeCell ref="M1:M2"/>
  </mergeCells>
  <phoneticPr fontId="2"/>
  <pageMargins left="0.7" right="0.7" top="0.75" bottom="0.75" header="0.3" footer="0.3"/>
  <pageSetup paperSize="9" orientation="portrait" copies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B3AFDF1A27EF4448B30400A700269C9" ma:contentTypeVersion="7" ma:contentTypeDescription="新しいドキュメントを作成します。" ma:contentTypeScope="" ma:versionID="af1e50296a73b747a155d4c5a148cd8b">
  <xsd:schema xmlns:xsd="http://www.w3.org/2001/XMLSchema" xmlns:xs="http://www.w3.org/2001/XMLSchema" xmlns:p="http://schemas.microsoft.com/office/2006/metadata/properties" xmlns:ns2="72c70d25-b9e8-475b-ae7b-39931ca24b85" targetNamespace="http://schemas.microsoft.com/office/2006/metadata/properties" ma:root="true" ma:fieldsID="d7c374c4e1cfeff0cf58497e8c642c22" ns2:_="">
    <xsd:import namespace="72c70d25-b9e8-475b-ae7b-39931ca24b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c70d25-b9e8-475b-ae7b-39931ca24b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CF4CAA23-5693-46B9-A07C-667EF7A2C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c70d25-b9e8-475b-ae7b-39931ca24b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FD02F54-2ADB-4445-A7C2-58E78853949A}">
  <ds:schemaRefs>
    <ds:schemaRef ds:uri="72c70d25-b9e8-475b-ae7b-39931ca24b85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777A974-FCBE-4CB0-8656-70FC51BEBC9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05803F8-ACDB-42BF-B0EB-FC65CDA8E0C8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STEP数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住本千香 / SUMIMOTO, CHIKA</dc:creator>
  <cp:lastModifiedBy>Xiaoyan Ma</cp:lastModifiedBy>
  <cp:lastPrinted>2018-02-21T07:25:30Z</cp:lastPrinted>
  <dcterms:created xsi:type="dcterms:W3CDTF">2009-02-05T06:46:27Z</dcterms:created>
  <dcterms:modified xsi:type="dcterms:W3CDTF">2020-01-06T09:34:58Z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新道 智和</vt:lpwstr>
  </property>
  <property fmtid="{D5CDD505-2E9C-101B-9397-08002B2CF9AE}" pid="3" name="xd_Signature">
    <vt:lpwstr/>
  </property>
  <property fmtid="{D5CDD505-2E9C-101B-9397-08002B2CF9AE}" pid="4" name="Order">
    <vt:lpwstr>274000.000000000</vt:lpwstr>
  </property>
  <property fmtid="{D5CDD505-2E9C-101B-9397-08002B2CF9AE}" pid="5" name="TemplateUrl">
    <vt:lpwstr/>
  </property>
  <property fmtid="{D5CDD505-2E9C-101B-9397-08002B2CF9AE}" pid="6" name="xd_ProgID">
    <vt:lpwstr/>
  </property>
  <property fmtid="{D5CDD505-2E9C-101B-9397-08002B2CF9AE}" pid="7" name="display_urn:schemas-microsoft-com:office:office#Author">
    <vt:lpwstr>新道 智和</vt:lpwstr>
  </property>
  <property fmtid="{D5CDD505-2E9C-101B-9397-08002B2CF9AE}" pid="8" name="ContentTypeId">
    <vt:lpwstr>0x0101005B3AFDF1A27EF4448B30400A700269C9</vt:lpwstr>
  </property>
</Properties>
</file>