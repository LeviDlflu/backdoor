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6.xml" ContentType="application/vnd.openxmlformats-officedocument.spreadsheetml.comments+xml"/>
  <Override PartName="/xl/drawings/drawing6.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omments7.xml" ContentType="application/vnd.openxmlformats-officedocument.spreadsheetml.comments+xml"/>
  <Override PartName="/xl/drawings/drawing7.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omments8.xml" ContentType="application/vnd.openxmlformats-officedocument.spreadsheetml.comments+xml"/>
  <Override PartName="/xl/drawings/drawing8.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omments9.xml" ContentType="application/vnd.openxmlformats-officedocument.spreadsheetml.comments+xml"/>
  <Override PartName="/xl/drawings/drawing9.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omments10.xml" ContentType="application/vnd.openxmlformats-officedocument.spreadsheetml.comments+xml"/>
  <Override PartName="/xl/drawings/drawing10.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omments11.xml" ContentType="application/vnd.openxmlformats-officedocument.spreadsheetml.comments+xml"/>
  <Override PartName="/xl/drawings/drawing11.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omments13.xml" ContentType="application/vnd.openxmlformats-officedocument.spreadsheetml.comments+xml"/>
  <Override PartName="/xl/drawings/drawing13.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omments14.xml" ContentType="application/vnd.openxmlformats-officedocument.spreadsheetml.comments+xml"/>
  <Override PartName="/xl/drawings/drawing14.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5.xml" ContentType="application/vnd.openxmlformats-officedocument.spreadsheetml.comments+xml"/>
  <Override PartName="/xl/drawings/drawing15.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omments16.xml" ContentType="application/vnd.openxmlformats-officedocument.spreadsheetml.comments+xml"/>
  <Override PartName="/xl/drawings/drawing16.xml" ContentType="application/vnd.openxmlformats-officedocument.drawing+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omments17.xml" ContentType="application/vnd.openxmlformats-officedocument.spreadsheetml.comments+xml"/>
  <Override PartName="/xl/drawings/drawing17.xml" ContentType="application/vnd.openxmlformats-officedocument.drawing+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omments18.xml" ContentType="application/vnd.openxmlformats-officedocument.spreadsheetml.comments+xml"/>
  <Override PartName="/xl/drawings/drawing18.xml" ContentType="application/vnd.openxmlformats-officedocument.drawing+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omments19.xml" ContentType="application/vnd.openxmlformats-officedocument.spreadsheetml.comments+xml"/>
  <Override PartName="/xl/drawings/drawing19.xml" ContentType="application/vnd.openxmlformats-officedocument.drawing+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omments20.xml" ContentType="application/vnd.openxmlformats-officedocument.spreadsheetml.comments+xml"/>
  <Override PartName="/xl/drawings/drawing20.xml" ContentType="application/vnd.openxmlformats-officedocument.drawing+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omments21.xml" ContentType="application/vnd.openxmlformats-officedocument.spreadsheetml.comments+xml"/>
  <Override PartName="/xl/drawings/drawing21.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omments22.xml" ContentType="application/vnd.openxmlformats-officedocument.spreadsheetml.comments+xml"/>
  <Override PartName="/xl/drawings/drawing22.xml" ContentType="application/vnd.openxmlformats-officedocument.drawing+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omments23.xml" ContentType="application/vnd.openxmlformats-officedocument.spreadsheetml.comments+xml"/>
  <Override PartName="/xl/drawings/drawing23.xml" ContentType="application/vnd.openxmlformats-officedocument.drawing+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omments24.xml" ContentType="application/vnd.openxmlformats-officedocument.spreadsheetml.comments+xml"/>
  <Override PartName="/xl/drawings/drawing24.xml" ContentType="application/vnd.openxmlformats-officedocument.drawing+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omments25.xml" ContentType="application/vnd.openxmlformats-officedocument.spreadsheetml.comments+xml"/>
  <Override PartName="/xl/drawings/drawing25.xml" ContentType="application/vnd.openxmlformats-officedocument.drawing+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omments26.xml" ContentType="application/vnd.openxmlformats-officedocument.spreadsheetml.comments+xml"/>
  <Override PartName="/xl/drawings/drawing26.xml" ContentType="application/vnd.openxmlformats-officedocument.drawing+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omments27.xml" ContentType="application/vnd.openxmlformats-officedocument.spreadsheetml.comments+xml"/>
  <Override PartName="/xl/drawings/drawing27.xml" ContentType="application/vnd.openxmlformats-officedocument.drawing+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omments28.xml" ContentType="application/vnd.openxmlformats-officedocument.spreadsheetml.comments+xml"/>
  <Override PartName="/xl/drawings/drawing28.xml" ContentType="application/vnd.openxmlformats-officedocument.drawing+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omments29.xml" ContentType="application/vnd.openxmlformats-officedocument.spreadsheetml.comments+xml"/>
  <Override PartName="/xl/drawings/drawing29.xml" ContentType="application/vnd.openxmlformats-officedocument.drawing+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omments30.xml" ContentType="application/vnd.openxmlformats-officedocument.spreadsheetml.comments+xml"/>
  <Override PartName="/xl/drawings/drawing30.xml" ContentType="application/vnd.openxmlformats-officedocument.drawing+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omments31.xml" ContentType="application/vnd.openxmlformats-officedocument.spreadsheetml.comments+xml"/>
  <Override PartName="/xl/drawings/drawing31.xml" ContentType="application/vnd.openxmlformats-officedocument.drawing+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omments32.xml" ContentType="application/vnd.openxmlformats-officedocument.spreadsheetml.comments+xml"/>
  <Override PartName="/xl/drawings/drawing32.xml" ContentType="application/vnd.openxmlformats-officedocument.drawing+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omments33.xml" ContentType="application/vnd.openxmlformats-officedocument.spreadsheetml.comments+xml"/>
  <Override PartName="/xl/drawings/drawing33.xml" ContentType="application/vnd.openxmlformats-officedocument.drawing+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omments34.xml" ContentType="application/vnd.openxmlformats-officedocument.spreadsheetml.comments+xml"/>
  <Override PartName="/xl/drawings/drawing34.xml" ContentType="application/vnd.openxmlformats-officedocument.drawing+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omments35.xml" ContentType="application/vnd.openxmlformats-officedocument.spreadsheetml.comments+xml"/>
  <Override PartName="/xl/drawings/drawing35.xml" ContentType="application/vnd.openxmlformats-officedocument.drawing+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omments36.xml" ContentType="application/vnd.openxmlformats-officedocument.spreadsheetml.comments+xml"/>
  <Override PartName="/xl/drawings/drawing36.xml" ContentType="application/vnd.openxmlformats-officedocument.drawing+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omments37.xml" ContentType="application/vnd.openxmlformats-officedocument.spreadsheetml.comments+xml"/>
  <Override PartName="/xl/drawings/drawing37.xml" ContentType="application/vnd.openxmlformats-officedocument.drawing+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omments38.xml" ContentType="application/vnd.openxmlformats-officedocument.spreadsheetml.comments+xml"/>
  <Override PartName="/xl/drawings/drawing38.xml" ContentType="application/vnd.openxmlformats-officedocument.drawing+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omments39.xml" ContentType="application/vnd.openxmlformats-officedocument.spreadsheetml.comments+xml"/>
  <Override PartName="/xl/drawings/drawing39.xml" ContentType="application/vnd.openxmlformats-officedocument.drawing+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omments40.xml" ContentType="application/vnd.openxmlformats-officedocument.spreadsheetml.comments+xml"/>
  <Override PartName="/xl/drawings/drawing40.xml" ContentType="application/vnd.openxmlformats-officedocument.drawing+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omments41.xml" ContentType="application/vnd.openxmlformats-officedocument.spreadsheetml.comments+xml"/>
  <Override PartName="/xl/drawings/drawing41.xml" ContentType="application/vnd.openxmlformats-officedocument.drawing+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omments42.xml" ContentType="application/vnd.openxmlformats-officedocument.spreadsheetml.comments+xml"/>
  <Override PartName="/xl/drawings/drawing42.xml" ContentType="application/vnd.openxmlformats-officedocument.drawing+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omments43.xml" ContentType="application/vnd.openxmlformats-officedocument.spreadsheetml.comments+xml"/>
  <Override PartName="/xl/drawings/drawing43.xml" ContentType="application/vnd.openxmlformats-officedocument.drawing+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omments44.xml" ContentType="application/vnd.openxmlformats-officedocument.spreadsheetml.comments+xml"/>
  <Override PartName="/xl/drawings/drawing44.xml" ContentType="application/vnd.openxmlformats-officedocument.drawing+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omments45.xml" ContentType="application/vnd.openxmlformats-officedocument.spreadsheetml.comments+xml"/>
  <Override PartName="/xl/drawings/drawing45.xml" ContentType="application/vnd.openxmlformats-officedocument.drawing+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omments46.xml" ContentType="application/vnd.openxmlformats-officedocument.spreadsheetml.comments+xml"/>
  <Override PartName="/xl/drawings/drawing46.xml" ContentType="application/vnd.openxmlformats-officedocument.drawing+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omments47.xml" ContentType="application/vnd.openxmlformats-officedocument.spreadsheetml.comments+xml"/>
  <Override PartName="/xl/drawings/drawing47.xml" ContentType="application/vnd.openxmlformats-officedocument.drawing+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omments48.xml" ContentType="application/vnd.openxmlformats-officedocument.spreadsheetml.comments+xml"/>
  <Override PartName="/xl/drawings/drawing48.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49.xml" ContentType="application/vnd.openxmlformats-officedocument.drawing+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omments49.xml" ContentType="application/vnd.openxmlformats-officedocument.spreadsheetml.comments+xml"/>
  <Override PartName="/xl/comments50.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https://hitachigroup.sharepoint.com/sites/backdoor/DocLib/04_基本設計/基本設計書(正）/"/>
    </mc:Choice>
  </mc:AlternateContent>
  <bookViews>
    <workbookView xWindow="0" yWindow="0" windowWidth="20490" windowHeight="7455" tabRatio="801" firstSheet="10" activeTab="37"/>
  </bookViews>
  <sheets>
    <sheet name="テーブル一覧" sheetId="13" r:id="rId1"/>
    <sheet name="更新履歴" sheetId="60" r:id="rId2"/>
    <sheet name="作業計画データ" sheetId="14" r:id="rId3"/>
    <sheet name="作業計画準備データ" sheetId="15" r:id="rId4"/>
    <sheet name="実績数量" sheetId="16" r:id="rId5"/>
    <sheet name="作業指示明細データ" sheetId="17" r:id="rId6"/>
    <sheet name="投入指示データ" sheetId="18" r:id="rId7"/>
    <sheet name="実績管理データ" sheetId="19" r:id="rId8"/>
    <sheet name="実績登録データ" sheetId="20" r:id="rId9"/>
    <sheet name="測定結果データ" sheetId="21" r:id="rId10"/>
    <sheet name="個体ＮＯ管理データ" sheetId="22" r:id="rId11"/>
    <sheet name="付帯作業データ" sheetId="23" r:id="rId12"/>
    <sheet name="投入順序実績" sheetId="24" r:id="rId13"/>
    <sheet name="梱包指示データ" sheetId="25" r:id="rId14"/>
    <sheet name="梱包実績データ" sheetId="26" r:id="rId15"/>
    <sheet name="在庫データ" sheetId="27" r:id="rId16"/>
    <sheet name="受払データ" sheetId="28" r:id="rId17"/>
    <sheet name="順列納入指示データ" sheetId="29" r:id="rId18"/>
    <sheet name="非順列納入指示データ" sheetId="30" r:id="rId19"/>
    <sheet name="シミュレーションヘッダ" sheetId="31" r:id="rId20"/>
    <sheet name="シミュレーションデータ" sheetId="32" r:id="rId21"/>
    <sheet name="シミュレーション組立順序" sheetId="33" r:id="rId22"/>
    <sheet name="生産品名マスタ" sheetId="34" r:id="rId23"/>
    <sheet name="組立品構成マスタ" sheetId="35" r:id="rId24"/>
    <sheet name="資材マスタ" sheetId="36" r:id="rId25"/>
    <sheet name="使用資材" sheetId="37" r:id="rId26"/>
    <sheet name="生産製品マスタ" sheetId="38" r:id="rId27"/>
    <sheet name="車種マスタ" sheetId="39" r:id="rId28"/>
    <sheet name="設備マスタ" sheetId="40" r:id="rId29"/>
    <sheet name="工程マスタ" sheetId="41" r:id="rId30"/>
    <sheet name="標準通過工程マスタ" sheetId="42" r:id="rId31"/>
    <sheet name="工程グループマスタ" sheetId="43" r:id="rId32"/>
    <sheet name="区分標準通過工程" sheetId="44" r:id="rId33"/>
    <sheet name="通過工程間チェック" sheetId="45" r:id="rId34"/>
    <sheet name="投入指示作成" sheetId="46" r:id="rId35"/>
    <sheet name="不良現象マスタ" sheetId="47" r:id="rId36"/>
    <sheet name="コードマスタ" sheetId="48" r:id="rId37"/>
    <sheet name="社員マスタ" sheetId="49" r:id="rId38"/>
    <sheet name="稼働日マスタ" sheetId="50" r:id="rId39"/>
    <sheet name="休憩時間マスタ" sheetId="51" r:id="rId40"/>
    <sheet name="事業所マスタ" sheetId="52" r:id="rId41"/>
    <sheet name="品種マスタ" sheetId="53" r:id="rId42"/>
    <sheet name="パスワードマスタ" sheetId="54" r:id="rId43"/>
    <sheet name="ＩＰアドレス管理マスタ" sheetId="55" r:id="rId44"/>
    <sheet name="採番マスタ" sheetId="56" r:id="rId45"/>
    <sheet name="読込ラベルグループマスタ" sheetId="57" r:id="rId46"/>
    <sheet name="ラベル定義マスタ" sheetId="58" r:id="rId47"/>
    <sheet name="（旧）不良現象マスタ" sheetId="59" r:id="rId48"/>
    <sheet name="サンプル" sheetId="9" state="hidden" r:id="rId49"/>
    <sheet name="system" sheetId="2" state="hidden" r:id="rId50"/>
    <sheet name="原紙" sheetId="11" state="hidden" r:id="rId51"/>
    <sheet name="一覧原紙" sheetId="12" state="hidden" r:id="rId52"/>
    <sheet name="原紙_行" sheetId="10" state="hidden" r:id="rId53"/>
  </sheets>
  <definedNames>
    <definedName name="_xlnm.Print_Area" localSheetId="43">ＩＰアドレス管理マスタ!$A$1:$U$14</definedName>
    <definedName name="_xlnm.Print_Area" localSheetId="36">コードマスタ!$A$1:$U$14</definedName>
    <definedName name="_xlnm.Print_Area" localSheetId="48">サンプル!$A$1:$U$23</definedName>
    <definedName name="_xlnm.Print_Area" localSheetId="20">シミュレーションデータ!$A$1:$U$14</definedName>
    <definedName name="_xlnm.Print_Area" localSheetId="19">シミュレーションヘッダ!$A$1:$U$14</definedName>
    <definedName name="_xlnm.Print_Area" localSheetId="21">シミュレーション組立順序!$A$1:$U$14</definedName>
    <definedName name="_xlnm.Print_Area" localSheetId="0">テーブル一覧!$A$1:$M$10</definedName>
    <definedName name="_xlnm.Print_Area" localSheetId="42">パスワードマスタ!$A$1:$U$14</definedName>
    <definedName name="_xlnm.Print_Area" localSheetId="46">ラベル定義マスタ!$A$1:$U$14</definedName>
    <definedName name="_xlnm.Print_Area" localSheetId="51">一覧原紙!$A$1:$M$10</definedName>
    <definedName name="_xlnm.Print_Area" localSheetId="38">稼働日マスタ!$A$1:$U$14</definedName>
    <definedName name="_xlnm.Print_Area" localSheetId="39">休憩時間マスタ!$A$1:$U$14</definedName>
    <definedName name="_xlnm.Print_Area" localSheetId="32">区分標準通過工程!$A$1:$U$14</definedName>
    <definedName name="_xlnm.Print_Area" localSheetId="50">原紙!$A$1:$U$14</definedName>
    <definedName name="_xlnm.Print_Area" localSheetId="52">原紙_行!$A$1:$U$10</definedName>
    <definedName name="_xlnm.Print_Area" localSheetId="10">個体ＮＯ管理データ!$A$1:$U$14</definedName>
    <definedName name="_xlnm.Print_Area" localSheetId="31">工程グループマスタ!$A$1:$U$14</definedName>
    <definedName name="_xlnm.Print_Area" localSheetId="29">工程マスタ!$A$1:$U$14</definedName>
    <definedName name="_xlnm.Print_Area" localSheetId="13">梱包指示データ!$A$1:$U$14</definedName>
    <definedName name="_xlnm.Print_Area" localSheetId="14">梱包実績データ!$A$1:$U$14</definedName>
    <definedName name="_xlnm.Print_Area" localSheetId="44">採番マスタ!$A$1:$U$14</definedName>
    <definedName name="_xlnm.Print_Area" localSheetId="15">在庫データ!$A$1:$U$14</definedName>
    <definedName name="_xlnm.Print_Area" localSheetId="2">作業計画データ!$A$1:$U$14</definedName>
    <definedName name="_xlnm.Print_Area" localSheetId="3">作業計画準備データ!$A$1:$U$14</definedName>
    <definedName name="_xlnm.Print_Area" localSheetId="5">作業指示明細データ!$A$1:$U$14</definedName>
    <definedName name="_xlnm.Print_Area" localSheetId="25">使用資材!$A$1:$U$14</definedName>
    <definedName name="_xlnm.Print_Area" localSheetId="24">資材マスタ!$A$1:$U$14</definedName>
    <definedName name="_xlnm.Print_Area" localSheetId="40">事業所マスタ!$A$1:$U$14</definedName>
    <definedName name="_xlnm.Print_Area" localSheetId="7">実績管理データ!$A$1:$U$14</definedName>
    <definedName name="_xlnm.Print_Area" localSheetId="4">実績数量!$A$1:$U$14</definedName>
    <definedName name="_xlnm.Print_Area" localSheetId="8">実績登録データ!$A$1:$U$14</definedName>
    <definedName name="_xlnm.Print_Area" localSheetId="37">社員マスタ!$A$1:$U$14</definedName>
    <definedName name="_xlnm.Print_Area" localSheetId="27">車種マスタ!$A$1:$U$14</definedName>
    <definedName name="_xlnm.Print_Area" localSheetId="16">受払データ!$A$1:$U$14</definedName>
    <definedName name="_xlnm.Print_Area" localSheetId="17">順列納入指示データ!$A$1:$U$14</definedName>
    <definedName name="_xlnm.Print_Area" localSheetId="26">生産製品マスタ!$A$1:$U$14</definedName>
    <definedName name="_xlnm.Print_Area" localSheetId="22">生産品名マスタ!$A$1:$U$14</definedName>
    <definedName name="_xlnm.Print_Area" localSheetId="28">設備マスタ!$A$1:$U$14</definedName>
    <definedName name="_xlnm.Print_Area" localSheetId="23">組立品構成マスタ!$A$1:$U$14</definedName>
    <definedName name="_xlnm.Print_Area" localSheetId="9">測定結果データ!$A$1:$U$14</definedName>
    <definedName name="_xlnm.Print_Area" localSheetId="33">通過工程間チェック!$A$1:$U$14</definedName>
    <definedName name="_xlnm.Print_Area" localSheetId="6">投入指示データ!$A$1:$U$14</definedName>
    <definedName name="_xlnm.Print_Area" localSheetId="34">投入指示作成!$A$1:$U$14</definedName>
    <definedName name="_xlnm.Print_Area" localSheetId="12">投入順序実績!$A$1:$U$14</definedName>
    <definedName name="_xlnm.Print_Area" localSheetId="45">読込ラベルグループマスタ!$A$1:$U$14</definedName>
    <definedName name="_xlnm.Print_Area" localSheetId="18">非順列納入指示データ!$A$1:$U$14</definedName>
    <definedName name="_xlnm.Print_Area" localSheetId="30">標準通過工程マスタ!$A$1:$U$14</definedName>
    <definedName name="_xlnm.Print_Area" localSheetId="41">品種マスタ!$A$1:$U$14</definedName>
    <definedName name="_xlnm.Print_Area" localSheetId="35">不良現象マスタ!$A$1:$U$14</definedName>
    <definedName name="_xlnm.Print_Area" localSheetId="11">付帯作業データ!$A$1:$U$14</definedName>
    <definedName name="_xlnm.Print_Titles" localSheetId="43">ＩＰアドレス管理マスタ!$13:$13</definedName>
    <definedName name="_xlnm.Print_Titles" localSheetId="36">コードマスタ!$13:$13</definedName>
    <definedName name="_xlnm.Print_Titles" localSheetId="48">サンプル!$13:$13</definedName>
    <definedName name="_xlnm.Print_Titles" localSheetId="20">シミュレーションデータ!$13:$13</definedName>
    <definedName name="_xlnm.Print_Titles" localSheetId="19">シミュレーションヘッダ!$13:$13</definedName>
    <definedName name="_xlnm.Print_Titles" localSheetId="21">シミュレーション組立順序!$13:$13</definedName>
    <definedName name="_xlnm.Print_Titles" localSheetId="0">テーブル一覧!$9:$9</definedName>
    <definedName name="_xlnm.Print_Titles" localSheetId="42">パスワードマスタ!$13:$13</definedName>
    <definedName name="_xlnm.Print_Titles" localSheetId="46">ラベル定義マスタ!$13:$13</definedName>
    <definedName name="_xlnm.Print_Titles" localSheetId="51">一覧原紙!$9:$9</definedName>
    <definedName name="_xlnm.Print_Titles" localSheetId="38">稼働日マスタ!$13:$13</definedName>
    <definedName name="_xlnm.Print_Titles" localSheetId="39">休憩時間マスタ!$13:$13</definedName>
    <definedName name="_xlnm.Print_Titles" localSheetId="32">区分標準通過工程!$13:$13</definedName>
    <definedName name="_xlnm.Print_Titles" localSheetId="50">原紙!$13:$13</definedName>
    <definedName name="_xlnm.Print_Titles" localSheetId="52">原紙_行!$1:$1</definedName>
    <definedName name="_xlnm.Print_Titles" localSheetId="10">個体ＮＯ管理データ!$13:$13</definedName>
    <definedName name="_xlnm.Print_Titles" localSheetId="31">工程グループマスタ!$13:$13</definedName>
    <definedName name="_xlnm.Print_Titles" localSheetId="29">工程マスタ!$13:$13</definedName>
    <definedName name="_xlnm.Print_Titles" localSheetId="13">梱包指示データ!$13:$13</definedName>
    <definedName name="_xlnm.Print_Titles" localSheetId="14">梱包実績データ!$13:$13</definedName>
    <definedName name="_xlnm.Print_Titles" localSheetId="44">採番マスタ!$13:$13</definedName>
    <definedName name="_xlnm.Print_Titles" localSheetId="15">在庫データ!$13:$13</definedName>
    <definedName name="_xlnm.Print_Titles" localSheetId="2">作業計画データ!$13:$13</definedName>
    <definedName name="_xlnm.Print_Titles" localSheetId="3">作業計画準備データ!$13:$13</definedName>
    <definedName name="_xlnm.Print_Titles" localSheetId="5">作業指示明細データ!$13:$13</definedName>
    <definedName name="_xlnm.Print_Titles" localSheetId="25">使用資材!$13:$13</definedName>
    <definedName name="_xlnm.Print_Titles" localSheetId="24">資材マスタ!$13:$13</definedName>
    <definedName name="_xlnm.Print_Titles" localSheetId="40">事業所マスタ!$13:$13</definedName>
    <definedName name="_xlnm.Print_Titles" localSheetId="7">実績管理データ!$13:$13</definedName>
    <definedName name="_xlnm.Print_Titles" localSheetId="4">実績数量!$13:$13</definedName>
    <definedName name="_xlnm.Print_Titles" localSheetId="8">実績登録データ!$13:$13</definedName>
    <definedName name="_xlnm.Print_Titles" localSheetId="37">社員マスタ!$13:$13</definedName>
    <definedName name="_xlnm.Print_Titles" localSheetId="27">車種マスタ!$13:$13</definedName>
    <definedName name="_xlnm.Print_Titles" localSheetId="16">受払データ!$13:$13</definedName>
    <definedName name="_xlnm.Print_Titles" localSheetId="17">順列納入指示データ!$13:$13</definedName>
    <definedName name="_xlnm.Print_Titles" localSheetId="26">生産製品マスタ!$13:$13</definedName>
    <definedName name="_xlnm.Print_Titles" localSheetId="22">生産品名マスタ!$13:$13</definedName>
    <definedName name="_xlnm.Print_Titles" localSheetId="28">設備マスタ!$13:$13</definedName>
    <definedName name="_xlnm.Print_Titles" localSheetId="23">組立品構成マスタ!$13:$13</definedName>
    <definedName name="_xlnm.Print_Titles" localSheetId="9">測定結果データ!$13:$13</definedName>
    <definedName name="_xlnm.Print_Titles" localSheetId="33">通過工程間チェック!$13:$13</definedName>
    <definedName name="_xlnm.Print_Titles" localSheetId="6">投入指示データ!$13:$13</definedName>
    <definedName name="_xlnm.Print_Titles" localSheetId="34">投入指示作成!$13:$13</definedName>
    <definedName name="_xlnm.Print_Titles" localSheetId="12">投入順序実績!$13:$13</definedName>
    <definedName name="_xlnm.Print_Titles" localSheetId="45">読込ラベルグループマスタ!$13:$13</definedName>
    <definedName name="_xlnm.Print_Titles" localSheetId="18">非順列納入指示データ!$13:$13</definedName>
    <definedName name="_xlnm.Print_Titles" localSheetId="30">標準通過工程マスタ!$13:$13</definedName>
    <definedName name="_xlnm.Print_Titles" localSheetId="41">品種マスタ!$13:$13</definedName>
    <definedName name="_xlnm.Print_Titles" localSheetId="35">不良現象マスタ!$13:$13</definedName>
    <definedName name="_xlnm.Print_Titles" localSheetId="11">付帯作業データ!$13:$13</definedName>
  </definedNames>
  <calcPr calcId="162913" concurrentManualCount="2"/>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N24" i="27" l="1"/>
  <c r="B24" i="27"/>
  <c r="N26" i="27"/>
  <c r="B26" i="27"/>
  <c r="N26" i="28" l="1"/>
  <c r="B26" i="28"/>
  <c r="N23" i="59" l="1"/>
  <c r="N22" i="59"/>
  <c r="N21" i="59"/>
  <c r="N20" i="59"/>
  <c r="N15" i="59"/>
  <c r="N14" i="59"/>
  <c r="B23" i="59"/>
  <c r="B22" i="59"/>
  <c r="B21" i="59"/>
  <c r="B20" i="59"/>
  <c r="N19" i="59"/>
  <c r="B19" i="59"/>
  <c r="N18" i="59"/>
  <c r="B18" i="59"/>
  <c r="N17" i="59"/>
  <c r="B17" i="59"/>
  <c r="N16" i="59"/>
  <c r="B16" i="59"/>
  <c r="B14" i="59"/>
  <c r="N13" i="59"/>
  <c r="N12" i="59"/>
  <c r="N9" i="59"/>
  <c r="N7" i="59"/>
  <c r="L9" i="59" l="1"/>
  <c r="L10" i="59" s="1"/>
  <c r="N24" i="58"/>
  <c r="B24" i="58"/>
  <c r="N23" i="58"/>
  <c r="B23" i="58"/>
  <c r="N22" i="58"/>
  <c r="B22" i="58"/>
  <c r="N21" i="58"/>
  <c r="B21" i="58"/>
  <c r="N20" i="58"/>
  <c r="B20" i="58"/>
  <c r="N19" i="58"/>
  <c r="B19" i="58"/>
  <c r="N18" i="58"/>
  <c r="B18" i="58"/>
  <c r="N17" i="58"/>
  <c r="B17" i="58"/>
  <c r="N16" i="58"/>
  <c r="B16" i="58"/>
  <c r="N15" i="58"/>
  <c r="B15" i="58"/>
  <c r="N14" i="58"/>
  <c r="B14" i="58"/>
  <c r="N13" i="58"/>
  <c r="N12" i="58"/>
  <c r="N9" i="58"/>
  <c r="N7" i="58"/>
  <c r="A54" i="13"/>
  <c r="N25" i="57"/>
  <c r="B25" i="57"/>
  <c r="N24" i="57"/>
  <c r="B24" i="57"/>
  <c r="N23" i="57"/>
  <c r="B23" i="57"/>
  <c r="N22" i="57"/>
  <c r="B22" i="57"/>
  <c r="N21" i="57"/>
  <c r="B21" i="57"/>
  <c r="N20" i="57"/>
  <c r="B20" i="57"/>
  <c r="N19" i="57"/>
  <c r="B19" i="57"/>
  <c r="N18" i="57"/>
  <c r="B18" i="57"/>
  <c r="N17" i="57"/>
  <c r="B17" i="57"/>
  <c r="N16" i="57"/>
  <c r="B16" i="57"/>
  <c r="N15" i="57"/>
  <c r="B15" i="57"/>
  <c r="N14" i="57"/>
  <c r="L9" i="57" s="1"/>
  <c r="L10" i="57" s="1"/>
  <c r="B14" i="57"/>
  <c r="N13" i="57"/>
  <c r="N12" i="57"/>
  <c r="N9" i="57"/>
  <c r="N7" i="57"/>
  <c r="A53" i="13"/>
  <c r="N25" i="56"/>
  <c r="B25" i="56"/>
  <c r="N24" i="56"/>
  <c r="B24" i="56"/>
  <c r="N23" i="56"/>
  <c r="B23" i="56"/>
  <c r="N22" i="56"/>
  <c r="B22" i="56"/>
  <c r="N21" i="56"/>
  <c r="B21" i="56"/>
  <c r="N20" i="56"/>
  <c r="B20" i="56"/>
  <c r="N19" i="56"/>
  <c r="B19" i="56"/>
  <c r="N18" i="56"/>
  <c r="B18" i="56"/>
  <c r="N17" i="56"/>
  <c r="B17" i="56"/>
  <c r="N16" i="56"/>
  <c r="B16" i="56"/>
  <c r="N15" i="56"/>
  <c r="B15" i="56"/>
  <c r="N14" i="56"/>
  <c r="L9" i="56" s="1"/>
  <c r="L10" i="56" s="1"/>
  <c r="B14" i="56"/>
  <c r="N13" i="56"/>
  <c r="N12" i="56"/>
  <c r="N9" i="56"/>
  <c r="N7" i="56"/>
  <c r="A52" i="13"/>
  <c r="N26" i="55"/>
  <c r="B26" i="55"/>
  <c r="N25" i="55"/>
  <c r="B25" i="55"/>
  <c r="N24" i="55"/>
  <c r="B24" i="55"/>
  <c r="N23" i="55"/>
  <c r="B23" i="55"/>
  <c r="N22" i="55"/>
  <c r="B22" i="55"/>
  <c r="N21" i="55"/>
  <c r="B21" i="55"/>
  <c r="N20" i="55"/>
  <c r="B20" i="55"/>
  <c r="N19" i="55"/>
  <c r="B19" i="55"/>
  <c r="N18" i="55"/>
  <c r="B18" i="55"/>
  <c r="N17" i="55"/>
  <c r="B17" i="55"/>
  <c r="N16" i="55"/>
  <c r="B16" i="55"/>
  <c r="N15" i="55"/>
  <c r="B15" i="55"/>
  <c r="N14" i="55"/>
  <c r="B14" i="55"/>
  <c r="N13" i="55"/>
  <c r="N12" i="55"/>
  <c r="N9" i="55"/>
  <c r="N7" i="55"/>
  <c r="A51" i="13"/>
  <c r="N22" i="54"/>
  <c r="B22" i="54"/>
  <c r="N21" i="54"/>
  <c r="B21" i="54"/>
  <c r="N20" i="54"/>
  <c r="B20" i="54"/>
  <c r="N19" i="54"/>
  <c r="B19" i="54"/>
  <c r="N18" i="54"/>
  <c r="B18" i="54"/>
  <c r="N17" i="54"/>
  <c r="B17" i="54"/>
  <c r="N16" i="54"/>
  <c r="B16" i="54"/>
  <c r="N15" i="54"/>
  <c r="B15" i="54"/>
  <c r="N14" i="54"/>
  <c r="B14" i="54"/>
  <c r="N13" i="54"/>
  <c r="N12" i="54"/>
  <c r="N9" i="54"/>
  <c r="N7" i="54"/>
  <c r="A50" i="13"/>
  <c r="N25" i="53"/>
  <c r="B25" i="53"/>
  <c r="N24" i="53"/>
  <c r="B24" i="53"/>
  <c r="N23" i="53"/>
  <c r="B23" i="53"/>
  <c r="N22" i="53"/>
  <c r="B22" i="53"/>
  <c r="N21" i="53"/>
  <c r="B21" i="53"/>
  <c r="N20" i="53"/>
  <c r="B20" i="53"/>
  <c r="N19" i="53"/>
  <c r="B19" i="53"/>
  <c r="N18" i="53"/>
  <c r="B18" i="53"/>
  <c r="N17" i="53"/>
  <c r="B17" i="53"/>
  <c r="N16" i="53"/>
  <c r="B16" i="53"/>
  <c r="N15" i="53"/>
  <c r="B15" i="53"/>
  <c r="N14" i="53"/>
  <c r="B14" i="53"/>
  <c r="N13" i="53"/>
  <c r="N12" i="53"/>
  <c r="N9" i="53"/>
  <c r="N7" i="53"/>
  <c r="A49" i="13"/>
  <c r="N26" i="52"/>
  <c r="B26" i="52"/>
  <c r="N25" i="52"/>
  <c r="B25" i="52"/>
  <c r="N24" i="52"/>
  <c r="B24" i="52"/>
  <c r="N23" i="52"/>
  <c r="B23" i="52"/>
  <c r="N22" i="52"/>
  <c r="B22" i="52"/>
  <c r="N21" i="52"/>
  <c r="B21" i="52"/>
  <c r="N20" i="52"/>
  <c r="B20" i="52"/>
  <c r="N19" i="52"/>
  <c r="B19" i="52"/>
  <c r="N18" i="52"/>
  <c r="B18" i="52"/>
  <c r="N17" i="52"/>
  <c r="B17" i="52"/>
  <c r="N16" i="52"/>
  <c r="B16" i="52"/>
  <c r="N15" i="52"/>
  <c r="B15" i="52"/>
  <c r="N14" i="52"/>
  <c r="B14" i="52"/>
  <c r="N13" i="52"/>
  <c r="N12" i="52"/>
  <c r="N9" i="52"/>
  <c r="N7" i="52"/>
  <c r="A48" i="13"/>
  <c r="N28" i="51"/>
  <c r="B28" i="51"/>
  <c r="N27" i="51"/>
  <c r="B27" i="51"/>
  <c r="N26" i="51"/>
  <c r="B26" i="51"/>
  <c r="N25" i="51"/>
  <c r="B25" i="51"/>
  <c r="N24" i="51"/>
  <c r="B24" i="51"/>
  <c r="N23" i="51"/>
  <c r="B23" i="51"/>
  <c r="N22" i="51"/>
  <c r="B22" i="51"/>
  <c r="N21" i="51"/>
  <c r="B21" i="51"/>
  <c r="N20" i="51"/>
  <c r="B20" i="51"/>
  <c r="N19" i="51"/>
  <c r="B19" i="51"/>
  <c r="N18" i="51"/>
  <c r="B18" i="51"/>
  <c r="N17" i="51"/>
  <c r="B17" i="51"/>
  <c r="N16" i="51"/>
  <c r="B16" i="51"/>
  <c r="N15" i="51"/>
  <c r="B15" i="51"/>
  <c r="N14" i="51"/>
  <c r="B14" i="51"/>
  <c r="N13" i="51"/>
  <c r="N12" i="51"/>
  <c r="N9" i="51"/>
  <c r="N7" i="51"/>
  <c r="A47" i="13"/>
  <c r="L9" i="50"/>
  <c r="L10" i="50" s="1"/>
  <c r="N24" i="50"/>
  <c r="B24" i="50"/>
  <c r="N23" i="50"/>
  <c r="B23" i="50"/>
  <c r="N22" i="50"/>
  <c r="B22" i="50"/>
  <c r="N21" i="50"/>
  <c r="B21" i="50"/>
  <c r="N20" i="50"/>
  <c r="B20" i="50"/>
  <c r="N19" i="50"/>
  <c r="B19" i="50"/>
  <c r="N18" i="50"/>
  <c r="B18" i="50"/>
  <c r="N17" i="50"/>
  <c r="B17" i="50"/>
  <c r="N16" i="50"/>
  <c r="B16" i="50"/>
  <c r="N15" i="50"/>
  <c r="B15" i="50"/>
  <c r="N14" i="50"/>
  <c r="B14" i="50"/>
  <c r="N13" i="50"/>
  <c r="N12" i="50"/>
  <c r="N9" i="50"/>
  <c r="N7" i="50"/>
  <c r="A46" i="13"/>
  <c r="N24" i="49"/>
  <c r="B24" i="49"/>
  <c r="N23" i="49"/>
  <c r="B23" i="49"/>
  <c r="N22" i="49"/>
  <c r="B22" i="49"/>
  <c r="N21" i="49"/>
  <c r="B21" i="49"/>
  <c r="N20" i="49"/>
  <c r="B20" i="49"/>
  <c r="N19" i="49"/>
  <c r="B19" i="49"/>
  <c r="N18" i="49"/>
  <c r="B18" i="49"/>
  <c r="N17" i="49"/>
  <c r="B17" i="49"/>
  <c r="N16" i="49"/>
  <c r="B16" i="49"/>
  <c r="N15" i="49"/>
  <c r="B15" i="49"/>
  <c r="N14" i="49"/>
  <c r="B14" i="49"/>
  <c r="N13" i="49"/>
  <c r="N12" i="49"/>
  <c r="N9" i="49"/>
  <c r="N7" i="49"/>
  <c r="A45" i="13"/>
  <c r="N32" i="48"/>
  <c r="B32" i="48"/>
  <c r="N31" i="48"/>
  <c r="B31" i="48"/>
  <c r="N30" i="48"/>
  <c r="B30" i="48"/>
  <c r="N29" i="48"/>
  <c r="B29" i="48"/>
  <c r="N28" i="48"/>
  <c r="B28" i="48"/>
  <c r="N27" i="48"/>
  <c r="B27" i="48"/>
  <c r="N26" i="48"/>
  <c r="B26" i="48"/>
  <c r="N25" i="48"/>
  <c r="B25" i="48"/>
  <c r="N24" i="48"/>
  <c r="B24" i="48"/>
  <c r="N23" i="48"/>
  <c r="B23" i="48"/>
  <c r="N22" i="48"/>
  <c r="B22" i="48"/>
  <c r="N21" i="48"/>
  <c r="B21" i="48"/>
  <c r="N20" i="48"/>
  <c r="B20" i="48"/>
  <c r="N19" i="48"/>
  <c r="B19" i="48"/>
  <c r="N18" i="48"/>
  <c r="B18" i="48"/>
  <c r="N17" i="48"/>
  <c r="B17" i="48"/>
  <c r="N16" i="48"/>
  <c r="B16" i="48"/>
  <c r="N15" i="48"/>
  <c r="B15" i="48"/>
  <c r="N14" i="48"/>
  <c r="L9" i="48" s="1"/>
  <c r="L10" i="48" s="1"/>
  <c r="B14" i="48"/>
  <c r="N13" i="48"/>
  <c r="N12" i="48"/>
  <c r="N9" i="48"/>
  <c r="N7" i="48"/>
  <c r="A44" i="13"/>
  <c r="N29" i="47"/>
  <c r="B29" i="47"/>
  <c r="N28" i="47"/>
  <c r="B28" i="47"/>
  <c r="N27" i="47"/>
  <c r="B27" i="47"/>
  <c r="N26" i="47"/>
  <c r="B26" i="47"/>
  <c r="N25" i="47"/>
  <c r="B25" i="47"/>
  <c r="N24" i="47"/>
  <c r="B24" i="47"/>
  <c r="N23" i="47"/>
  <c r="B23" i="47"/>
  <c r="N22" i="47"/>
  <c r="B22" i="47"/>
  <c r="N21" i="47"/>
  <c r="B21" i="47"/>
  <c r="N20" i="47"/>
  <c r="B20" i="47"/>
  <c r="N19" i="47"/>
  <c r="B19" i="47"/>
  <c r="N18" i="47"/>
  <c r="B18" i="47"/>
  <c r="N17" i="47"/>
  <c r="B17" i="47"/>
  <c r="N16" i="47"/>
  <c r="B16" i="47"/>
  <c r="N15" i="47"/>
  <c r="B15" i="47"/>
  <c r="N14" i="47"/>
  <c r="B14" i="47"/>
  <c r="N13" i="47"/>
  <c r="N12" i="47"/>
  <c r="N9" i="47"/>
  <c r="N7" i="47"/>
  <c r="A43" i="13"/>
  <c r="N25" i="46"/>
  <c r="B25" i="46"/>
  <c r="N24" i="46"/>
  <c r="B24" i="46"/>
  <c r="N23" i="46"/>
  <c r="B23" i="46"/>
  <c r="N22" i="46"/>
  <c r="B22" i="46"/>
  <c r="N21" i="46"/>
  <c r="B21" i="46"/>
  <c r="N20" i="46"/>
  <c r="B20" i="46"/>
  <c r="N19" i="46"/>
  <c r="B19" i="46"/>
  <c r="N18" i="46"/>
  <c r="B18" i="46"/>
  <c r="N17" i="46"/>
  <c r="B17" i="46"/>
  <c r="N16" i="46"/>
  <c r="B16" i="46"/>
  <c r="N15" i="46"/>
  <c r="B15" i="46"/>
  <c r="N14" i="46"/>
  <c r="L9" i="46" s="1"/>
  <c r="L10" i="46" s="1"/>
  <c r="B14" i="46"/>
  <c r="N13" i="46"/>
  <c r="N12" i="46"/>
  <c r="N9" i="46"/>
  <c r="N7" i="46"/>
  <c r="A42" i="13"/>
  <c r="N28" i="45"/>
  <c r="B28" i="45"/>
  <c r="N27" i="45"/>
  <c r="B27" i="45"/>
  <c r="N26" i="45"/>
  <c r="B26" i="45"/>
  <c r="N25" i="45"/>
  <c r="B25" i="45"/>
  <c r="N24" i="45"/>
  <c r="B24" i="45"/>
  <c r="N23" i="45"/>
  <c r="B23" i="45"/>
  <c r="N22" i="45"/>
  <c r="B22" i="45"/>
  <c r="N21" i="45"/>
  <c r="B21" i="45"/>
  <c r="N20" i="45"/>
  <c r="B20" i="45"/>
  <c r="N19" i="45"/>
  <c r="B19" i="45"/>
  <c r="N18" i="45"/>
  <c r="B18" i="45"/>
  <c r="N17" i="45"/>
  <c r="B17" i="45"/>
  <c r="N16" i="45"/>
  <c r="B16" i="45"/>
  <c r="N15" i="45"/>
  <c r="B15" i="45"/>
  <c r="N14" i="45"/>
  <c r="B14" i="45"/>
  <c r="N13" i="45"/>
  <c r="N12" i="45"/>
  <c r="N9" i="45"/>
  <c r="N7" i="45"/>
  <c r="A41" i="13"/>
  <c r="N36" i="44"/>
  <c r="B36" i="44"/>
  <c r="N35" i="44"/>
  <c r="B35" i="44"/>
  <c r="N34" i="44"/>
  <c r="B34" i="44"/>
  <c r="N33" i="44"/>
  <c r="B33" i="44"/>
  <c r="N32" i="44"/>
  <c r="B32" i="44"/>
  <c r="N31" i="44"/>
  <c r="B31" i="44"/>
  <c r="N30" i="44"/>
  <c r="B30" i="44"/>
  <c r="N29" i="44"/>
  <c r="B29" i="44"/>
  <c r="N28" i="44"/>
  <c r="B28" i="44"/>
  <c r="N27" i="44"/>
  <c r="B27" i="44"/>
  <c r="N26" i="44"/>
  <c r="B26" i="44"/>
  <c r="N25" i="44"/>
  <c r="B25" i="44"/>
  <c r="N24" i="44"/>
  <c r="B24" i="44"/>
  <c r="N23" i="44"/>
  <c r="B23" i="44"/>
  <c r="N22" i="44"/>
  <c r="B22" i="44"/>
  <c r="N21" i="44"/>
  <c r="B21" i="44"/>
  <c r="N20" i="44"/>
  <c r="B20" i="44"/>
  <c r="N19" i="44"/>
  <c r="B19" i="44"/>
  <c r="N18" i="44"/>
  <c r="B18" i="44"/>
  <c r="N17" i="44"/>
  <c r="B17" i="44"/>
  <c r="N16" i="44"/>
  <c r="B16" i="44"/>
  <c r="N15" i="44"/>
  <c r="B15" i="44"/>
  <c r="N14" i="44"/>
  <c r="B14" i="44"/>
  <c r="N13" i="44"/>
  <c r="N12" i="44"/>
  <c r="N9" i="44"/>
  <c r="N7" i="44"/>
  <c r="A40" i="13"/>
  <c r="N25" i="43"/>
  <c r="B25" i="43"/>
  <c r="N24" i="43"/>
  <c r="B24" i="43"/>
  <c r="N23" i="43"/>
  <c r="B23" i="43"/>
  <c r="N22" i="43"/>
  <c r="B22" i="43"/>
  <c r="N21" i="43"/>
  <c r="B21" i="43"/>
  <c r="N20" i="43"/>
  <c r="B20" i="43"/>
  <c r="N19" i="43"/>
  <c r="B19" i="43"/>
  <c r="N18" i="43"/>
  <c r="B18" i="43"/>
  <c r="N17" i="43"/>
  <c r="B17" i="43"/>
  <c r="N16" i="43"/>
  <c r="B16" i="43"/>
  <c r="N15" i="43"/>
  <c r="B15" i="43"/>
  <c r="N14" i="43"/>
  <c r="B14" i="43"/>
  <c r="N13" i="43"/>
  <c r="N12" i="43"/>
  <c r="N9" i="43"/>
  <c r="N7" i="43"/>
  <c r="A39" i="13"/>
  <c r="N26" i="42"/>
  <c r="B26" i="42"/>
  <c r="N25" i="42"/>
  <c r="B25" i="42"/>
  <c r="N24" i="42"/>
  <c r="B24" i="42"/>
  <c r="N23" i="42"/>
  <c r="B23" i="42"/>
  <c r="N22" i="42"/>
  <c r="B22" i="42"/>
  <c r="N21" i="42"/>
  <c r="B21" i="42"/>
  <c r="N20" i="42"/>
  <c r="B20" i="42"/>
  <c r="N19" i="42"/>
  <c r="B19" i="42"/>
  <c r="N18" i="42"/>
  <c r="B18" i="42"/>
  <c r="N17" i="42"/>
  <c r="B17" i="42"/>
  <c r="N16" i="42"/>
  <c r="B16" i="42"/>
  <c r="N15" i="42"/>
  <c r="B15" i="42"/>
  <c r="N14" i="42"/>
  <c r="B14" i="42"/>
  <c r="N13" i="42"/>
  <c r="N12" i="42"/>
  <c r="N9" i="42"/>
  <c r="N7" i="42"/>
  <c r="A38" i="13"/>
  <c r="N25" i="41"/>
  <c r="B25" i="41"/>
  <c r="N24" i="41"/>
  <c r="B24" i="41"/>
  <c r="N23" i="41"/>
  <c r="B23" i="41"/>
  <c r="N22" i="41"/>
  <c r="B22" i="41"/>
  <c r="N21" i="41"/>
  <c r="B21" i="41"/>
  <c r="N20" i="41"/>
  <c r="B20" i="41"/>
  <c r="N19" i="41"/>
  <c r="B19" i="41"/>
  <c r="N18" i="41"/>
  <c r="B18" i="41"/>
  <c r="N17" i="41"/>
  <c r="B17" i="41"/>
  <c r="N16" i="41"/>
  <c r="B16" i="41"/>
  <c r="N15" i="41"/>
  <c r="B15" i="41"/>
  <c r="B14" i="41"/>
  <c r="N13" i="41"/>
  <c r="N12" i="41"/>
  <c r="N9" i="41"/>
  <c r="N7" i="41"/>
  <c r="A37" i="13"/>
  <c r="N31" i="40"/>
  <c r="B31" i="40"/>
  <c r="N30" i="40"/>
  <c r="B30" i="40"/>
  <c r="N29" i="40"/>
  <c r="B29" i="40"/>
  <c r="N28" i="40"/>
  <c r="B28" i="40"/>
  <c r="N27" i="40"/>
  <c r="B27" i="40"/>
  <c r="N26" i="40"/>
  <c r="B26" i="40"/>
  <c r="N25" i="40"/>
  <c r="B25" i="40"/>
  <c r="N24" i="40"/>
  <c r="B24" i="40"/>
  <c r="N23" i="40"/>
  <c r="B23" i="40"/>
  <c r="N22" i="40"/>
  <c r="B22" i="40"/>
  <c r="N21" i="40"/>
  <c r="B21" i="40"/>
  <c r="N20" i="40"/>
  <c r="B20" i="40"/>
  <c r="N19" i="40"/>
  <c r="B19" i="40"/>
  <c r="N18" i="40"/>
  <c r="B18" i="40"/>
  <c r="N17" i="40"/>
  <c r="B17" i="40"/>
  <c r="N16" i="40"/>
  <c r="B16" i="40"/>
  <c r="N15" i="40"/>
  <c r="B15" i="40"/>
  <c r="N14" i="40"/>
  <c r="L9" i="40" s="1"/>
  <c r="L10" i="40" s="1"/>
  <c r="B14" i="40"/>
  <c r="N13" i="40"/>
  <c r="N12" i="40"/>
  <c r="N9" i="40"/>
  <c r="N7" i="40"/>
  <c r="A36" i="13"/>
  <c r="N26" i="39"/>
  <c r="B26" i="39"/>
  <c r="N25" i="39"/>
  <c r="B25" i="39"/>
  <c r="N24" i="39"/>
  <c r="B24" i="39"/>
  <c r="N23" i="39"/>
  <c r="B23" i="39"/>
  <c r="N22" i="39"/>
  <c r="B22" i="39"/>
  <c r="N21" i="39"/>
  <c r="B21" i="39"/>
  <c r="N20" i="39"/>
  <c r="B20" i="39"/>
  <c r="N19" i="39"/>
  <c r="B19" i="39"/>
  <c r="N18" i="39"/>
  <c r="B18" i="39"/>
  <c r="N17" i="39"/>
  <c r="B17" i="39"/>
  <c r="N16" i="39"/>
  <c r="B16" i="39"/>
  <c r="N15" i="39"/>
  <c r="L9" i="39" s="1"/>
  <c r="L10" i="39" s="1"/>
  <c r="B15" i="39"/>
  <c r="N14" i="39"/>
  <c r="B14" i="39"/>
  <c r="N13" i="39"/>
  <c r="N12" i="39"/>
  <c r="N9" i="39"/>
  <c r="N7" i="39"/>
  <c r="A35" i="13"/>
  <c r="N33" i="38"/>
  <c r="B33" i="38"/>
  <c r="N32" i="38"/>
  <c r="B32" i="38"/>
  <c r="N31" i="38"/>
  <c r="B31" i="38"/>
  <c r="N30" i="38"/>
  <c r="B30" i="38"/>
  <c r="N29" i="38"/>
  <c r="B29" i="38"/>
  <c r="N28" i="38"/>
  <c r="B28" i="38"/>
  <c r="N27" i="38"/>
  <c r="B27" i="38"/>
  <c r="N26" i="38"/>
  <c r="B26" i="38"/>
  <c r="N25" i="38"/>
  <c r="B25" i="38"/>
  <c r="N24" i="38"/>
  <c r="B24" i="38"/>
  <c r="N23" i="38"/>
  <c r="B23" i="38"/>
  <c r="N22" i="38"/>
  <c r="B22" i="38"/>
  <c r="N21" i="38"/>
  <c r="B21" i="38"/>
  <c r="N20" i="38"/>
  <c r="B20" i="38"/>
  <c r="N19" i="38"/>
  <c r="B19" i="38"/>
  <c r="N18" i="38"/>
  <c r="B18" i="38"/>
  <c r="N17" i="38"/>
  <c r="B17" i="38"/>
  <c r="N16" i="38"/>
  <c r="B16" i="38"/>
  <c r="N15" i="38"/>
  <c r="B15" i="38"/>
  <c r="N14" i="38"/>
  <c r="L9" i="38" s="1"/>
  <c r="L10" i="38" s="1"/>
  <c r="B14" i="38"/>
  <c r="N13" i="38"/>
  <c r="N12" i="38"/>
  <c r="N9" i="38"/>
  <c r="N7" i="38"/>
  <c r="A34" i="13"/>
  <c r="N32" i="37"/>
  <c r="B32" i="37"/>
  <c r="N31" i="37"/>
  <c r="B31" i="37"/>
  <c r="N30" i="37"/>
  <c r="B30" i="37"/>
  <c r="N29" i="37"/>
  <c r="B29" i="37"/>
  <c r="N28" i="37"/>
  <c r="B28" i="37"/>
  <c r="N27" i="37"/>
  <c r="B27" i="37"/>
  <c r="N26" i="37"/>
  <c r="B26" i="37"/>
  <c r="N25" i="37"/>
  <c r="B25" i="37"/>
  <c r="N24" i="37"/>
  <c r="B24" i="37"/>
  <c r="N23" i="37"/>
  <c r="B23" i="37"/>
  <c r="N22" i="37"/>
  <c r="B22" i="37"/>
  <c r="N21" i="37"/>
  <c r="B21" i="37"/>
  <c r="N20" i="37"/>
  <c r="B20" i="37"/>
  <c r="N19" i="37"/>
  <c r="B19" i="37"/>
  <c r="N18" i="37"/>
  <c r="B18" i="37"/>
  <c r="N17" i="37"/>
  <c r="B17" i="37"/>
  <c r="N16" i="37"/>
  <c r="B16" i="37"/>
  <c r="N15" i="37"/>
  <c r="L9" i="37" s="1"/>
  <c r="L10" i="37" s="1"/>
  <c r="B15" i="37"/>
  <c r="N14" i="37"/>
  <c r="B14" i="37"/>
  <c r="N13" i="37"/>
  <c r="N12" i="37"/>
  <c r="N9" i="37"/>
  <c r="N7" i="37"/>
  <c r="A33" i="13"/>
  <c r="N24" i="36"/>
  <c r="B24" i="36"/>
  <c r="N23" i="36"/>
  <c r="B23" i="36"/>
  <c r="N22" i="36"/>
  <c r="B22" i="36"/>
  <c r="N21" i="36"/>
  <c r="B21" i="36"/>
  <c r="N20" i="36"/>
  <c r="B20" i="36"/>
  <c r="N19" i="36"/>
  <c r="B19" i="36"/>
  <c r="N18" i="36"/>
  <c r="B18" i="36"/>
  <c r="N17" i="36"/>
  <c r="B17" i="36"/>
  <c r="N16" i="36"/>
  <c r="B16" i="36"/>
  <c r="N15" i="36"/>
  <c r="B15" i="36"/>
  <c r="N14" i="36"/>
  <c r="B14" i="36"/>
  <c r="N13" i="36"/>
  <c r="N12" i="36"/>
  <c r="N9" i="36"/>
  <c r="N7" i="36"/>
  <c r="A32" i="13"/>
  <c r="N35" i="35"/>
  <c r="B35" i="35"/>
  <c r="N34" i="35"/>
  <c r="B34" i="35"/>
  <c r="N33" i="35"/>
  <c r="B33" i="35"/>
  <c r="N32" i="35"/>
  <c r="B32" i="35"/>
  <c r="N31" i="35"/>
  <c r="B31" i="35"/>
  <c r="N30" i="35"/>
  <c r="B30" i="35"/>
  <c r="N29" i="35"/>
  <c r="B29" i="35"/>
  <c r="N28" i="35"/>
  <c r="B28" i="35"/>
  <c r="N27" i="35"/>
  <c r="B27" i="35"/>
  <c r="N26" i="35"/>
  <c r="B26" i="35"/>
  <c r="N25" i="35"/>
  <c r="B25" i="35"/>
  <c r="N24" i="35"/>
  <c r="B24" i="35"/>
  <c r="N23" i="35"/>
  <c r="B23" i="35"/>
  <c r="N22" i="35"/>
  <c r="B22" i="35"/>
  <c r="N21" i="35"/>
  <c r="B21" i="35"/>
  <c r="N20" i="35"/>
  <c r="B20" i="35"/>
  <c r="N19" i="35"/>
  <c r="B19" i="35"/>
  <c r="N18" i="35"/>
  <c r="B18" i="35"/>
  <c r="N17" i="35"/>
  <c r="B17" i="35"/>
  <c r="N16" i="35"/>
  <c r="B16" i="35"/>
  <c r="N15" i="35"/>
  <c r="L9" i="35" s="1"/>
  <c r="L10" i="35" s="1"/>
  <c r="B15" i="35"/>
  <c r="N14" i="35"/>
  <c r="B14" i="35"/>
  <c r="N13" i="35"/>
  <c r="N12" i="35"/>
  <c r="N9" i="35"/>
  <c r="N7" i="35"/>
  <c r="A31" i="13"/>
  <c r="N85" i="34"/>
  <c r="B85" i="34"/>
  <c r="N84" i="34"/>
  <c r="B84" i="34"/>
  <c r="N83" i="34"/>
  <c r="B83" i="34"/>
  <c r="N82" i="34"/>
  <c r="B82" i="34"/>
  <c r="N81" i="34"/>
  <c r="B81" i="34"/>
  <c r="N80" i="34"/>
  <c r="B80" i="34"/>
  <c r="N79" i="34"/>
  <c r="B79" i="34"/>
  <c r="N78" i="34"/>
  <c r="B78" i="34"/>
  <c r="N77" i="34"/>
  <c r="B77" i="34"/>
  <c r="N76" i="34"/>
  <c r="B76" i="34"/>
  <c r="N75" i="34"/>
  <c r="B75" i="34"/>
  <c r="N74" i="34"/>
  <c r="B74" i="34"/>
  <c r="N73" i="34"/>
  <c r="B73" i="34"/>
  <c r="N72" i="34"/>
  <c r="B72" i="34"/>
  <c r="N71" i="34"/>
  <c r="B71" i="34"/>
  <c r="N70" i="34"/>
  <c r="B70" i="34"/>
  <c r="N69" i="34"/>
  <c r="B69" i="34"/>
  <c r="N68" i="34"/>
  <c r="B68" i="34"/>
  <c r="N67" i="34"/>
  <c r="B67" i="34"/>
  <c r="N66" i="34"/>
  <c r="B66" i="34"/>
  <c r="N65" i="34"/>
  <c r="B65" i="34"/>
  <c r="N64" i="34"/>
  <c r="B64" i="34"/>
  <c r="N63" i="34"/>
  <c r="B63" i="34"/>
  <c r="N62" i="34"/>
  <c r="B62" i="34"/>
  <c r="N61" i="34"/>
  <c r="B61" i="34"/>
  <c r="N60" i="34"/>
  <c r="B60" i="34"/>
  <c r="N59" i="34"/>
  <c r="B59" i="34"/>
  <c r="N58" i="34"/>
  <c r="B58" i="34"/>
  <c r="N57" i="34"/>
  <c r="B57" i="34"/>
  <c r="N56" i="34"/>
  <c r="B56" i="34"/>
  <c r="N55" i="34"/>
  <c r="B55" i="34"/>
  <c r="N54" i="34"/>
  <c r="B54" i="34"/>
  <c r="N53" i="34"/>
  <c r="B53" i="34"/>
  <c r="N52" i="34"/>
  <c r="B52" i="34"/>
  <c r="N51" i="34"/>
  <c r="B51" i="34"/>
  <c r="N50" i="34"/>
  <c r="B50" i="34"/>
  <c r="N49" i="34"/>
  <c r="B49" i="34"/>
  <c r="N48" i="34"/>
  <c r="B48" i="34"/>
  <c r="N47" i="34"/>
  <c r="B47" i="34"/>
  <c r="N46" i="34"/>
  <c r="B46" i="34"/>
  <c r="N45" i="34"/>
  <c r="B45" i="34"/>
  <c r="N44" i="34"/>
  <c r="B44" i="34"/>
  <c r="N43" i="34"/>
  <c r="B43" i="34"/>
  <c r="N42" i="34"/>
  <c r="B42" i="34"/>
  <c r="N41" i="34"/>
  <c r="B41" i="34"/>
  <c r="N40" i="34"/>
  <c r="B40" i="34"/>
  <c r="N39" i="34"/>
  <c r="B39" i="34"/>
  <c r="N38" i="34"/>
  <c r="B38" i="34"/>
  <c r="N37" i="34"/>
  <c r="B37" i="34"/>
  <c r="N36" i="34"/>
  <c r="B36" i="34"/>
  <c r="N35" i="34"/>
  <c r="B35" i="34"/>
  <c r="N34" i="34"/>
  <c r="B34" i="34"/>
  <c r="N33" i="34"/>
  <c r="B33" i="34"/>
  <c r="N32" i="34"/>
  <c r="B32" i="34"/>
  <c r="N31" i="34"/>
  <c r="B31" i="34"/>
  <c r="N30" i="34"/>
  <c r="B30" i="34"/>
  <c r="N29" i="34"/>
  <c r="B29" i="34"/>
  <c r="N28" i="34"/>
  <c r="B28" i="34"/>
  <c r="N27" i="34"/>
  <c r="B27" i="34"/>
  <c r="N26" i="34"/>
  <c r="B26" i="34"/>
  <c r="N25" i="34"/>
  <c r="B25" i="34"/>
  <c r="N24" i="34"/>
  <c r="B24" i="34"/>
  <c r="N23" i="34"/>
  <c r="B23" i="34"/>
  <c r="N22" i="34"/>
  <c r="B22" i="34"/>
  <c r="N21" i="34"/>
  <c r="B21" i="34"/>
  <c r="N20" i="34"/>
  <c r="B20" i="34"/>
  <c r="N19" i="34"/>
  <c r="B19" i="34"/>
  <c r="N18" i="34"/>
  <c r="B18" i="34"/>
  <c r="N17" i="34"/>
  <c r="B17" i="34"/>
  <c r="N16" i="34"/>
  <c r="B16" i="34"/>
  <c r="N15" i="34"/>
  <c r="B15" i="34"/>
  <c r="N14" i="34"/>
  <c r="L9" i="34" s="1"/>
  <c r="L10" i="34" s="1"/>
  <c r="B14" i="34"/>
  <c r="N13" i="34"/>
  <c r="N12" i="34"/>
  <c r="N9" i="34"/>
  <c r="N7" i="34"/>
  <c r="A30" i="13"/>
  <c r="N30" i="33"/>
  <c r="B30" i="33"/>
  <c r="N29" i="33"/>
  <c r="B29" i="33"/>
  <c r="N28" i="33"/>
  <c r="B28" i="33"/>
  <c r="N27" i="33"/>
  <c r="B27" i="33"/>
  <c r="N26" i="33"/>
  <c r="B26" i="33"/>
  <c r="N25" i="33"/>
  <c r="B25" i="33"/>
  <c r="N24" i="33"/>
  <c r="B24" i="33"/>
  <c r="N23" i="33"/>
  <c r="B23" i="33"/>
  <c r="N22" i="33"/>
  <c r="B22" i="33"/>
  <c r="N21" i="33"/>
  <c r="B21" i="33"/>
  <c r="N20" i="33"/>
  <c r="B20" i="33"/>
  <c r="N19" i="33"/>
  <c r="B19" i="33"/>
  <c r="N18" i="33"/>
  <c r="B18" i="33"/>
  <c r="N17" i="33"/>
  <c r="B17" i="33"/>
  <c r="N16" i="33"/>
  <c r="B16" i="33"/>
  <c r="N15" i="33"/>
  <c r="L9" i="33" s="1"/>
  <c r="L10" i="33" s="1"/>
  <c r="B15" i="33"/>
  <c r="N14" i="33"/>
  <c r="B14" i="33"/>
  <c r="N13" i="33"/>
  <c r="N12" i="33"/>
  <c r="N9" i="33"/>
  <c r="N7" i="33"/>
  <c r="A29" i="13"/>
  <c r="N37" i="32"/>
  <c r="B37" i="32"/>
  <c r="N36" i="32"/>
  <c r="B36" i="32"/>
  <c r="N35" i="32"/>
  <c r="B35" i="32"/>
  <c r="N34" i="32"/>
  <c r="B34" i="32"/>
  <c r="N33" i="32"/>
  <c r="B33" i="32"/>
  <c r="N32" i="32"/>
  <c r="B32" i="32"/>
  <c r="N31" i="32"/>
  <c r="B31" i="32"/>
  <c r="N30" i="32"/>
  <c r="B30" i="32"/>
  <c r="N29" i="32"/>
  <c r="B29" i="32"/>
  <c r="N28" i="32"/>
  <c r="B28" i="32"/>
  <c r="N27" i="32"/>
  <c r="B27" i="32"/>
  <c r="N26" i="32"/>
  <c r="B26" i="32"/>
  <c r="N25" i="32"/>
  <c r="B25" i="32"/>
  <c r="N24" i="32"/>
  <c r="B24" i="32"/>
  <c r="N23" i="32"/>
  <c r="B23" i="32"/>
  <c r="N22" i="32"/>
  <c r="B22" i="32"/>
  <c r="N21" i="32"/>
  <c r="B21" i="32"/>
  <c r="N20" i="32"/>
  <c r="B20" i="32"/>
  <c r="N19" i="32"/>
  <c r="B19" i="32"/>
  <c r="N18" i="32"/>
  <c r="B18" i="32"/>
  <c r="N17" i="32"/>
  <c r="B17" i="32"/>
  <c r="N16" i="32"/>
  <c r="B16" i="32"/>
  <c r="N15" i="32"/>
  <c r="B15" i="32"/>
  <c r="N14" i="32"/>
  <c r="L9" i="32" s="1"/>
  <c r="L10" i="32" s="1"/>
  <c r="B14" i="32"/>
  <c r="N13" i="32"/>
  <c r="N12" i="32"/>
  <c r="N9" i="32"/>
  <c r="N7" i="32"/>
  <c r="A28" i="13"/>
  <c r="N28" i="31"/>
  <c r="B28" i="31"/>
  <c r="N27" i="31"/>
  <c r="B27" i="31"/>
  <c r="N26" i="31"/>
  <c r="B26" i="31"/>
  <c r="N25" i="31"/>
  <c r="B25" i="31"/>
  <c r="N24" i="31"/>
  <c r="B24" i="31"/>
  <c r="N23" i="31"/>
  <c r="B23" i="31"/>
  <c r="N22" i="31"/>
  <c r="B22" i="31"/>
  <c r="N21" i="31"/>
  <c r="B21" i="31"/>
  <c r="N20" i="31"/>
  <c r="B20" i="31"/>
  <c r="N19" i="31"/>
  <c r="B19" i="31"/>
  <c r="N18" i="31"/>
  <c r="B18" i="31"/>
  <c r="N17" i="31"/>
  <c r="B17" i="31"/>
  <c r="N16" i="31"/>
  <c r="B16" i="31"/>
  <c r="N15" i="31"/>
  <c r="L9" i="31" s="1"/>
  <c r="L10" i="31" s="1"/>
  <c r="B15" i="31"/>
  <c r="N14" i="31"/>
  <c r="B14" i="31"/>
  <c r="N13" i="31"/>
  <c r="N12" i="31"/>
  <c r="N9" i="31"/>
  <c r="N7" i="31"/>
  <c r="A27" i="13"/>
  <c r="N43" i="30"/>
  <c r="B43" i="30"/>
  <c r="N42" i="30"/>
  <c r="B42" i="30"/>
  <c r="N41" i="30"/>
  <c r="B41" i="30"/>
  <c r="N40" i="30"/>
  <c r="B40" i="30"/>
  <c r="N39" i="30"/>
  <c r="B39" i="30"/>
  <c r="N38" i="30"/>
  <c r="B38" i="30"/>
  <c r="N37" i="30"/>
  <c r="B37" i="30"/>
  <c r="N36" i="30"/>
  <c r="B36" i="30"/>
  <c r="N35" i="30"/>
  <c r="B35" i="30"/>
  <c r="N34" i="30"/>
  <c r="B34" i="30"/>
  <c r="N33" i="30"/>
  <c r="B33" i="30"/>
  <c r="N32" i="30"/>
  <c r="B32" i="30"/>
  <c r="N31" i="30"/>
  <c r="B31" i="30"/>
  <c r="N30" i="30"/>
  <c r="B30" i="30"/>
  <c r="N29" i="30"/>
  <c r="B29" i="30"/>
  <c r="N28" i="30"/>
  <c r="B28" i="30"/>
  <c r="N27" i="30"/>
  <c r="B27" i="30"/>
  <c r="N26" i="30"/>
  <c r="B26" i="30"/>
  <c r="N25" i="30"/>
  <c r="B25" i="30"/>
  <c r="N24" i="30"/>
  <c r="B24" i="30"/>
  <c r="N23" i="30"/>
  <c r="B23" i="30"/>
  <c r="N22" i="30"/>
  <c r="B22" i="30"/>
  <c r="N21" i="30"/>
  <c r="B21" i="30"/>
  <c r="N20" i="30"/>
  <c r="B20" i="30"/>
  <c r="N19" i="30"/>
  <c r="B19" i="30"/>
  <c r="N18" i="30"/>
  <c r="B18" i="30"/>
  <c r="N17" i="30"/>
  <c r="B17" i="30"/>
  <c r="N16" i="30"/>
  <c r="B16" i="30"/>
  <c r="N15" i="30"/>
  <c r="B15" i="30"/>
  <c r="N14" i="30"/>
  <c r="L9" i="30" s="1"/>
  <c r="L10" i="30" s="1"/>
  <c r="B14" i="30"/>
  <c r="N13" i="30"/>
  <c r="N12" i="30"/>
  <c r="N9" i="30"/>
  <c r="N7" i="30"/>
  <c r="A26" i="13"/>
  <c r="N39" i="29"/>
  <c r="B39" i="29"/>
  <c r="N38" i="29"/>
  <c r="B38" i="29"/>
  <c r="N37" i="29"/>
  <c r="B37" i="29"/>
  <c r="N36" i="29"/>
  <c r="B36" i="29"/>
  <c r="N35" i="29"/>
  <c r="B35" i="29"/>
  <c r="N34" i="29"/>
  <c r="B34" i="29"/>
  <c r="N33" i="29"/>
  <c r="B33" i="29"/>
  <c r="N32" i="29"/>
  <c r="B32" i="29"/>
  <c r="N31" i="29"/>
  <c r="B31" i="29"/>
  <c r="N30" i="29"/>
  <c r="B30" i="29"/>
  <c r="N29" i="29"/>
  <c r="B29" i="29"/>
  <c r="N28" i="29"/>
  <c r="B28" i="29"/>
  <c r="N27" i="29"/>
  <c r="B27" i="29"/>
  <c r="N26" i="29"/>
  <c r="B26" i="29"/>
  <c r="N25" i="29"/>
  <c r="B25" i="29"/>
  <c r="N24" i="29"/>
  <c r="B24" i="29"/>
  <c r="N23" i="29"/>
  <c r="B23" i="29"/>
  <c r="N22" i="29"/>
  <c r="B22" i="29"/>
  <c r="N21" i="29"/>
  <c r="B21" i="29"/>
  <c r="N20" i="29"/>
  <c r="B20" i="29"/>
  <c r="N19" i="29"/>
  <c r="B19" i="29"/>
  <c r="N18" i="29"/>
  <c r="B18" i="29"/>
  <c r="N17" i="29"/>
  <c r="B17" i="29"/>
  <c r="N16" i="29"/>
  <c r="B16" i="29"/>
  <c r="N15" i="29"/>
  <c r="B15" i="29"/>
  <c r="N14" i="29"/>
  <c r="L9" i="29" s="1"/>
  <c r="L10" i="29" s="1"/>
  <c r="B14" i="29"/>
  <c r="N13" i="29"/>
  <c r="N12" i="29"/>
  <c r="N9" i="29"/>
  <c r="N7" i="29"/>
  <c r="A25" i="13"/>
  <c r="N35" i="28"/>
  <c r="B35" i="28"/>
  <c r="N34" i="28"/>
  <c r="B34" i="28"/>
  <c r="N33" i="28"/>
  <c r="B33" i="28"/>
  <c r="N32" i="28"/>
  <c r="B32" i="28"/>
  <c r="N31" i="28"/>
  <c r="B31" i="28"/>
  <c r="N30" i="28"/>
  <c r="B30" i="28"/>
  <c r="N29" i="28"/>
  <c r="B29" i="28"/>
  <c r="N28" i="28"/>
  <c r="B28" i="28"/>
  <c r="N27" i="28"/>
  <c r="B27" i="28"/>
  <c r="N25" i="28"/>
  <c r="B25" i="28"/>
  <c r="N24" i="28"/>
  <c r="B24" i="28"/>
  <c r="N23" i="28"/>
  <c r="B23" i="28"/>
  <c r="N22" i="28"/>
  <c r="B22" i="28"/>
  <c r="N21" i="28"/>
  <c r="B21" i="28"/>
  <c r="N20" i="28"/>
  <c r="B20" i="28"/>
  <c r="N19" i="28"/>
  <c r="B19" i="28"/>
  <c r="N18" i="28"/>
  <c r="B18" i="28"/>
  <c r="N17" i="28"/>
  <c r="B17" i="28"/>
  <c r="N16" i="28"/>
  <c r="B16" i="28"/>
  <c r="N15" i="28"/>
  <c r="B15" i="28"/>
  <c r="N14" i="28"/>
  <c r="B14" i="28"/>
  <c r="N13" i="28"/>
  <c r="N12" i="28"/>
  <c r="N9" i="28"/>
  <c r="N7" i="28"/>
  <c r="A24" i="13"/>
  <c r="N36" i="27"/>
  <c r="B36" i="27"/>
  <c r="N35" i="27"/>
  <c r="B35" i="27"/>
  <c r="N34" i="27"/>
  <c r="B34" i="27"/>
  <c r="N33" i="27"/>
  <c r="B33" i="27"/>
  <c r="N32" i="27"/>
  <c r="B32" i="27"/>
  <c r="N31" i="27"/>
  <c r="B31" i="27"/>
  <c r="N30" i="27"/>
  <c r="B30" i="27"/>
  <c r="N29" i="27"/>
  <c r="B29" i="27"/>
  <c r="N28" i="27"/>
  <c r="B28" i="27"/>
  <c r="N27" i="27"/>
  <c r="B27" i="27"/>
  <c r="N25" i="27"/>
  <c r="B25" i="27"/>
  <c r="N23" i="27"/>
  <c r="B23" i="27"/>
  <c r="N22" i="27"/>
  <c r="B22" i="27"/>
  <c r="N21" i="27"/>
  <c r="B21" i="27"/>
  <c r="N20" i="27"/>
  <c r="B20" i="27"/>
  <c r="N19" i="27"/>
  <c r="B19" i="27"/>
  <c r="N18" i="27"/>
  <c r="B18" i="27"/>
  <c r="N17" i="27"/>
  <c r="B17" i="27"/>
  <c r="N16" i="27"/>
  <c r="B16" i="27"/>
  <c r="N15" i="27"/>
  <c r="L9" i="27" s="1"/>
  <c r="L10" i="27" s="1"/>
  <c r="B15" i="27"/>
  <c r="N14" i="27"/>
  <c r="B14" i="27"/>
  <c r="N13" i="27"/>
  <c r="N12" i="27"/>
  <c r="N9" i="27"/>
  <c r="N7" i="27"/>
  <c r="A23" i="13"/>
  <c r="N36" i="26"/>
  <c r="B36" i="26"/>
  <c r="N35" i="26"/>
  <c r="B35" i="26"/>
  <c r="N34" i="26"/>
  <c r="B34" i="26"/>
  <c r="N33" i="26"/>
  <c r="B33" i="26"/>
  <c r="N32" i="26"/>
  <c r="B32" i="26"/>
  <c r="N31" i="26"/>
  <c r="B31" i="26"/>
  <c r="N30" i="26"/>
  <c r="B30" i="26"/>
  <c r="N29" i="26"/>
  <c r="B29" i="26"/>
  <c r="N28" i="26"/>
  <c r="B28" i="26"/>
  <c r="N27" i="26"/>
  <c r="B27" i="26"/>
  <c r="N26" i="26"/>
  <c r="B26" i="26"/>
  <c r="N25" i="26"/>
  <c r="B25" i="26"/>
  <c r="N24" i="26"/>
  <c r="B24" i="26"/>
  <c r="N23" i="26"/>
  <c r="B23" i="26"/>
  <c r="N22" i="26"/>
  <c r="B22" i="26"/>
  <c r="N21" i="26"/>
  <c r="B21" i="26"/>
  <c r="N20" i="26"/>
  <c r="B20" i="26"/>
  <c r="N19" i="26"/>
  <c r="B19" i="26"/>
  <c r="N18" i="26"/>
  <c r="B18" i="26"/>
  <c r="N17" i="26"/>
  <c r="B17" i="26"/>
  <c r="N16" i="26"/>
  <c r="B16" i="26"/>
  <c r="N15" i="26"/>
  <c r="B15" i="26"/>
  <c r="N14" i="26"/>
  <c r="B14" i="26"/>
  <c r="N13" i="26"/>
  <c r="N12" i="26"/>
  <c r="N9" i="26"/>
  <c r="N7" i="26"/>
  <c r="A22" i="13"/>
  <c r="N45" i="25"/>
  <c r="B45" i="25"/>
  <c r="N44" i="25"/>
  <c r="B44" i="25"/>
  <c r="N43" i="25"/>
  <c r="B43" i="25"/>
  <c r="N42" i="25"/>
  <c r="B42" i="25"/>
  <c r="N41" i="25"/>
  <c r="B41" i="25"/>
  <c r="N40" i="25"/>
  <c r="B40" i="25"/>
  <c r="N39" i="25"/>
  <c r="B39" i="25"/>
  <c r="N38" i="25"/>
  <c r="B38" i="25"/>
  <c r="N37" i="25"/>
  <c r="B37" i="25"/>
  <c r="N36" i="25"/>
  <c r="B36" i="25"/>
  <c r="N35" i="25"/>
  <c r="B35" i="25"/>
  <c r="N34" i="25"/>
  <c r="B34" i="25"/>
  <c r="N33" i="25"/>
  <c r="B33" i="25"/>
  <c r="N32" i="25"/>
  <c r="B32" i="25"/>
  <c r="N31" i="25"/>
  <c r="B31" i="25"/>
  <c r="N30" i="25"/>
  <c r="B30" i="25"/>
  <c r="N29" i="25"/>
  <c r="B29" i="25"/>
  <c r="N28" i="25"/>
  <c r="B28" i="25"/>
  <c r="N27" i="25"/>
  <c r="B27" i="25"/>
  <c r="N26" i="25"/>
  <c r="B26" i="25"/>
  <c r="N25" i="25"/>
  <c r="B25" i="25"/>
  <c r="N24" i="25"/>
  <c r="B24" i="25"/>
  <c r="N23" i="25"/>
  <c r="B23" i="25"/>
  <c r="N22" i="25"/>
  <c r="B22" i="25"/>
  <c r="N21" i="25"/>
  <c r="B21" i="25"/>
  <c r="N20" i="25"/>
  <c r="B20" i="25"/>
  <c r="N19" i="25"/>
  <c r="B19" i="25"/>
  <c r="N18" i="25"/>
  <c r="B18" i="25"/>
  <c r="N17" i="25"/>
  <c r="B17" i="25"/>
  <c r="N16" i="25"/>
  <c r="B16" i="25"/>
  <c r="N15" i="25"/>
  <c r="L9" i="25" s="1"/>
  <c r="L10" i="25" s="1"/>
  <c r="B15" i="25"/>
  <c r="N14" i="25"/>
  <c r="B14" i="25"/>
  <c r="N13" i="25"/>
  <c r="N12" i="25"/>
  <c r="N9" i="25"/>
  <c r="N7" i="25"/>
  <c r="A21" i="13"/>
  <c r="N24" i="24"/>
  <c r="B24" i="24"/>
  <c r="N23" i="24"/>
  <c r="B23" i="24"/>
  <c r="N22" i="24"/>
  <c r="B22" i="24"/>
  <c r="N21" i="24"/>
  <c r="B21" i="24"/>
  <c r="N20" i="24"/>
  <c r="B20" i="24"/>
  <c r="N19" i="24"/>
  <c r="B19" i="24"/>
  <c r="N18" i="24"/>
  <c r="B18" i="24"/>
  <c r="N17" i="24"/>
  <c r="B17" i="24"/>
  <c r="N16" i="24"/>
  <c r="B16" i="24"/>
  <c r="N15" i="24"/>
  <c r="B15" i="24"/>
  <c r="N14" i="24"/>
  <c r="B14" i="24"/>
  <c r="N13" i="24"/>
  <c r="N12" i="24"/>
  <c r="N9" i="24"/>
  <c r="N7" i="24"/>
  <c r="A20" i="13"/>
  <c r="N43" i="23"/>
  <c r="B43" i="23"/>
  <c r="N42" i="23"/>
  <c r="B42" i="23"/>
  <c r="N41" i="23"/>
  <c r="B41" i="23"/>
  <c r="N40" i="23"/>
  <c r="B40" i="23"/>
  <c r="N39" i="23"/>
  <c r="B39" i="23"/>
  <c r="N38" i="23"/>
  <c r="B38" i="23"/>
  <c r="N37" i="23"/>
  <c r="B37" i="23"/>
  <c r="N36" i="23"/>
  <c r="B36" i="23"/>
  <c r="N35" i="23"/>
  <c r="B35" i="23"/>
  <c r="N34" i="23"/>
  <c r="B34" i="23"/>
  <c r="N33" i="23"/>
  <c r="B33" i="23"/>
  <c r="N32" i="23"/>
  <c r="B32" i="23"/>
  <c r="N31" i="23"/>
  <c r="B31" i="23"/>
  <c r="N30" i="23"/>
  <c r="B30" i="23"/>
  <c r="N29" i="23"/>
  <c r="B29" i="23"/>
  <c r="N28" i="23"/>
  <c r="B28" i="23"/>
  <c r="N27" i="23"/>
  <c r="B27" i="23"/>
  <c r="N26" i="23"/>
  <c r="B26" i="23"/>
  <c r="N25" i="23"/>
  <c r="B25" i="23"/>
  <c r="N24" i="23"/>
  <c r="B24" i="23"/>
  <c r="N23" i="23"/>
  <c r="B23" i="23"/>
  <c r="N22" i="23"/>
  <c r="B22" i="23"/>
  <c r="N21" i="23"/>
  <c r="B21" i="23"/>
  <c r="N20" i="23"/>
  <c r="B20" i="23"/>
  <c r="N19" i="23"/>
  <c r="B19" i="23"/>
  <c r="N18" i="23"/>
  <c r="B18" i="23"/>
  <c r="N17" i="23"/>
  <c r="B17" i="23"/>
  <c r="N16" i="23"/>
  <c r="B16" i="23"/>
  <c r="N15" i="23"/>
  <c r="L9" i="23" s="1"/>
  <c r="L10" i="23" s="1"/>
  <c r="B15" i="23"/>
  <c r="N14" i="23"/>
  <c r="B14" i="23"/>
  <c r="N13" i="23"/>
  <c r="N12" i="23"/>
  <c r="N9" i="23"/>
  <c r="N7" i="23"/>
  <c r="A19" i="13"/>
  <c r="N25" i="22"/>
  <c r="B25" i="22"/>
  <c r="N24" i="22"/>
  <c r="B24" i="22"/>
  <c r="N23" i="22"/>
  <c r="B23" i="22"/>
  <c r="N22" i="22"/>
  <c r="B22" i="22"/>
  <c r="N21" i="22"/>
  <c r="B21" i="22"/>
  <c r="N20" i="22"/>
  <c r="B20" i="22"/>
  <c r="N19" i="22"/>
  <c r="B19" i="22"/>
  <c r="N18" i="22"/>
  <c r="B18" i="22"/>
  <c r="N17" i="22"/>
  <c r="B17" i="22"/>
  <c r="N16" i="22"/>
  <c r="B16" i="22"/>
  <c r="N15" i="22"/>
  <c r="B15" i="22"/>
  <c r="N14" i="22"/>
  <c r="L9" i="22" s="1"/>
  <c r="L10" i="22" s="1"/>
  <c r="B14" i="22"/>
  <c r="N13" i="22"/>
  <c r="N12" i="22"/>
  <c r="N9" i="22"/>
  <c r="N7" i="22"/>
  <c r="A18" i="13"/>
  <c r="N28" i="21"/>
  <c r="B28" i="21"/>
  <c r="N27" i="21"/>
  <c r="B27" i="21"/>
  <c r="N26" i="21"/>
  <c r="B26" i="21"/>
  <c r="N25" i="21"/>
  <c r="B25" i="21"/>
  <c r="N24" i="21"/>
  <c r="B24" i="21"/>
  <c r="N23" i="21"/>
  <c r="B23" i="21"/>
  <c r="N22" i="21"/>
  <c r="B22" i="21"/>
  <c r="N21" i="21"/>
  <c r="B21" i="21"/>
  <c r="N20" i="21"/>
  <c r="B20" i="21"/>
  <c r="N19" i="21"/>
  <c r="B19" i="21"/>
  <c r="N18" i="21"/>
  <c r="B18" i="21"/>
  <c r="N17" i="21"/>
  <c r="B17" i="21"/>
  <c r="N16" i="21"/>
  <c r="B16" i="21"/>
  <c r="N15" i="21"/>
  <c r="L9" i="21" s="1"/>
  <c r="L10" i="21" s="1"/>
  <c r="B15" i="21"/>
  <c r="N14" i="21"/>
  <c r="B14" i="21"/>
  <c r="N13" i="21"/>
  <c r="N12" i="21"/>
  <c r="N9" i="21"/>
  <c r="N7" i="21"/>
  <c r="A17" i="13"/>
  <c r="N42" i="20"/>
  <c r="B42" i="20"/>
  <c r="N41" i="20"/>
  <c r="B41" i="20"/>
  <c r="N40" i="20"/>
  <c r="B40" i="20"/>
  <c r="N39" i="20"/>
  <c r="B39" i="20"/>
  <c r="N38" i="20"/>
  <c r="B38" i="20"/>
  <c r="N37" i="20"/>
  <c r="B37" i="20"/>
  <c r="N36" i="20"/>
  <c r="B36" i="20"/>
  <c r="N35" i="20"/>
  <c r="B35" i="20"/>
  <c r="N34" i="20"/>
  <c r="B34" i="20"/>
  <c r="N33" i="20"/>
  <c r="B33" i="20"/>
  <c r="N32" i="20"/>
  <c r="B32" i="20"/>
  <c r="N31" i="20"/>
  <c r="B31" i="20"/>
  <c r="N30" i="20"/>
  <c r="B30" i="20"/>
  <c r="N29" i="20"/>
  <c r="B29" i="20"/>
  <c r="N28" i="20"/>
  <c r="B28" i="20"/>
  <c r="N27" i="20"/>
  <c r="B27" i="20"/>
  <c r="N26" i="20"/>
  <c r="B26" i="20"/>
  <c r="N25" i="20"/>
  <c r="B25" i="20"/>
  <c r="N24" i="20"/>
  <c r="B24" i="20"/>
  <c r="N23" i="20"/>
  <c r="B23" i="20"/>
  <c r="N22" i="20"/>
  <c r="B22" i="20"/>
  <c r="N21" i="20"/>
  <c r="B21" i="20"/>
  <c r="N20" i="20"/>
  <c r="B20" i="20"/>
  <c r="N19" i="20"/>
  <c r="B19" i="20"/>
  <c r="N18" i="20"/>
  <c r="B18" i="20"/>
  <c r="N17" i="20"/>
  <c r="B17" i="20"/>
  <c r="N16" i="20"/>
  <c r="B16" i="20"/>
  <c r="N15" i="20"/>
  <c r="B15" i="20"/>
  <c r="N14" i="20"/>
  <c r="B14" i="20"/>
  <c r="N13" i="20"/>
  <c r="N12" i="20"/>
  <c r="N9" i="20"/>
  <c r="N7" i="20"/>
  <c r="A16" i="13"/>
  <c r="N48" i="19"/>
  <c r="B48" i="19"/>
  <c r="N47" i="19"/>
  <c r="B47" i="19"/>
  <c r="N46" i="19"/>
  <c r="B46" i="19"/>
  <c r="N45" i="19"/>
  <c r="B45" i="19"/>
  <c r="N44" i="19"/>
  <c r="B44" i="19"/>
  <c r="N43" i="19"/>
  <c r="B43" i="19"/>
  <c r="N42" i="19"/>
  <c r="B42" i="19"/>
  <c r="N41" i="19"/>
  <c r="B41" i="19"/>
  <c r="N40" i="19"/>
  <c r="B40" i="19"/>
  <c r="N39" i="19"/>
  <c r="B39" i="19"/>
  <c r="N38" i="19"/>
  <c r="B38" i="19"/>
  <c r="N37" i="19"/>
  <c r="B37" i="19"/>
  <c r="N36" i="19"/>
  <c r="B36" i="19"/>
  <c r="N35" i="19"/>
  <c r="B35" i="19"/>
  <c r="N34" i="19"/>
  <c r="B34" i="19"/>
  <c r="N33" i="19"/>
  <c r="B33" i="19"/>
  <c r="N32" i="19"/>
  <c r="B32" i="19"/>
  <c r="N31" i="19"/>
  <c r="B31" i="19"/>
  <c r="N30" i="19"/>
  <c r="B30" i="19"/>
  <c r="N29" i="19"/>
  <c r="B29" i="19"/>
  <c r="N28" i="19"/>
  <c r="B28" i="19"/>
  <c r="N27" i="19"/>
  <c r="B27" i="19"/>
  <c r="N26" i="19"/>
  <c r="B26" i="19"/>
  <c r="N25" i="19"/>
  <c r="B25" i="19"/>
  <c r="N24" i="19"/>
  <c r="B24" i="19"/>
  <c r="N23" i="19"/>
  <c r="B23" i="19"/>
  <c r="N22" i="19"/>
  <c r="B22" i="19"/>
  <c r="N21" i="19"/>
  <c r="B21" i="19"/>
  <c r="N20" i="19"/>
  <c r="B20" i="19"/>
  <c r="N19" i="19"/>
  <c r="B19" i="19"/>
  <c r="N18" i="19"/>
  <c r="B18" i="19"/>
  <c r="N17" i="19"/>
  <c r="B17" i="19"/>
  <c r="N16" i="19"/>
  <c r="B16" i="19"/>
  <c r="N15" i="19"/>
  <c r="B15" i="19"/>
  <c r="N14" i="19"/>
  <c r="L9" i="19" s="1"/>
  <c r="L10" i="19" s="1"/>
  <c r="B14" i="19"/>
  <c r="N13" i="19"/>
  <c r="N12" i="19"/>
  <c r="N9" i="19"/>
  <c r="N7" i="19"/>
  <c r="A15" i="13"/>
  <c r="N32" i="18"/>
  <c r="B32" i="18"/>
  <c r="N31" i="18"/>
  <c r="B31" i="18"/>
  <c r="N30" i="18"/>
  <c r="B30" i="18"/>
  <c r="N29" i="18"/>
  <c r="B29" i="18"/>
  <c r="N28" i="18"/>
  <c r="B28" i="18"/>
  <c r="N27" i="18"/>
  <c r="B27" i="18"/>
  <c r="N26" i="18"/>
  <c r="B26" i="18"/>
  <c r="N25" i="18"/>
  <c r="B25" i="18"/>
  <c r="N24" i="18"/>
  <c r="B24" i="18"/>
  <c r="B23" i="18"/>
  <c r="N22" i="18"/>
  <c r="B22" i="18"/>
  <c r="N21" i="18"/>
  <c r="B21" i="18"/>
  <c r="N20" i="18"/>
  <c r="B20" i="18"/>
  <c r="N19" i="18"/>
  <c r="B19" i="18"/>
  <c r="N18" i="18"/>
  <c r="B18" i="18"/>
  <c r="N17" i="18"/>
  <c r="B17" i="18"/>
  <c r="N16" i="18"/>
  <c r="B16" i="18"/>
  <c r="N15" i="18"/>
  <c r="B15" i="18"/>
  <c r="N14" i="18"/>
  <c r="L9" i="18" s="1"/>
  <c r="L10" i="18" s="1"/>
  <c r="B14" i="18"/>
  <c r="N13" i="18"/>
  <c r="N12" i="18"/>
  <c r="N9" i="18"/>
  <c r="N7" i="18"/>
  <c r="A14" i="13"/>
  <c r="N40" i="17"/>
  <c r="B40" i="17"/>
  <c r="N39" i="17"/>
  <c r="B39" i="17"/>
  <c r="N38" i="17"/>
  <c r="B38" i="17"/>
  <c r="N37" i="17"/>
  <c r="B37" i="17"/>
  <c r="N36" i="17"/>
  <c r="B36" i="17"/>
  <c r="N35" i="17"/>
  <c r="B35" i="17"/>
  <c r="N34" i="17"/>
  <c r="B34" i="17"/>
  <c r="N33" i="17"/>
  <c r="B33" i="17"/>
  <c r="N32" i="17"/>
  <c r="B32" i="17"/>
  <c r="N31" i="17"/>
  <c r="B31" i="17"/>
  <c r="N30" i="17"/>
  <c r="B30" i="17"/>
  <c r="N29" i="17"/>
  <c r="B29" i="17"/>
  <c r="N28" i="17"/>
  <c r="B28" i="17"/>
  <c r="N27" i="17"/>
  <c r="B27" i="17"/>
  <c r="N26" i="17"/>
  <c r="B26" i="17"/>
  <c r="N25" i="17"/>
  <c r="B25" i="17"/>
  <c r="N24" i="17"/>
  <c r="B24" i="17"/>
  <c r="N23" i="17"/>
  <c r="B23" i="17"/>
  <c r="N22" i="17"/>
  <c r="B22" i="17"/>
  <c r="N21" i="17"/>
  <c r="B21" i="17"/>
  <c r="N20" i="17"/>
  <c r="B20" i="17"/>
  <c r="N19" i="17"/>
  <c r="B19" i="17"/>
  <c r="N18" i="17"/>
  <c r="B18" i="17"/>
  <c r="N17" i="17"/>
  <c r="B17" i="17"/>
  <c r="N16" i="17"/>
  <c r="B16" i="17"/>
  <c r="N15" i="17"/>
  <c r="L9" i="17" s="1"/>
  <c r="L10" i="17" s="1"/>
  <c r="B15" i="17"/>
  <c r="N14" i="17"/>
  <c r="B14" i="17"/>
  <c r="N13" i="17"/>
  <c r="N12" i="17"/>
  <c r="N9" i="17"/>
  <c r="N7" i="17"/>
  <c r="A13" i="13"/>
  <c r="N37" i="16"/>
  <c r="B37" i="16"/>
  <c r="N36" i="16"/>
  <c r="B36" i="16"/>
  <c r="N35" i="16"/>
  <c r="B35" i="16"/>
  <c r="N34" i="16"/>
  <c r="B34" i="16"/>
  <c r="N33" i="16"/>
  <c r="B33" i="16"/>
  <c r="N32" i="16"/>
  <c r="B32" i="16"/>
  <c r="N31" i="16"/>
  <c r="B31" i="16"/>
  <c r="N30" i="16"/>
  <c r="B30" i="16"/>
  <c r="N29" i="16"/>
  <c r="B29" i="16"/>
  <c r="N28" i="16"/>
  <c r="B28" i="16"/>
  <c r="N27" i="16"/>
  <c r="B27" i="16"/>
  <c r="N26" i="16"/>
  <c r="B26" i="16"/>
  <c r="N25" i="16"/>
  <c r="B25" i="16"/>
  <c r="N24" i="16"/>
  <c r="B24" i="16"/>
  <c r="N23" i="16"/>
  <c r="B23" i="16"/>
  <c r="N22" i="16"/>
  <c r="B22" i="16"/>
  <c r="N21" i="16"/>
  <c r="B21" i="16"/>
  <c r="N20" i="16"/>
  <c r="B20" i="16"/>
  <c r="N19" i="16"/>
  <c r="B19" i="16"/>
  <c r="N18" i="16"/>
  <c r="B18" i="16"/>
  <c r="N17" i="16"/>
  <c r="B17" i="16"/>
  <c r="N16" i="16"/>
  <c r="B16" i="16"/>
  <c r="N15" i="16"/>
  <c r="B15" i="16"/>
  <c r="N14" i="16"/>
  <c r="L9" i="16" s="1"/>
  <c r="L10" i="16" s="1"/>
  <c r="B14" i="16"/>
  <c r="N13" i="16"/>
  <c r="N12" i="16"/>
  <c r="N9" i="16"/>
  <c r="N7" i="16"/>
  <c r="A12" i="13"/>
  <c r="N49" i="15"/>
  <c r="B49" i="15"/>
  <c r="N48" i="15"/>
  <c r="B48" i="15"/>
  <c r="N47" i="15"/>
  <c r="B47" i="15"/>
  <c r="N46" i="15"/>
  <c r="B46" i="15"/>
  <c r="N45" i="15"/>
  <c r="B45" i="15"/>
  <c r="N44" i="15"/>
  <c r="B44" i="15"/>
  <c r="N43" i="15"/>
  <c r="B43" i="15"/>
  <c r="N42" i="15"/>
  <c r="B42" i="15"/>
  <c r="N41" i="15"/>
  <c r="B41" i="15"/>
  <c r="N40" i="15"/>
  <c r="B40" i="15"/>
  <c r="N39" i="15"/>
  <c r="B39" i="15"/>
  <c r="N38" i="15"/>
  <c r="B38" i="15"/>
  <c r="N37" i="15"/>
  <c r="B37" i="15"/>
  <c r="N36" i="15"/>
  <c r="B36" i="15"/>
  <c r="N35" i="15"/>
  <c r="B35" i="15"/>
  <c r="N34" i="15"/>
  <c r="B34" i="15"/>
  <c r="N33" i="15"/>
  <c r="B33" i="15"/>
  <c r="N32" i="15"/>
  <c r="B32" i="15"/>
  <c r="N31" i="15"/>
  <c r="B31" i="15"/>
  <c r="N30" i="15"/>
  <c r="B30" i="15"/>
  <c r="N29" i="15"/>
  <c r="B29" i="15"/>
  <c r="N28" i="15"/>
  <c r="B28" i="15"/>
  <c r="N27" i="15"/>
  <c r="B27" i="15"/>
  <c r="N26" i="15"/>
  <c r="B26" i="15"/>
  <c r="N25" i="15"/>
  <c r="B25" i="15"/>
  <c r="N24" i="15"/>
  <c r="B24" i="15"/>
  <c r="N23" i="15"/>
  <c r="B23" i="15"/>
  <c r="N22" i="15"/>
  <c r="B22" i="15"/>
  <c r="N21" i="15"/>
  <c r="B21" i="15"/>
  <c r="N20" i="15"/>
  <c r="B20" i="15"/>
  <c r="N19" i="15"/>
  <c r="B19" i="15"/>
  <c r="N18" i="15"/>
  <c r="B18" i="15"/>
  <c r="N17" i="15"/>
  <c r="B17" i="15"/>
  <c r="N16" i="15"/>
  <c r="B16" i="15"/>
  <c r="N15" i="15"/>
  <c r="B15" i="15"/>
  <c r="N14" i="15"/>
  <c r="L9" i="15" s="1"/>
  <c r="L10" i="15" s="1"/>
  <c r="B14" i="15"/>
  <c r="N13" i="15"/>
  <c r="N12" i="15"/>
  <c r="N9" i="15"/>
  <c r="N7" i="15"/>
  <c r="A11" i="13"/>
  <c r="N51" i="14"/>
  <c r="B51" i="14"/>
  <c r="N50" i="14"/>
  <c r="B50" i="14"/>
  <c r="N49" i="14"/>
  <c r="B49" i="14"/>
  <c r="N48" i="14"/>
  <c r="B48" i="14"/>
  <c r="N47" i="14"/>
  <c r="B47" i="14"/>
  <c r="N46" i="14"/>
  <c r="B46" i="14"/>
  <c r="N45" i="14"/>
  <c r="B45" i="14"/>
  <c r="N44" i="14"/>
  <c r="B44" i="14"/>
  <c r="N43" i="14"/>
  <c r="B43" i="14"/>
  <c r="N42" i="14"/>
  <c r="B42" i="14"/>
  <c r="N41" i="14"/>
  <c r="B41" i="14"/>
  <c r="N40" i="14"/>
  <c r="B40" i="14"/>
  <c r="N39" i="14"/>
  <c r="B39" i="14"/>
  <c r="N38" i="14"/>
  <c r="B38" i="14"/>
  <c r="N37" i="14"/>
  <c r="B37" i="14"/>
  <c r="N36" i="14"/>
  <c r="B36" i="14"/>
  <c r="N35" i="14"/>
  <c r="B35" i="14"/>
  <c r="N34" i="14"/>
  <c r="B34" i="14"/>
  <c r="N33" i="14"/>
  <c r="B33" i="14"/>
  <c r="N32" i="14"/>
  <c r="B32" i="14"/>
  <c r="N31" i="14"/>
  <c r="B31" i="14"/>
  <c r="N30" i="14"/>
  <c r="B30" i="14"/>
  <c r="N29" i="14"/>
  <c r="B29" i="14"/>
  <c r="N28" i="14"/>
  <c r="B28" i="14"/>
  <c r="N27" i="14"/>
  <c r="B27" i="14"/>
  <c r="N26" i="14"/>
  <c r="B26" i="14"/>
  <c r="N25" i="14"/>
  <c r="B25" i="14"/>
  <c r="N24" i="14"/>
  <c r="B24" i="14"/>
  <c r="N23" i="14"/>
  <c r="B23" i="14"/>
  <c r="N22" i="14"/>
  <c r="B22" i="14"/>
  <c r="N21" i="14"/>
  <c r="B21" i="14"/>
  <c r="N20" i="14"/>
  <c r="B20" i="14"/>
  <c r="N19" i="14"/>
  <c r="B19" i="14"/>
  <c r="N18" i="14"/>
  <c r="B18" i="14"/>
  <c r="N17" i="14"/>
  <c r="B17" i="14"/>
  <c r="N16" i="14"/>
  <c r="B16" i="14"/>
  <c r="N15" i="14"/>
  <c r="L9" i="14" s="1"/>
  <c r="L10" i="14" s="1"/>
  <c r="B15" i="14"/>
  <c r="N14" i="14"/>
  <c r="B14" i="14"/>
  <c r="N13" i="14"/>
  <c r="N12" i="14"/>
  <c r="N9" i="14"/>
  <c r="N7" i="14"/>
  <c r="A10" i="13"/>
  <c r="L9" i="42" l="1"/>
  <c r="L10" i="42" s="1"/>
  <c r="L9" i="44"/>
  <c r="L10" i="44" s="1"/>
  <c r="L9" i="20"/>
  <c r="L10" i="20" s="1"/>
  <c r="L9" i="24"/>
  <c r="L10" i="24" s="1"/>
  <c r="L9" i="26"/>
  <c r="L10" i="26" s="1"/>
  <c r="L9" i="28"/>
  <c r="L10" i="28" s="1"/>
  <c r="L9" i="36"/>
  <c r="L10" i="36" s="1"/>
  <c r="L9" i="41"/>
  <c r="L10" i="41" s="1"/>
  <c r="L9" i="43"/>
  <c r="L10" i="43" s="1"/>
  <c r="L9" i="45"/>
  <c r="L10" i="45" s="1"/>
  <c r="L9" i="47"/>
  <c r="L10" i="47" s="1"/>
  <c r="L9" i="49"/>
  <c r="L10" i="49" s="1"/>
  <c r="L9" i="52"/>
  <c r="L10" i="52" s="1"/>
  <c r="L9" i="54"/>
  <c r="L10" i="54" s="1"/>
  <c r="L9" i="58"/>
  <c r="L10" i="58" s="1"/>
  <c r="L9" i="51"/>
  <c r="L10" i="51" s="1"/>
  <c r="L9" i="53"/>
  <c r="L10" i="53" s="1"/>
  <c r="L9" i="55"/>
  <c r="L10" i="55" s="1"/>
  <c r="A10" i="12"/>
  <c r="A11" i="2" l="1"/>
  <c r="N14" i="11" l="1"/>
  <c r="L9" i="11" s="1"/>
  <c r="L10" i="11" s="1"/>
  <c r="B14" i="11"/>
  <c r="N13" i="11"/>
  <c r="N12" i="11"/>
  <c r="N9" i="11"/>
  <c r="N7" i="11"/>
  <c r="N9" i="10"/>
  <c r="B9" i="10"/>
  <c r="N8" i="10"/>
  <c r="B8" i="10"/>
  <c r="N7" i="10"/>
  <c r="B7" i="10"/>
  <c r="N6" i="10"/>
  <c r="B6" i="10"/>
  <c r="N5" i="10"/>
  <c r="B5" i="10"/>
  <c r="N4" i="10"/>
  <c r="B4" i="10"/>
  <c r="N3" i="10"/>
  <c r="B3" i="10"/>
  <c r="N2" i="10"/>
  <c r="B2" i="10"/>
  <c r="N1" i="10"/>
  <c r="A5" i="2" l="1"/>
  <c r="A9" i="2" l="1"/>
  <c r="B15" i="9" l="1"/>
  <c r="B14" i="9"/>
  <c r="N15" i="9"/>
  <c r="N22" i="9"/>
  <c r="B22" i="9"/>
  <c r="N14" i="9"/>
  <c r="N16" i="9"/>
  <c r="N17" i="9"/>
  <c r="N18" i="9"/>
  <c r="N19" i="9"/>
  <c r="N20" i="9"/>
  <c r="N21" i="9"/>
  <c r="A2" i="2"/>
  <c r="A3" i="2"/>
  <c r="A4" i="2"/>
  <c r="A6" i="2"/>
  <c r="A7" i="2"/>
  <c r="A8" i="2"/>
  <c r="A10" i="2"/>
  <c r="B18" i="9"/>
  <c r="B19" i="9"/>
  <c r="B20" i="9"/>
  <c r="B16" i="9"/>
  <c r="B17" i="9"/>
  <c r="B21" i="9"/>
  <c r="N7" i="9"/>
  <c r="N13" i="9"/>
  <c r="N12" i="9"/>
  <c r="N9" i="9"/>
  <c r="D12" i="2" l="1"/>
  <c r="L9" i="9"/>
  <c r="L10" i="9" s="1"/>
</calcChain>
</file>

<file path=xl/comments1.xml><?xml version="1.0" encoding="utf-8"?>
<comments xmlns="http://schemas.openxmlformats.org/spreadsheetml/2006/main">
  <authors>
    <author>日立化成工業株式会社</author>
  </authors>
  <commentList>
    <comment ref="E4" authorId="0" shapeId="0">
      <text>
        <r>
          <rPr>
            <sz val="9"/>
            <color indexed="81"/>
            <rFont val="ＭＳ Ｐゴシック"/>
            <family val="3"/>
            <charset val="128"/>
          </rPr>
          <t xml:space="preserve">作成者
作成日 を必ず入力
</t>
        </r>
      </text>
    </comment>
    <comment ref="F4" authorId="0" shapeId="0">
      <text>
        <r>
          <rPr>
            <sz val="9"/>
            <color indexed="81"/>
            <rFont val="ＭＳ Ｐゴシック"/>
            <family val="3"/>
            <charset val="128"/>
          </rPr>
          <t xml:space="preserve">作成者
作成日 を必ず入力
</t>
        </r>
      </text>
    </comment>
    <comment ref="G4" authorId="0" shapeId="0">
      <text>
        <r>
          <rPr>
            <sz val="9"/>
            <color indexed="81"/>
            <rFont val="ＭＳ Ｐゴシック"/>
            <family val="3"/>
            <charset val="128"/>
          </rPr>
          <t xml:space="preserve">作成者
作成日 を必ず入力
</t>
        </r>
      </text>
    </comment>
  </commentList>
</comments>
</file>

<file path=xl/comments2.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3.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4.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5.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6.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7.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8.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9.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10.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11.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12.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13.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14.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15.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16.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17.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18.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19.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20.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21.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22.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23.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24.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25.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26.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27.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28.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29.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30.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31.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32.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33.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34.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35.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36.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37.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38.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39.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40.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41.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42.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43.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44.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45.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46.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47.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J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48.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49.xml><?xml version="1.0" encoding="utf-8"?>
<comments xmlns="http://schemas.openxmlformats.org/spreadsheetml/2006/main">
  <authors>
    <author>日立化成工業株式会社</author>
  </authors>
  <commentList>
    <comment ref="I4" authorId="0" shapeId="0">
      <text>
        <r>
          <rPr>
            <sz val="9"/>
            <color indexed="81"/>
            <rFont val="ＭＳ Ｐゴシック"/>
            <family val="3"/>
            <charset val="128"/>
          </rPr>
          <t xml:space="preserve">作成者
作成日 を必ず入力
</t>
        </r>
      </text>
    </comment>
    <comment ref="L4" authorId="0" shapeId="0">
      <text>
        <r>
          <rPr>
            <sz val="9"/>
            <color indexed="81"/>
            <rFont val="ＭＳ Ｐゴシック"/>
            <family val="3"/>
            <charset val="128"/>
          </rPr>
          <t xml:space="preserve">作成者
作成日 を必ず入力
</t>
        </r>
      </text>
    </comment>
  </commentList>
</comments>
</file>

<file path=xl/comments50.xml><?xml version="1.0" encoding="utf-8"?>
<comments xmlns="http://schemas.openxmlformats.org/spreadsheetml/2006/main">
  <authors>
    <author>日立化成工業株式会社</author>
  </authors>
  <commentList>
    <comment ref="E4" authorId="0" shapeId="0">
      <text>
        <r>
          <rPr>
            <sz val="9"/>
            <color indexed="81"/>
            <rFont val="ＭＳ Ｐゴシック"/>
            <family val="3"/>
            <charset val="128"/>
          </rPr>
          <t xml:space="preserve">作成者
作成日 を必ず入力
</t>
        </r>
      </text>
    </comment>
    <comment ref="G4" authorId="0" shapeId="0">
      <text>
        <r>
          <rPr>
            <sz val="9"/>
            <color indexed="81"/>
            <rFont val="ＭＳ Ｐゴシック"/>
            <family val="3"/>
            <charset val="128"/>
          </rPr>
          <t xml:space="preserve">作成者
作成日 を必ず入力
</t>
        </r>
      </text>
    </comment>
  </commentList>
</comments>
</file>

<file path=xl/sharedStrings.xml><?xml version="1.0" encoding="utf-8"?>
<sst xmlns="http://schemas.openxmlformats.org/spreadsheetml/2006/main" count="6965" uniqueCount="1100">
  <si>
    <t>承認者印</t>
  </si>
  <si>
    <t>管理者印</t>
  </si>
  <si>
    <t>作成者印</t>
  </si>
  <si>
    <t>仕　様　書</t>
  </si>
  <si>
    <t>使用システム名称</t>
  </si>
  <si>
    <t>DUMMY</t>
  </si>
  <si>
    <t>テーブル名称(論理名)</t>
  </si>
  <si>
    <t>テーブル名称(物理名)</t>
  </si>
  <si>
    <t>作成ユーザＩＤ</t>
  </si>
  <si>
    <r>
      <t>レコード長</t>
    </r>
    <r>
      <rPr>
        <sz val="8"/>
        <rFont val="Times New Roman"/>
        <family val="1"/>
      </rPr>
      <t>(Byte)</t>
    </r>
  </si>
  <si>
    <t>作成パスワード</t>
  </si>
  <si>
    <r>
      <t>テーブル容量</t>
    </r>
    <r>
      <rPr>
        <sz val="8"/>
        <rFont val="Times New Roman"/>
        <family val="1"/>
      </rPr>
      <t>(KB)</t>
    </r>
  </si>
  <si>
    <r>
      <t>ｲﾝﾃﾞｯｸｽ容量</t>
    </r>
    <r>
      <rPr>
        <sz val="8"/>
        <rFont val="Times New Roman"/>
        <family val="1"/>
      </rPr>
      <t>(KB)</t>
    </r>
  </si>
  <si>
    <t>桁数</t>
  </si>
  <si>
    <t>No</t>
  </si>
  <si>
    <t>項　目　名</t>
  </si>
  <si>
    <t>定　義　名</t>
  </si>
  <si>
    <t>データタイプ</t>
  </si>
  <si>
    <t>全体</t>
  </si>
  <si>
    <t>小数</t>
  </si>
  <si>
    <t>INDEX</t>
  </si>
  <si>
    <t>□</t>
  </si>
  <si>
    <t>NO</t>
  </si>
  <si>
    <t>DATA TYPE</t>
  </si>
  <si>
    <t>DATE</t>
  </si>
  <si>
    <t>ﾃﾞｰﾀﾀｲﾌﾟﾘｽﾄﾎﾞｯｸｽ</t>
  </si>
  <si>
    <r>
      <t>表領域名称(</t>
    </r>
    <r>
      <rPr>
        <sz val="8"/>
        <rFont val="Times New Roman"/>
        <family val="1"/>
      </rPr>
      <t>TBL</t>
    </r>
    <r>
      <rPr>
        <sz val="10"/>
        <rFont val="ＭＳ ゴシック"/>
        <family val="3"/>
        <charset val="128"/>
      </rPr>
      <t>用)</t>
    </r>
    <phoneticPr fontId="17"/>
  </si>
  <si>
    <t>テ　　　ー　　　ブ　　　ル　　　概　　　要</t>
  </si>
  <si>
    <t>領域名称(INDEX用)</t>
  </si>
  <si>
    <t>最大データ件数</t>
  </si>
  <si>
    <t>Not Null</t>
  </si>
  <si>
    <t>DEFAULT</t>
  </si>
  <si>
    <t>項　　　　　目　　　　　概　　　　　要</t>
  </si>
  <si>
    <t>USERDATA</t>
    <phoneticPr fontId="16"/>
  </si>
  <si>
    <t>USERINDX</t>
    <phoneticPr fontId="16"/>
  </si>
  <si>
    <t>□</t>
    <phoneticPr fontId="16"/>
  </si>
  <si>
    <t>登録画面ID</t>
  </si>
  <si>
    <t>登録者</t>
  </si>
  <si>
    <t>登録日</t>
  </si>
  <si>
    <t>更新画面ID</t>
  </si>
  <si>
    <t>更新者</t>
  </si>
  <si>
    <t>更新日</t>
  </si>
  <si>
    <t>PK</t>
    <phoneticPr fontId="16"/>
  </si>
  <si>
    <t>ENTRYNAME</t>
    <phoneticPr fontId="16"/>
  </si>
  <si>
    <t>UPDATENAME</t>
    <phoneticPr fontId="16"/>
  </si>
  <si>
    <t>□</t>
    <phoneticPr fontId="16"/>
  </si>
  <si>
    <t>排他キー</t>
    <phoneticPr fontId="16"/>
  </si>
  <si>
    <t>υ</t>
    <phoneticPr fontId="16"/>
  </si>
  <si>
    <t>楽観排他用のキー</t>
    <phoneticPr fontId="16"/>
  </si>
  <si>
    <t>NCHAR</t>
  </si>
  <si>
    <t>NCHAR</t>
    <phoneticPr fontId="17"/>
  </si>
  <si>
    <t>NVARCHAR</t>
  </si>
  <si>
    <t>NVARCHAR</t>
    <phoneticPr fontId="17"/>
  </si>
  <si>
    <t>DATE</t>
    <phoneticPr fontId="17"/>
  </si>
  <si>
    <t>TIME</t>
  </si>
  <si>
    <t>TIME</t>
    <phoneticPr fontId="17"/>
  </si>
  <si>
    <t>DECIMAL</t>
  </si>
  <si>
    <t>DECIMAL</t>
    <phoneticPr fontId="17"/>
  </si>
  <si>
    <t>BIT</t>
  </si>
  <si>
    <t>BIT</t>
    <phoneticPr fontId="17"/>
  </si>
  <si>
    <t>BINARY</t>
  </si>
  <si>
    <t>BINARY</t>
    <phoneticPr fontId="17"/>
  </si>
  <si>
    <t>ROWVERSION</t>
  </si>
  <si>
    <t>ROWVERSION</t>
    <phoneticPr fontId="17"/>
  </si>
  <si>
    <t>Ｄ／Ｂ　テーブル(表)</t>
    <phoneticPr fontId="16"/>
  </si>
  <si>
    <t>バックドア生産管理システム</t>
    <rPh sb="5" eb="7">
      <t>セイサン</t>
    </rPh>
    <rPh sb="7" eb="9">
      <t>カンリ</t>
    </rPh>
    <phoneticPr fontId="16"/>
  </si>
  <si>
    <t>車種マスタ</t>
    <rPh sb="0" eb="2">
      <t>シャシュ</t>
    </rPh>
    <phoneticPr fontId="16"/>
  </si>
  <si>
    <t>CAR_MODEL_MASTER</t>
    <phoneticPr fontId="16"/>
  </si>
  <si>
    <t>dbo</t>
    <phoneticPr fontId="16"/>
  </si>
  <si>
    <t>車種コード</t>
    <rPh sb="0" eb="2">
      <t>シャシュ</t>
    </rPh>
    <phoneticPr fontId="1"/>
  </si>
  <si>
    <t>車種名</t>
    <rPh sb="0" eb="2">
      <t>シャシュ</t>
    </rPh>
    <rPh sb="2" eb="3">
      <t>メイ</t>
    </rPh>
    <phoneticPr fontId="1"/>
  </si>
  <si>
    <t>EXCLUSIVE_KEY</t>
    <phoneticPr fontId="16"/>
  </si>
  <si>
    <t>CAR_MODEL_CODE</t>
    <phoneticPr fontId="16"/>
  </si>
  <si>
    <t>CAR_MODEL_NAME</t>
    <phoneticPr fontId="16"/>
  </si>
  <si>
    <t>DATETIME</t>
    <phoneticPr fontId="17"/>
  </si>
  <si>
    <t>DATETIME</t>
    <phoneticPr fontId="16"/>
  </si>
  <si>
    <t>NVARCHAR</t>
    <phoneticPr fontId="16"/>
  </si>
  <si>
    <t>NCHAR</t>
    <phoneticPr fontId="16"/>
  </si>
  <si>
    <t>ENTRYSCREENID</t>
    <phoneticPr fontId="16"/>
  </si>
  <si>
    <t>UPDATESCREENID</t>
    <phoneticPr fontId="16"/>
  </si>
  <si>
    <t>ENTRYDATE</t>
    <phoneticPr fontId="16"/>
  </si>
  <si>
    <t>UPDATEDATE</t>
    <phoneticPr fontId="16"/>
  </si>
  <si>
    <t>ROWVERSION</t>
    <phoneticPr fontId="16"/>
  </si>
  <si>
    <t>車種コードを管理するマスタ</t>
    <rPh sb="0" eb="2">
      <t>シャシュ</t>
    </rPh>
    <rPh sb="6" eb="8">
      <t>カンリ</t>
    </rPh>
    <phoneticPr fontId="16"/>
  </si>
  <si>
    <t>--</t>
    <phoneticPr fontId="1"/>
  </si>
  <si>
    <t>--</t>
    <phoneticPr fontId="16"/>
  </si>
  <si>
    <t>DATETIME</t>
  </si>
  <si>
    <t>ＤＢ設計書パス</t>
    <rPh sb="2" eb="5">
      <t>セッケイショ</t>
    </rPh>
    <phoneticPr fontId="17"/>
  </si>
  <si>
    <t>作業計画データ</t>
    <phoneticPr fontId="17"/>
  </si>
  <si>
    <t>作業計画準備データ</t>
    <phoneticPr fontId="17"/>
  </si>
  <si>
    <t>○</t>
    <phoneticPr fontId="17"/>
  </si>
  <si>
    <t>INT</t>
    <phoneticPr fontId="17"/>
  </si>
  <si>
    <t>INT</t>
    <phoneticPr fontId="17"/>
  </si>
  <si>
    <t>実績数量</t>
    <phoneticPr fontId="17"/>
  </si>
  <si>
    <t>作業指示明細データ</t>
    <phoneticPr fontId="17"/>
  </si>
  <si>
    <t>実績管理データ</t>
    <phoneticPr fontId="17"/>
  </si>
  <si>
    <t>実績登録データ</t>
    <phoneticPr fontId="17"/>
  </si>
  <si>
    <t>個体ＮＯ管理データ</t>
    <phoneticPr fontId="17"/>
  </si>
  <si>
    <t>付帯作業データ</t>
    <phoneticPr fontId="17"/>
  </si>
  <si>
    <t>梱包指示データ</t>
    <phoneticPr fontId="17"/>
  </si>
  <si>
    <t>梱包実績データ</t>
    <phoneticPr fontId="17"/>
  </si>
  <si>
    <t>在庫データ</t>
    <phoneticPr fontId="17"/>
  </si>
  <si>
    <t>受払データ</t>
    <phoneticPr fontId="17"/>
  </si>
  <si>
    <t>順列納入指示データ</t>
    <phoneticPr fontId="17"/>
  </si>
  <si>
    <t>シミュレーションヘッダ</t>
    <phoneticPr fontId="17"/>
  </si>
  <si>
    <t>シミュレーションデータ</t>
    <phoneticPr fontId="17"/>
  </si>
  <si>
    <t>シミュレーション組立順序</t>
    <phoneticPr fontId="17"/>
  </si>
  <si>
    <t>生産品名マスタ</t>
    <phoneticPr fontId="17"/>
  </si>
  <si>
    <t>資材マスタ</t>
    <phoneticPr fontId="17"/>
  </si>
  <si>
    <t>使用資材</t>
    <phoneticPr fontId="17"/>
  </si>
  <si>
    <t>車種マスタ</t>
    <phoneticPr fontId="17"/>
  </si>
  <si>
    <t>設備マスタ</t>
    <phoneticPr fontId="17"/>
  </si>
  <si>
    <t>工程マスタ</t>
    <phoneticPr fontId="17"/>
  </si>
  <si>
    <t>標準通過工程マスタ</t>
    <phoneticPr fontId="17"/>
  </si>
  <si>
    <t>区分標準通過工程</t>
    <phoneticPr fontId="17"/>
  </si>
  <si>
    <t>通過工程間チェック</t>
    <phoneticPr fontId="17"/>
  </si>
  <si>
    <t>判定理由マスタ</t>
    <phoneticPr fontId="17"/>
  </si>
  <si>
    <t>コードマスタ</t>
    <phoneticPr fontId="17"/>
  </si>
  <si>
    <t>社員マスタ</t>
    <phoneticPr fontId="17"/>
  </si>
  <si>
    <t>稼働日マスタ</t>
    <phoneticPr fontId="17"/>
  </si>
  <si>
    <t>休憩時間マスタ</t>
    <phoneticPr fontId="17"/>
  </si>
  <si>
    <t>□</t>
    <phoneticPr fontId="16"/>
  </si>
  <si>
    <t>テーブルID</t>
    <phoneticPr fontId="25"/>
  </si>
  <si>
    <t>テーブル名</t>
    <rPh sb="4" eb="5">
      <t>メイ</t>
    </rPh>
    <phoneticPr fontId="25"/>
  </si>
  <si>
    <t>分類</t>
    <rPh sb="0" eb="2">
      <t>ブンルイ</t>
    </rPh>
    <phoneticPr fontId="25"/>
  </si>
  <si>
    <t>スキーマ</t>
    <phoneticPr fontId="25"/>
  </si>
  <si>
    <t>Ｄ／Ｂ　テーブル一覧</t>
    <rPh sb="8" eb="10">
      <t>イチラン</t>
    </rPh>
    <phoneticPr fontId="16"/>
  </si>
  <si>
    <t>No</t>
    <phoneticPr fontId="25"/>
  </si>
  <si>
    <t>概　　　　　要</t>
    <phoneticPr fontId="25"/>
  </si>
  <si>
    <t>C:\work\08_テーブル定義書_統合版_20191016_物理名(英語)追加版.xlsx</t>
    <phoneticPr fontId="17"/>
  </si>
  <si>
    <t>作業計画データ</t>
  </si>
  <si>
    <t>作業計画準備データ</t>
  </si>
  <si>
    <t>実績数量</t>
  </si>
  <si>
    <t>作業指示明細データ</t>
  </si>
  <si>
    <t>投入指示データ</t>
  </si>
  <si>
    <t>投入指示データ</t>
    <phoneticPr fontId="17"/>
  </si>
  <si>
    <t>実績管理データ</t>
  </si>
  <si>
    <t>実績登録データ</t>
  </si>
  <si>
    <t>測定結果データ</t>
  </si>
  <si>
    <t>測定結果データ</t>
    <phoneticPr fontId="17"/>
  </si>
  <si>
    <t>個体ＮＯ管理データ</t>
  </si>
  <si>
    <t>付帯作業データ</t>
  </si>
  <si>
    <t>投入順序実績</t>
  </si>
  <si>
    <t>投入順序実績</t>
    <phoneticPr fontId="17"/>
  </si>
  <si>
    <t>梱包指示データ</t>
  </si>
  <si>
    <t>梱包実績データ</t>
  </si>
  <si>
    <t>在庫データ</t>
  </si>
  <si>
    <t>受払データ</t>
  </si>
  <si>
    <t>順列納入指示データ</t>
  </si>
  <si>
    <t>非順列納入指示データ</t>
  </si>
  <si>
    <t>非順列納入指示データ</t>
    <phoneticPr fontId="17"/>
  </si>
  <si>
    <t>シミュレーションヘッダ</t>
  </si>
  <si>
    <t>シミュレーションデータ</t>
  </si>
  <si>
    <t>シミュレーション組立順序</t>
  </si>
  <si>
    <t>生産品名マスタ</t>
  </si>
  <si>
    <t>組立品構成マスタ</t>
  </si>
  <si>
    <t>組立品構成マスタ</t>
    <phoneticPr fontId="17"/>
  </si>
  <si>
    <t>資材マスタ</t>
  </si>
  <si>
    <t>使用資材</t>
  </si>
  <si>
    <t>生産製品マスタ</t>
  </si>
  <si>
    <t>生産製品マスタ</t>
    <phoneticPr fontId="17"/>
  </si>
  <si>
    <t>車種マスタ</t>
  </si>
  <si>
    <t>設備マスタ</t>
  </si>
  <si>
    <t>工程マスタ</t>
  </si>
  <si>
    <t>標準通過工程マスタ</t>
  </si>
  <si>
    <t>工程グループマスタ</t>
  </si>
  <si>
    <t>工程グループマスタ</t>
    <phoneticPr fontId="17"/>
  </si>
  <si>
    <t>区分標準通過工程</t>
  </si>
  <si>
    <t>通過工程間チェック</t>
  </si>
  <si>
    <t>投入指示作成</t>
  </si>
  <si>
    <t>投入指示作成</t>
    <phoneticPr fontId="17"/>
  </si>
  <si>
    <t>判定理由マスタ</t>
  </si>
  <si>
    <t>コードマスタ</t>
  </si>
  <si>
    <t>社員マスタ</t>
  </si>
  <si>
    <t>事業所マスタ</t>
  </si>
  <si>
    <t>品種マスタ</t>
  </si>
  <si>
    <t>パスワードマスタ</t>
  </si>
  <si>
    <t>ＩＰアドレス管理マスタ</t>
  </si>
  <si>
    <t>採番マスタ</t>
  </si>
  <si>
    <t>読込ラベルグループマスタ</t>
  </si>
  <si>
    <t>ラベル定義マスタ</t>
  </si>
  <si>
    <t>○</t>
  </si>
  <si>
    <t>T_WORK_PLAN_DATA</t>
  </si>
  <si>
    <t>T_WORK_PLAN_DATA</t>
    <phoneticPr fontId="1"/>
  </si>
  <si>
    <t>作業計画</t>
  </si>
  <si>
    <t>作業計画情報を保持する</t>
  </si>
  <si>
    <t>事業所コード</t>
    <phoneticPr fontId="1"/>
  </si>
  <si>
    <t>υ</t>
  </si>
  <si>
    <t>PK</t>
  </si>
  <si>
    <t>作番</t>
    <phoneticPr fontId="1"/>
  </si>
  <si>
    <t>PRODUCTION_NUMBER</t>
    <phoneticPr fontId="16"/>
  </si>
  <si>
    <t>大工程コード</t>
    <phoneticPr fontId="1"/>
  </si>
  <si>
    <t>LARGE_PROCESS_CODE</t>
    <phoneticPr fontId="16"/>
  </si>
  <si>
    <t>品名コード</t>
    <phoneticPr fontId="1"/>
  </si>
  <si>
    <t>PRODUCT_NAME_CODE</t>
    <phoneticPr fontId="16"/>
  </si>
  <si>
    <t>品名事業所コード</t>
    <phoneticPr fontId="1"/>
  </si>
  <si>
    <t>パック品名略称</t>
    <phoneticPr fontId="1"/>
  </si>
  <si>
    <t>PACK_PRODUCT_NAME_ABBREVIATION</t>
    <phoneticPr fontId="16"/>
  </si>
  <si>
    <t>納入先コード</t>
    <phoneticPr fontId="1"/>
  </si>
  <si>
    <t>DELIVERY_CODE</t>
    <phoneticPr fontId="16"/>
  </si>
  <si>
    <t>コードマスタに定義</t>
  </si>
  <si>
    <t>納入区分</t>
    <phoneticPr fontId="1"/>
  </si>
  <si>
    <t>DELIVERY_DIVISION</t>
    <phoneticPr fontId="16"/>
  </si>
  <si>
    <t>空欄：組立品以外
O：順列
L：ライン品
S：SP
K：KD
T：試作品</t>
  </si>
  <si>
    <t>製品半製品区分</t>
    <phoneticPr fontId="1"/>
  </si>
  <si>
    <t>SEMI_FINISHED_PRODUCT_DIVISION</t>
    <phoneticPr fontId="16"/>
  </si>
  <si>
    <t>１：製品
２：半製品</t>
  </si>
  <si>
    <t>作業指示数量</t>
    <phoneticPr fontId="1"/>
  </si>
  <si>
    <t>WORK_ORDER_QUANTITY</t>
    <phoneticPr fontId="16"/>
  </si>
  <si>
    <t>INT</t>
  </si>
  <si>
    <t>設備NO</t>
    <phoneticPr fontId="1"/>
  </si>
  <si>
    <t>EQUIPMENT_NO</t>
    <phoneticPr fontId="16"/>
  </si>
  <si>
    <t>成形工程、塗装工程で設定
設備マスタ</t>
  </si>
  <si>
    <t>製造ライン</t>
    <phoneticPr fontId="1"/>
  </si>
  <si>
    <t>PRODUCTION_LINE</t>
    <phoneticPr fontId="16"/>
  </si>
  <si>
    <t>作業年月日</t>
    <phoneticPr fontId="1"/>
  </si>
  <si>
    <t>WORK_DATE</t>
    <phoneticPr fontId="16"/>
  </si>
  <si>
    <t>作業直区分</t>
    <phoneticPr fontId="1"/>
  </si>
  <si>
    <t>WORK_SHIFT</t>
    <phoneticPr fontId="16"/>
  </si>
  <si>
    <t>１：１直
２：２直
３：３直</t>
  </si>
  <si>
    <t>作業順序</t>
    <phoneticPr fontId="1"/>
  </si>
  <si>
    <t>WORK_ORDER</t>
    <phoneticPr fontId="16"/>
  </si>
  <si>
    <t>確定状態</t>
    <phoneticPr fontId="1"/>
  </si>
  <si>
    <t>FINAL_STATE</t>
    <phoneticPr fontId="16"/>
  </si>
  <si>
    <t>１：未確定
２：仮確定
３：確定済</t>
  </si>
  <si>
    <t>取消フラグ</t>
    <phoneticPr fontId="1"/>
  </si>
  <si>
    <t>CANCEL_FLAG</t>
    <phoneticPr fontId="16"/>
  </si>
  <si>
    <t>０：有効データ
１：取消し済データ</t>
  </si>
  <si>
    <t>再塗装フラグ</t>
    <phoneticPr fontId="1"/>
  </si>
  <si>
    <t>REPAINT_FLAG</t>
    <phoneticPr fontId="16"/>
  </si>
  <si>
    <t>塗装工程のみ設定
０：生地
１：再塗装</t>
  </si>
  <si>
    <t>着手区分</t>
    <phoneticPr fontId="1"/>
  </si>
  <si>
    <t>START_DIVISION</t>
    <phoneticPr fontId="16"/>
  </si>
  <si>
    <t>１：未着手
２：作業中
３：完了</t>
  </si>
  <si>
    <t>セット品フラグ</t>
    <phoneticPr fontId="1"/>
  </si>
  <si>
    <t>SET_PRODUCT_FLAG</t>
    <phoneticPr fontId="16"/>
  </si>
  <si>
    <t>０：非セット品
１：セット品</t>
  </si>
  <si>
    <t>金型番号</t>
    <phoneticPr fontId="1"/>
  </si>
  <si>
    <t>MOLD_NO</t>
    <phoneticPr fontId="16"/>
  </si>
  <si>
    <t>計画台車NO</t>
    <phoneticPr fontId="1"/>
  </si>
  <si>
    <t>PLAN_CART_NO</t>
    <phoneticPr fontId="16"/>
  </si>
  <si>
    <t>計画同期一貫ＮＯ</t>
    <phoneticPr fontId="1"/>
  </si>
  <si>
    <t>PLAN_SYNCHRONIZATION_CONSISTENT_NO</t>
    <phoneticPr fontId="16"/>
  </si>
  <si>
    <t>計画台車ＳＥＱＮＯ</t>
    <phoneticPr fontId="1"/>
  </si>
  <si>
    <t>PLAN_CART_SEQUENCE_NO</t>
    <phoneticPr fontId="16"/>
  </si>
  <si>
    <t>計画コンテナＮＯ</t>
    <phoneticPr fontId="1"/>
  </si>
  <si>
    <t>PLANNING_CONTAINER_NO</t>
    <phoneticPr fontId="16"/>
  </si>
  <si>
    <t>計画梱包年月日</t>
    <phoneticPr fontId="1"/>
  </si>
  <si>
    <t>PLANNED_PACKING_DATE</t>
    <phoneticPr fontId="16"/>
  </si>
  <si>
    <t>計画納入年月日</t>
    <phoneticPr fontId="1"/>
  </si>
  <si>
    <t>PLANNED_DELIVERY_DATE</t>
    <phoneticPr fontId="16"/>
  </si>
  <si>
    <t>計画納入時間</t>
    <phoneticPr fontId="1"/>
  </si>
  <si>
    <t>PLANNED_DELIVERY_TIME</t>
    <phoneticPr fontId="16"/>
  </si>
  <si>
    <t>計画要求元ライン</t>
    <phoneticPr fontId="1"/>
  </si>
  <si>
    <t>PLAN_REQUESTER_LINE</t>
    <phoneticPr fontId="16"/>
  </si>
  <si>
    <t>計画時発行ＮＯ</t>
    <phoneticPr fontId="1"/>
  </si>
  <si>
    <t>PLANNING_ISSUED_NO</t>
    <phoneticPr fontId="16"/>
  </si>
  <si>
    <t>計画準備作番</t>
    <phoneticPr fontId="1"/>
  </si>
  <si>
    <t>PLAN_PREPARATION_NUMBER</t>
    <phoneticPr fontId="16"/>
  </si>
  <si>
    <t>順列納入指示データの場合はNULL</t>
  </si>
  <si>
    <t>T_WORK_PLAN_PREPARATION_DATA</t>
  </si>
  <si>
    <t>T_WORK_PLAN_PREPARATION_DATA</t>
    <phoneticPr fontId="1"/>
  </si>
  <si>
    <t>作業計画準備データ</t>
    <phoneticPr fontId="16"/>
  </si>
  <si>
    <t>作業計画データを作成するためのワークデータを保持する</t>
  </si>
  <si>
    <t>データ作成区分</t>
    <phoneticPr fontId="1"/>
  </si>
  <si>
    <t>DATA_CREATION_DIVISION</t>
    <phoneticPr fontId="16"/>
  </si>
  <si>
    <t>１：納入指示データ（KD/SP）
２：生産手配データ
３：作業指示保留データ</t>
  </si>
  <si>
    <t>O：順列
L：ライン品
S：SP
K：KD
T：試作品</t>
  </si>
  <si>
    <t>梱包年月日</t>
    <phoneticPr fontId="1"/>
  </si>
  <si>
    <t>PACKING_DATE</t>
    <phoneticPr fontId="16"/>
  </si>
  <si>
    <t>梱包時間</t>
    <phoneticPr fontId="1"/>
  </si>
  <si>
    <t>PACKING_TIME</t>
    <phoneticPr fontId="16"/>
  </si>
  <si>
    <t>梱包直区分</t>
    <phoneticPr fontId="1"/>
  </si>
  <si>
    <t>PACKING_SHIFT</t>
    <phoneticPr fontId="16"/>
  </si>
  <si>
    <t>０：有効
１：取消</t>
  </si>
  <si>
    <t>台車NO</t>
    <phoneticPr fontId="1"/>
  </si>
  <si>
    <t>DOLLY_NO</t>
    <phoneticPr fontId="16"/>
  </si>
  <si>
    <t>同期一貫ＮＯ</t>
    <phoneticPr fontId="1"/>
  </si>
  <si>
    <t>SYNCHRONOUS_CONSISTENCY_NO</t>
    <phoneticPr fontId="16"/>
  </si>
  <si>
    <t>台車ＳＥＱＮＯ</t>
    <phoneticPr fontId="1"/>
  </si>
  <si>
    <t>DOLLY_SEQUENCE_NO</t>
    <phoneticPr fontId="16"/>
  </si>
  <si>
    <t>コンテナＮＯ</t>
    <phoneticPr fontId="1"/>
  </si>
  <si>
    <t>CONTAINER_NO</t>
    <phoneticPr fontId="16"/>
  </si>
  <si>
    <t>段ＮＯ</t>
    <phoneticPr fontId="1"/>
  </si>
  <si>
    <t>STAGE_NO</t>
    <phoneticPr fontId="16"/>
  </si>
  <si>
    <t>要求元ライン</t>
    <phoneticPr fontId="1"/>
  </si>
  <si>
    <t>REQUESTER_LINE</t>
    <phoneticPr fontId="16"/>
  </si>
  <si>
    <t>納入年月日</t>
    <phoneticPr fontId="1"/>
  </si>
  <si>
    <t>DELIVERY_DATE</t>
    <phoneticPr fontId="16"/>
  </si>
  <si>
    <t>納入時間</t>
    <phoneticPr fontId="1"/>
  </si>
  <si>
    <t>DELIVERY_TIME</t>
    <phoneticPr fontId="16"/>
  </si>
  <si>
    <t>納入場所</t>
    <phoneticPr fontId="1"/>
  </si>
  <si>
    <t>DELIVERY_LOCATION</t>
    <phoneticPr fontId="16"/>
  </si>
  <si>
    <t>備考</t>
    <phoneticPr fontId="1"/>
  </si>
  <si>
    <t>REMARKS</t>
    <phoneticPr fontId="16"/>
  </si>
  <si>
    <t>試作品の用メモ欄</t>
  </si>
  <si>
    <t>T_ACTUAL_QUANTITY</t>
  </si>
  <si>
    <t>T_ACTUAL_QUANTITY</t>
    <phoneticPr fontId="1"/>
  </si>
  <si>
    <t>実績数量</t>
    <phoneticPr fontId="16"/>
  </si>
  <si>
    <t>作業計画に紐づくロット処理する実施数などを保持する</t>
  </si>
  <si>
    <t>着手数</t>
    <phoneticPr fontId="1"/>
  </si>
  <si>
    <t>START_QUANTITY</t>
    <phoneticPr fontId="16"/>
  </si>
  <si>
    <t>完成数</t>
    <phoneticPr fontId="1"/>
  </si>
  <si>
    <t>COMPLETION_QUANTITY</t>
    <phoneticPr fontId="16"/>
  </si>
  <si>
    <t>不良数</t>
    <phoneticPr fontId="1"/>
  </si>
  <si>
    <t>DEFECT_QUANTITY</t>
    <phoneticPr fontId="16"/>
  </si>
  <si>
    <t>再塗装数</t>
    <phoneticPr fontId="1"/>
  </si>
  <si>
    <t>REPAINT_QUANTITY</t>
    <phoneticPr fontId="16"/>
  </si>
  <si>
    <t>指示残</t>
    <phoneticPr fontId="1"/>
  </si>
  <si>
    <t>REMAINING_INSTRUCTIONS</t>
    <phoneticPr fontId="16"/>
  </si>
  <si>
    <t>リペア数</t>
    <phoneticPr fontId="1"/>
  </si>
  <si>
    <t>REPAIRS_QUANTITY</t>
    <phoneticPr fontId="16"/>
  </si>
  <si>
    <t>調整数</t>
    <phoneticPr fontId="1"/>
  </si>
  <si>
    <t>ADJUSTMENT_QUANTITY</t>
    <phoneticPr fontId="16"/>
  </si>
  <si>
    <t>引当数</t>
    <phoneticPr fontId="1"/>
  </si>
  <si>
    <t>PROVISIONS_QUANTITY</t>
    <phoneticPr fontId="16"/>
  </si>
  <si>
    <t>誤塗装</t>
    <phoneticPr fontId="1"/>
  </si>
  <si>
    <t>FALSE_PAINT</t>
    <phoneticPr fontId="16"/>
  </si>
  <si>
    <t>スポイラ実績数量</t>
    <phoneticPr fontId="1"/>
  </si>
  <si>
    <t>SPOILER_ACTUAL_QUANTITY</t>
    <phoneticPr fontId="16"/>
  </si>
  <si>
    <t>スポイラ・カバー用
スポイラ・カバーには個体NOが無いので、作成数量を実績数量テーブルに保存する。</t>
  </si>
  <si>
    <t>T_WORK_ORDER_ITEM_DATA</t>
  </si>
  <si>
    <t>T_WORK_ORDER_ITEM_DATA</t>
    <phoneticPr fontId="1"/>
  </si>
  <si>
    <t>作業指示明細データ</t>
    <phoneticPr fontId="16"/>
  </si>
  <si>
    <t>ライン作業で使用する作業指示</t>
  </si>
  <si>
    <t>個体ＮＯ</t>
    <phoneticPr fontId="1"/>
  </si>
  <si>
    <t>INDIVIDUAL_NO</t>
    <phoneticPr fontId="16"/>
  </si>
  <si>
    <t>組立個体ＮＯ</t>
  </si>
  <si>
    <t>O：順列
L：ライン品
S：SP
K：KD
T：試作</t>
  </si>
  <si>
    <t>作業時間</t>
    <phoneticPr fontId="1"/>
  </si>
  <si>
    <t>WORK_TIME</t>
    <phoneticPr fontId="16"/>
  </si>
  <si>
    <t>直区分</t>
    <phoneticPr fontId="1"/>
  </si>
  <si>
    <t>SHIFT</t>
    <phoneticPr fontId="16"/>
  </si>
  <si>
    <t>ラベル発行フラグ</t>
    <phoneticPr fontId="1"/>
  </si>
  <si>
    <t>LABEL_ISSUE_FLAG</t>
    <phoneticPr fontId="16"/>
  </si>
  <si>
    <t>０：未発行
１：ラベル発行済</t>
  </si>
  <si>
    <t>着手実績フラグ</t>
    <phoneticPr fontId="1"/>
  </si>
  <si>
    <t>START_RESULTS_FLAG</t>
    <phoneticPr fontId="16"/>
  </si>
  <si>
    <t>0：未着手
1：着手</t>
  </si>
  <si>
    <t>スポイラ組立投入フラグ</t>
    <phoneticPr fontId="1"/>
  </si>
  <si>
    <t>SPOILER_ASSEMBLY_INPUT_FLAG</t>
    <phoneticPr fontId="16"/>
  </si>
  <si>
    <t>０：未投入
１：投入</t>
  </si>
  <si>
    <t>代替投入フラグ</t>
    <phoneticPr fontId="1"/>
  </si>
  <si>
    <t>ALTERNATIVE_INPUT_FLAG</t>
    <phoneticPr fontId="16"/>
  </si>
  <si>
    <t>０：通常投入
１：代替投入（再）</t>
  </si>
  <si>
    <t>連番</t>
    <phoneticPr fontId="1"/>
  </si>
  <si>
    <t>SERIAL_NO</t>
    <phoneticPr fontId="16"/>
  </si>
  <si>
    <t>自動採番（IDENTITY)</t>
  </si>
  <si>
    <t>T_INPUT_INSTRUCTION_DATA</t>
  </si>
  <si>
    <t>T_INPUT_INSTRUCTION_DATA</t>
    <phoneticPr fontId="1"/>
  </si>
  <si>
    <t>投入指示データ</t>
    <phoneticPr fontId="16"/>
  </si>
  <si>
    <t>インナ、小物、ガラスなどの投入指示データ</t>
  </si>
  <si>
    <t>組立個体ＮＯ</t>
    <phoneticPr fontId="1"/>
  </si>
  <si>
    <t>ASSEMBLY_INDIVIDUAL_NO</t>
    <phoneticPr fontId="16"/>
  </si>
  <si>
    <t>構成要素区分</t>
    <phoneticPr fontId="1"/>
  </si>
  <si>
    <t>COMPONENT_DIVISION</t>
    <phoneticPr fontId="16"/>
  </si>
  <si>
    <t>コードマスタに定義　インナ、ガラス、小物</t>
  </si>
  <si>
    <t>成形個体NO</t>
    <phoneticPr fontId="1"/>
  </si>
  <si>
    <t>MOLDED_INDIVIDUAL_NO</t>
    <phoneticPr fontId="16"/>
  </si>
  <si>
    <t>投入大工程</t>
    <phoneticPr fontId="1"/>
  </si>
  <si>
    <t>INPUT_LARGE_PROCESS</t>
    <phoneticPr fontId="16"/>
  </si>
  <si>
    <t>区分標準通過工程マスタ</t>
  </si>
  <si>
    <t>投入中工程</t>
    <phoneticPr fontId="1"/>
  </si>
  <si>
    <t>INPUT_MIDDLE_PROCESS</t>
    <phoneticPr fontId="16"/>
  </si>
  <si>
    <t>着手実績</t>
    <phoneticPr fontId="1"/>
  </si>
  <si>
    <t>START_RESULTS</t>
    <phoneticPr fontId="16"/>
  </si>
  <si>
    <t>１：未投入
２：投入</t>
  </si>
  <si>
    <t>T_ACHIEVEMENT_MANAGEMENT_DATA</t>
  </si>
  <si>
    <t>T_ACHIEVEMENT_MANAGEMENT_DATA</t>
    <phoneticPr fontId="1"/>
  </si>
  <si>
    <t>実績管理データ</t>
    <phoneticPr fontId="16"/>
  </si>
  <si>
    <t>実績関連</t>
  </si>
  <si>
    <t>各ロットＮＯごとの最新状態を保持する</t>
  </si>
  <si>
    <t>区分個体ＮＯ</t>
    <phoneticPr fontId="1"/>
  </si>
  <si>
    <t>CLASSIFICATION_INDIVIDUAL_NO</t>
    <phoneticPr fontId="16"/>
  </si>
  <si>
    <t>塗装カウント</t>
    <phoneticPr fontId="1"/>
  </si>
  <si>
    <t>PAINT_COUNT</t>
    <phoneticPr fontId="16"/>
  </si>
  <si>
    <t>０、１、２（３回以上の塗装は無い）</t>
  </si>
  <si>
    <t>中工程コード</t>
    <phoneticPr fontId="1"/>
  </si>
  <si>
    <t>MIDDLE_PROCESS_CODE</t>
    <phoneticPr fontId="16"/>
  </si>
  <si>
    <t>成形ラベル発行回数</t>
    <phoneticPr fontId="1"/>
  </si>
  <si>
    <t>MOLDING_LABELS_ISSUED_TIMES</t>
    <phoneticPr fontId="16"/>
  </si>
  <si>
    <t>塗装ラベル発行回数</t>
    <phoneticPr fontId="1"/>
  </si>
  <si>
    <t>PAINT_LABEL_ISSUED_TIMES</t>
    <phoneticPr fontId="16"/>
  </si>
  <si>
    <t>判定結果</t>
    <phoneticPr fontId="1"/>
  </si>
  <si>
    <t>JUDGMENT_RESULT</t>
    <phoneticPr fontId="16"/>
  </si>
  <si>
    <t>１：待機
２：完了
３：合格
４：不良
５：保留
６：投入
７：再塗装
８：リペア
９：投入キャンセル
A：手直し
B：手直し完了
Ｃ：調整
Z：廃棄</t>
  </si>
  <si>
    <t>理由コード</t>
    <phoneticPr fontId="1"/>
  </si>
  <si>
    <t>REASON_CODE</t>
    <phoneticPr fontId="16"/>
  </si>
  <si>
    <t>塗装工程状態</t>
    <phoneticPr fontId="1"/>
  </si>
  <si>
    <t>PAINT_PROCESS_STATE</t>
    <phoneticPr fontId="16"/>
  </si>
  <si>
    <t>0：該当せず
1：判定待ち
2：直行合格
3：リペア判定
4：リペア合格
5：不良判定
6：成形不良
7：仕上不良
8：再塗装判定
9：再塗装完了
10：再塗装合格
11：再塗装リペア判定
12：再塗装リペア合格
13：再塗装不良判定
14：再塗装成形不良
15：再塗装仕上不良</t>
  </si>
  <si>
    <t>不良区分</t>
    <phoneticPr fontId="1"/>
  </si>
  <si>
    <t>DEFECT_DIVISION</t>
    <phoneticPr fontId="16"/>
  </si>
  <si>
    <t>１：不良判定
２：成形不良
３：仕上不良</t>
  </si>
  <si>
    <t>保管区分</t>
    <phoneticPr fontId="1"/>
  </si>
  <si>
    <t>STORAGE_DIVISION</t>
    <phoneticPr fontId="16"/>
  </si>
  <si>
    <t>０：未投入
１：設備　→　設備コード
２：保管場所　→　保管場所コード＆コンテナNO
３：組付け済み</t>
  </si>
  <si>
    <t>保管場所</t>
    <phoneticPr fontId="1"/>
  </si>
  <si>
    <t>STORAGE_LOCATION</t>
    <phoneticPr fontId="16"/>
  </si>
  <si>
    <t>コードマスタに登録（最初は未使用）</t>
  </si>
  <si>
    <t>梱包NO</t>
    <phoneticPr fontId="1"/>
  </si>
  <si>
    <t>PACKING_NO</t>
    <phoneticPr fontId="16"/>
  </si>
  <si>
    <t>コンテナNO</t>
    <phoneticPr fontId="1"/>
  </si>
  <si>
    <t>コードマスタで定義</t>
  </si>
  <si>
    <t>投入NO</t>
    <phoneticPr fontId="1"/>
  </si>
  <si>
    <t>INPUT_NO</t>
    <phoneticPr fontId="16"/>
  </si>
  <si>
    <t>ラインごとのその日の投入連番</t>
  </si>
  <si>
    <t>T_ACHIEVEMENT_REGISTRATION_DATA</t>
  </si>
  <si>
    <t>T_ACHIEVEMENT_REGISTRATION_DATA</t>
    <phoneticPr fontId="1"/>
  </si>
  <si>
    <t>実績登録データ</t>
    <phoneticPr fontId="16"/>
  </si>
  <si>
    <t>設備、H/Tから送信された実績データを登録するテーブル</t>
  </si>
  <si>
    <t>自動採番（IDENTITY）</t>
  </si>
  <si>
    <t>区分個体NO</t>
    <phoneticPr fontId="1"/>
  </si>
  <si>
    <t>設備ＮＯ</t>
    <phoneticPr fontId="1"/>
  </si>
  <si>
    <t>塗装工程実績種別</t>
    <phoneticPr fontId="1"/>
  </si>
  <si>
    <t>PAINT_PROCESS_PERFORMANCE_TYPE</t>
    <phoneticPr fontId="16"/>
  </si>
  <si>
    <t>0：未塗装
A1	塗装実績
B1	合格判定
B2	リペア合格判定
C1	リペア判定
D1	不良判定
D2	成形不良
D3	仕上不良
F1	再塗装判定
A2	再塗装実績
G1	再塗装合格
G2	再塗装リペア合格判定
H1	再塗装リペア判定
I1	再塗装不良判定
I2	再塗装成形不良
I3	再塗装仕上不良
X1	再塗装判定取消
X2	リペア取消
X3	再塗装リペア取消
Y1	不良判定取消
Y2	成形不良取消
Y3	仕上不良取消
Z1	再塗装不良判定取消
Z2	再塗装成形不良取消
Z3	再塗装仕上不良取消</t>
  </si>
  <si>
    <t>前工程不良発生フラグ</t>
    <phoneticPr fontId="1"/>
  </si>
  <si>
    <t>PREVIOUS_PROCESS_DEFECT_FLAG</t>
    <phoneticPr fontId="16"/>
  </si>
  <si>
    <t>0：自工程発生
１：前工程発生</t>
  </si>
  <si>
    <t>氏名コード</t>
    <phoneticPr fontId="1"/>
  </si>
  <si>
    <t>NAME_CODE</t>
    <phoneticPr fontId="16"/>
  </si>
  <si>
    <t>T_MEASUREMENT_RESULT_DATA</t>
  </si>
  <si>
    <t>T_MEASUREMENT_RESULT_DATA</t>
    <phoneticPr fontId="1"/>
  </si>
  <si>
    <t>測定結果データ</t>
    <phoneticPr fontId="16"/>
  </si>
  <si>
    <t>重さなどの測定結果を登録するテーブル</t>
  </si>
  <si>
    <t>実績登録データの連番</t>
  </si>
  <si>
    <t>測定結果１</t>
    <phoneticPr fontId="1"/>
  </si>
  <si>
    <t>MEASUREMENT_RESULT_1</t>
    <phoneticPr fontId="16"/>
  </si>
  <si>
    <t>測定結果２</t>
    <phoneticPr fontId="1"/>
  </si>
  <si>
    <t>MEASUREMENT_RESULT_2</t>
    <phoneticPr fontId="16"/>
  </si>
  <si>
    <t>測定結果３</t>
    <phoneticPr fontId="1"/>
  </si>
  <si>
    <t>MEASUREMENT_RESULT_3</t>
    <phoneticPr fontId="16"/>
  </si>
  <si>
    <t>測定結果４</t>
    <phoneticPr fontId="1"/>
  </si>
  <si>
    <t>MEASUREMENT_RESULT_4</t>
    <phoneticPr fontId="16"/>
  </si>
  <si>
    <t>測定結果５</t>
    <phoneticPr fontId="1"/>
  </si>
  <si>
    <t>MEASUREMENT_RESULT_5</t>
    <phoneticPr fontId="16"/>
  </si>
  <si>
    <t>T_INDIVIDUAL_NO_MANAGEMENT_DATA</t>
  </si>
  <si>
    <t>T_INDIVIDUAL_NO_MANAGEMENT_DATA</t>
    <phoneticPr fontId="1"/>
  </si>
  <si>
    <t>個体ＮＯ管理データ</t>
    <phoneticPr fontId="16"/>
  </si>
  <si>
    <t>ロットＮＯの前後関係を保持する</t>
  </si>
  <si>
    <t>取得個体NO</t>
  </si>
  <si>
    <t>個体ＮＯ変換種別</t>
    <phoneticPr fontId="1"/>
  </si>
  <si>
    <t>INDIVIDUAL_NO_CONVERSION_TYPE</t>
    <phoneticPr fontId="16"/>
  </si>
  <si>
    <t>１：区分
２：組立
３：組付品</t>
  </si>
  <si>
    <t>実績管理データの区分個体NO</t>
  </si>
  <si>
    <t>コードマスタ
アウタ、インナ、スポイラ、組立品など</t>
  </si>
  <si>
    <t>T_ATTACHED_WORK_DATA</t>
  </si>
  <si>
    <t>T_ATTACHED_WORK_DATA</t>
    <phoneticPr fontId="1"/>
  </si>
  <si>
    <t>付帯作業データ</t>
    <phoneticPr fontId="16"/>
  </si>
  <si>
    <t>あんどんに表示する作業予定データ</t>
  </si>
  <si>
    <t>付帯作業ＮＯ</t>
    <phoneticPr fontId="1"/>
  </si>
  <si>
    <t>ANCILLARY_WORK_NO</t>
    <phoneticPr fontId="16"/>
  </si>
  <si>
    <t>作業区分</t>
    <phoneticPr fontId="1"/>
  </si>
  <si>
    <t>WORK_DIVISION</t>
    <phoneticPr fontId="16"/>
  </si>
  <si>
    <t>色コード</t>
    <phoneticPr fontId="1"/>
  </si>
  <si>
    <t>COLOR_CODE</t>
    <phoneticPr fontId="16"/>
  </si>
  <si>
    <t>開始時間</t>
    <phoneticPr fontId="1"/>
  </si>
  <si>
    <t>START_TIME</t>
    <phoneticPr fontId="16"/>
  </si>
  <si>
    <t>終了時間</t>
    <phoneticPr fontId="1"/>
  </si>
  <si>
    <t>END_TIME</t>
    <phoneticPr fontId="16"/>
  </si>
  <si>
    <t>開始年月日</t>
    <phoneticPr fontId="1"/>
  </si>
  <si>
    <t>START_DATE</t>
    <phoneticPr fontId="16"/>
  </si>
  <si>
    <t>終了年月日</t>
    <phoneticPr fontId="1"/>
  </si>
  <si>
    <t>END_DATE</t>
    <phoneticPr fontId="16"/>
  </si>
  <si>
    <t>経過時間</t>
    <phoneticPr fontId="1"/>
  </si>
  <si>
    <t>ELAPSED_TIME</t>
    <phoneticPr fontId="16"/>
  </si>
  <si>
    <t>対象年月日</t>
    <phoneticPr fontId="1"/>
  </si>
  <si>
    <t>TARGET_DATE</t>
    <phoneticPr fontId="16"/>
  </si>
  <si>
    <t>付帯データ</t>
    <phoneticPr fontId="1"/>
  </si>
  <si>
    <t>ANCILLARY_DATA</t>
    <phoneticPr fontId="16"/>
  </si>
  <si>
    <t>発行フラグ</t>
    <phoneticPr fontId="1"/>
  </si>
  <si>
    <t>ISSUED_FLAG</t>
    <phoneticPr fontId="16"/>
  </si>
  <si>
    <t>０：未発行
１：発行済</t>
  </si>
  <si>
    <t>数量</t>
    <phoneticPr fontId="1"/>
  </si>
  <si>
    <t>QUANTITY</t>
    <phoneticPr fontId="16"/>
  </si>
  <si>
    <t>数値１</t>
    <phoneticPr fontId="1"/>
  </si>
  <si>
    <t>NUMERICAL_VALUE_1</t>
    <phoneticPr fontId="16"/>
  </si>
  <si>
    <t>T_INPUT_SEQUENCE_RESULTS</t>
  </si>
  <si>
    <t>T_INPUT_SEQUENCE_RESULTS</t>
    <phoneticPr fontId="1"/>
  </si>
  <si>
    <t>投入順序実績</t>
    <phoneticPr fontId="16"/>
  </si>
  <si>
    <t>組立工程のラインごとの投入順序の実績を保持する</t>
  </si>
  <si>
    <t>車種コード</t>
    <phoneticPr fontId="1"/>
  </si>
  <si>
    <t>VEHICLE_TYPE_CODE</t>
    <phoneticPr fontId="16"/>
  </si>
  <si>
    <t>投入台数</t>
    <phoneticPr fontId="1"/>
  </si>
  <si>
    <t>INPUT_NUMBER</t>
    <phoneticPr fontId="16"/>
  </si>
  <si>
    <t>T_PACKING_INSTRUCTION_DATA</t>
  </si>
  <si>
    <t>T_PACKING_INSTRUCTION_DATA</t>
    <phoneticPr fontId="1"/>
  </si>
  <si>
    <t>梱包指示データ</t>
    <phoneticPr fontId="16"/>
  </si>
  <si>
    <t>梱包</t>
  </si>
  <si>
    <t>受注データから作成する完成品梱包指示</t>
  </si>
  <si>
    <t>梱包ＮＯ</t>
    <phoneticPr fontId="1"/>
  </si>
  <si>
    <t>梱包指示数</t>
    <phoneticPr fontId="1"/>
  </si>
  <si>
    <t>PACKING_INSTRUCTION_QUANTITY</t>
    <phoneticPr fontId="16"/>
  </si>
  <si>
    <t>１，２，３</t>
  </si>
  <si>
    <t>台車ＮＯ</t>
    <phoneticPr fontId="1"/>
  </si>
  <si>
    <t>順列ＳＥＱＮＯ</t>
    <phoneticPr fontId="1"/>
  </si>
  <si>
    <t>PERMUTATION_SEQUENCE_NO</t>
    <phoneticPr fontId="16"/>
  </si>
  <si>
    <t>事業所コードと組み合わせてキーとしてデータを一意に検索可能</t>
  </si>
  <si>
    <t>コンテナラベル発行フラグ</t>
    <phoneticPr fontId="1"/>
  </si>
  <si>
    <t>CONTAINER_LABEL_ISSUE_FLAG</t>
    <phoneticPr fontId="16"/>
  </si>
  <si>
    <t>０：未発行
1：ラベル発行済</t>
  </si>
  <si>
    <t>T_PACKAGING_ACHIEVEMENT_DATA</t>
  </si>
  <si>
    <t>T_PACKAGING_ACHIEVEMENT_DATA</t>
    <phoneticPr fontId="1"/>
  </si>
  <si>
    <t>梱包実績データ</t>
    <phoneticPr fontId="16"/>
  </si>
  <si>
    <t>完成品梱包実績</t>
  </si>
  <si>
    <t>梱包実績数</t>
    <phoneticPr fontId="1"/>
  </si>
  <si>
    <t>ACTUAL_PACKAGING_QUANTITY</t>
    <phoneticPr fontId="16"/>
  </si>
  <si>
    <t>T_STOCK_DATA</t>
  </si>
  <si>
    <t>T_STOCK_DATA</t>
    <phoneticPr fontId="1"/>
  </si>
  <si>
    <t>在庫データ</t>
    <phoneticPr fontId="16"/>
  </si>
  <si>
    <t>在庫</t>
  </si>
  <si>
    <t>事業所・品名コードごとに在庫数、引当可能数を保持</t>
  </si>
  <si>
    <t>前月残</t>
    <phoneticPr fontId="1"/>
  </si>
  <si>
    <t>REMAINING_LAST_MONTH</t>
    <phoneticPr fontId="16"/>
  </si>
  <si>
    <t>当月受入数量</t>
    <phoneticPr fontId="1"/>
  </si>
  <si>
    <t>MONTHLY_ACCEPTED_QUANTITY</t>
    <phoneticPr fontId="16"/>
  </si>
  <si>
    <t>当月払出数量</t>
    <phoneticPr fontId="1"/>
  </si>
  <si>
    <t>MONTHLY_DELIVERY_QUANTITY</t>
    <phoneticPr fontId="16"/>
  </si>
  <si>
    <t>在庫数</t>
    <phoneticPr fontId="1"/>
  </si>
  <si>
    <t>STOCK_QUANTITY</t>
    <phoneticPr fontId="16"/>
  </si>
  <si>
    <t>引当可能数量</t>
    <phoneticPr fontId="1"/>
  </si>
  <si>
    <t>AVAILABLE_QUANTITY</t>
    <phoneticPr fontId="16"/>
  </si>
  <si>
    <t>負数あり</t>
  </si>
  <si>
    <t>T_PAYMENT_DATA</t>
  </si>
  <si>
    <t>T_PAYMENT_DATA</t>
    <phoneticPr fontId="1"/>
  </si>
  <si>
    <t>受払データ</t>
    <phoneticPr fontId="16"/>
  </si>
  <si>
    <t>受払の詳細レコードを保持する</t>
  </si>
  <si>
    <t>シーケンス</t>
    <phoneticPr fontId="1"/>
  </si>
  <si>
    <t>SEQUENCE_NUMBER</t>
    <phoneticPr fontId="16"/>
  </si>
  <si>
    <t>IDENTITY</t>
  </si>
  <si>
    <t>個体NO</t>
    <phoneticPr fontId="1"/>
  </si>
  <si>
    <t>受払年月日</t>
    <phoneticPr fontId="1"/>
  </si>
  <si>
    <t>PAYMENT_DATE</t>
    <phoneticPr fontId="16"/>
  </si>
  <si>
    <t>受払区分</t>
    <phoneticPr fontId="1"/>
  </si>
  <si>
    <t>PAYMENT_DIVISION</t>
    <phoneticPr fontId="16"/>
  </si>
  <si>
    <t>振替区分</t>
    <phoneticPr fontId="1"/>
  </si>
  <si>
    <t>TRANSFER_DIVISION</t>
    <phoneticPr fontId="16"/>
  </si>
  <si>
    <t>その他払出画面の備考</t>
  </si>
  <si>
    <t>IF_PERMUTATION_DELIVERY_INSTRUCTION_DATA</t>
  </si>
  <si>
    <t>IF_PERMUTATION_DELIVERY_INSTRUCTION_DATA</t>
    <phoneticPr fontId="1"/>
  </si>
  <si>
    <t>順列納入指示データ</t>
    <phoneticPr fontId="16"/>
  </si>
  <si>
    <t>受注</t>
  </si>
  <si>
    <t>順列納入指示に相当するデータ</t>
  </si>
  <si>
    <t>要元</t>
    <phoneticPr fontId="1"/>
  </si>
  <si>
    <t>KEY_POINT</t>
    <phoneticPr fontId="16"/>
  </si>
  <si>
    <t>メーカー</t>
    <phoneticPr fontId="1"/>
  </si>
  <si>
    <t>MANUFACTURER</t>
    <phoneticPr fontId="16"/>
  </si>
  <si>
    <t>デポコード</t>
    <phoneticPr fontId="1"/>
  </si>
  <si>
    <t>DEPOT_CODE</t>
    <phoneticPr fontId="16"/>
  </si>
  <si>
    <t>部品番号</t>
    <phoneticPr fontId="1"/>
  </si>
  <si>
    <t>PART_NO</t>
    <phoneticPr fontId="16"/>
  </si>
  <si>
    <t>客先部品番号</t>
  </si>
  <si>
    <t>納入指示数</t>
    <phoneticPr fontId="1"/>
  </si>
  <si>
    <t>DELIVERY_INSTRUCTION_QUANTITY</t>
    <phoneticPr fontId="16"/>
  </si>
  <si>
    <t>IF_NON_PERMUTATION_DELIVERY_INSTRUCTION_DATA</t>
  </si>
  <si>
    <t>IF_NON_PERMUTATION_DELIVERY_INSTRUCTION_DATA</t>
    <phoneticPr fontId="1"/>
  </si>
  <si>
    <t>非順列納入指示データ</t>
    <phoneticPr fontId="16"/>
  </si>
  <si>
    <t>KD・SP・試作・在庫品納入指示データ</t>
  </si>
  <si>
    <t>ラインの場合、'T'
KDの場合、'E'
SPの場合、'F'</t>
  </si>
  <si>
    <t>発行ＮＯ</t>
    <phoneticPr fontId="1"/>
  </si>
  <si>
    <t>ISSUED_NO</t>
    <phoneticPr fontId="16"/>
  </si>
  <si>
    <t>納入指示時間</t>
    <phoneticPr fontId="1"/>
  </si>
  <si>
    <t>DELIVERY_INSTRUCTION_TIME</t>
    <phoneticPr fontId="16"/>
  </si>
  <si>
    <t>荷卸単位</t>
    <phoneticPr fontId="1"/>
  </si>
  <si>
    <t>UNLOADING_UNIT</t>
    <phoneticPr fontId="16"/>
  </si>
  <si>
    <t>客先部品番号</t>
    <phoneticPr fontId="1"/>
  </si>
  <si>
    <t>CUSTOMER_PART_NO</t>
    <phoneticPr fontId="16"/>
  </si>
  <si>
    <t>納入指示端数</t>
    <phoneticPr fontId="1"/>
  </si>
  <si>
    <t>DELIVERY_INSTRUCTION_FRACTION</t>
    <phoneticPr fontId="16"/>
  </si>
  <si>
    <t>化成注略</t>
    <phoneticPr fontId="1"/>
  </si>
  <si>
    <t>KASEI_ORDER_NUMBER_ABBREVIATION</t>
    <phoneticPr fontId="16"/>
  </si>
  <si>
    <t>最終顧客コード</t>
    <phoneticPr fontId="1"/>
  </si>
  <si>
    <t>FINAL_CUSTOMER_CODE</t>
    <phoneticPr fontId="16"/>
  </si>
  <si>
    <t>原価部門コード</t>
    <phoneticPr fontId="1"/>
  </si>
  <si>
    <t>COST_DEPARTMENT_CODE</t>
    <phoneticPr fontId="16"/>
  </si>
  <si>
    <t>売上品種コード</t>
    <phoneticPr fontId="1"/>
  </si>
  <si>
    <t>SALES_TYPE_CODE</t>
    <phoneticPr fontId="16"/>
  </si>
  <si>
    <t>納入指示端数区分</t>
    <phoneticPr fontId="1"/>
  </si>
  <si>
    <t>DELIVERY_INSTRUCTION_FRACTION_DIVISION</t>
    <phoneticPr fontId="16"/>
  </si>
  <si>
    <t>'0'</t>
  </si>
  <si>
    <t>日産組立ライン
コードマスタで定義</t>
  </si>
  <si>
    <t>T_SIMULATION_HEADER</t>
  </si>
  <si>
    <t>T_SIMULATION_HEADER</t>
    <phoneticPr fontId="1"/>
  </si>
  <si>
    <t>シミュレーションヘッダ</t>
    <phoneticPr fontId="16"/>
  </si>
  <si>
    <t>シミュレーション</t>
  </si>
  <si>
    <t>データ更新の日時と開始番号、終了番号</t>
  </si>
  <si>
    <t>種別</t>
    <phoneticPr fontId="1"/>
  </si>
  <si>
    <t>DATA_TYPE</t>
    <phoneticPr fontId="16"/>
  </si>
  <si>
    <t>１：初期データ
２：実行データ</t>
  </si>
  <si>
    <t>作成年月日</t>
    <phoneticPr fontId="1"/>
  </si>
  <si>
    <t>CREATION_DATE</t>
    <phoneticPr fontId="16"/>
  </si>
  <si>
    <t>作成時間</t>
    <phoneticPr fontId="1"/>
  </si>
  <si>
    <t>CREATION_TIME</t>
    <phoneticPr fontId="16"/>
  </si>
  <si>
    <t>開始</t>
    <phoneticPr fontId="1"/>
  </si>
  <si>
    <t>START_NUMBER</t>
    <phoneticPr fontId="16"/>
  </si>
  <si>
    <t>終了</t>
    <phoneticPr fontId="1"/>
  </si>
  <si>
    <t>END_NUMBER</t>
    <phoneticPr fontId="16"/>
  </si>
  <si>
    <t>T_SIMULATION_DATA</t>
  </si>
  <si>
    <t>T_SIMULATION_DATA</t>
    <phoneticPr fontId="1"/>
  </si>
  <si>
    <t>シミュレーションデータ</t>
    <phoneticPr fontId="16"/>
  </si>
  <si>
    <t>納入指示数、在庫数、作業指示数</t>
  </si>
  <si>
    <t>順列生産数</t>
    <phoneticPr fontId="1"/>
  </si>
  <si>
    <t>PERMUTATION_PRODUCTION_QUANTITY</t>
    <phoneticPr fontId="16"/>
  </si>
  <si>
    <t>その他生産数</t>
    <phoneticPr fontId="1"/>
  </si>
  <si>
    <t>OTHER_PRODUCTION_NUMBERS</t>
    <phoneticPr fontId="16"/>
  </si>
  <si>
    <t>計画数１</t>
    <phoneticPr fontId="1"/>
  </si>
  <si>
    <t>PLANS_NUMBER_1</t>
    <phoneticPr fontId="16"/>
  </si>
  <si>
    <t>計画数２</t>
    <phoneticPr fontId="1"/>
  </si>
  <si>
    <t>PLANS_NUMBER_2</t>
    <phoneticPr fontId="16"/>
  </si>
  <si>
    <t>計画数３</t>
    <phoneticPr fontId="1"/>
  </si>
  <si>
    <t>PLANS_NUMBER_3</t>
    <phoneticPr fontId="16"/>
  </si>
  <si>
    <t>計画数４</t>
    <phoneticPr fontId="1"/>
  </si>
  <si>
    <t>PLANS_NUMBER_4</t>
    <phoneticPr fontId="16"/>
  </si>
  <si>
    <t>計画数５</t>
    <phoneticPr fontId="1"/>
  </si>
  <si>
    <t>PLANS_NUMBER_5</t>
    <phoneticPr fontId="16"/>
  </si>
  <si>
    <t>T_SIMULATION_ASSEMBLY_SEQUENCE</t>
  </si>
  <si>
    <t>T_SIMULATION_ASSEMBLY_SEQUENCE</t>
    <phoneticPr fontId="1"/>
  </si>
  <si>
    <t>シミュレーション組立順序</t>
    <phoneticPr fontId="16"/>
  </si>
  <si>
    <t>シミュレーション用の組立順序</t>
  </si>
  <si>
    <t>組立順序</t>
    <phoneticPr fontId="1"/>
  </si>
  <si>
    <t>ASSEMBLY_ORDER</t>
    <phoneticPr fontId="16"/>
  </si>
  <si>
    <t>M_PRODUCT_NAME_MASTER</t>
  </si>
  <si>
    <t>M_PRODUCT_NAME_MASTER</t>
    <phoneticPr fontId="1"/>
  </si>
  <si>
    <t>生産品名マスタ</t>
    <phoneticPr fontId="16"/>
  </si>
  <si>
    <t>マスタ</t>
  </si>
  <si>
    <t>品名コードに紐づく情報を定義するマスタ</t>
  </si>
  <si>
    <t>新基幹システムに送る品名略称</t>
  </si>
  <si>
    <t>空欄：該当せず
O：順列
L：ライン品
S：SP
K：KD
T：試作品</t>
  </si>
  <si>
    <t>適用開始日</t>
    <phoneticPr fontId="1"/>
  </si>
  <si>
    <t>APPLICATION_START_DATE</t>
    <phoneticPr fontId="16"/>
  </si>
  <si>
    <t>計画登録時に適用範囲外の作業日はエラーとする</t>
  </si>
  <si>
    <t>適用終了日</t>
    <phoneticPr fontId="1"/>
  </si>
  <si>
    <t>APPLICATION_END_DATE</t>
    <phoneticPr fontId="16"/>
  </si>
  <si>
    <t>品名略称</t>
    <phoneticPr fontId="1"/>
  </si>
  <si>
    <t>PRODUCT_NAME_ABBREVIATION</t>
    <phoneticPr fontId="16"/>
  </si>
  <si>
    <t>表示用品名略称</t>
  </si>
  <si>
    <t>原価部門</t>
    <phoneticPr fontId="1"/>
  </si>
  <si>
    <t>COST_DEPARTMENT</t>
    <phoneticPr fontId="16"/>
  </si>
  <si>
    <t>桁数は要確認</t>
  </si>
  <si>
    <t>組立工程</t>
  </si>
  <si>
    <t>塗装フラグ</t>
    <phoneticPr fontId="1"/>
  </si>
  <si>
    <t>PAINT_FLAG</t>
    <phoneticPr fontId="16"/>
  </si>
  <si>
    <t>０：非塗装品
１：塗装品</t>
  </si>
  <si>
    <t>セット親品名事業所コード</t>
    <phoneticPr fontId="1"/>
  </si>
  <si>
    <t>セットで成形する親成形品名コード</t>
  </si>
  <si>
    <t>セット親パック品名略称</t>
    <phoneticPr fontId="1"/>
  </si>
  <si>
    <t>SET_PARENT_PACK_PRODUCT_NAME_ABBREVIATION</t>
    <phoneticPr fontId="16"/>
  </si>
  <si>
    <t>セット親納入先コード</t>
    <phoneticPr fontId="1"/>
  </si>
  <si>
    <t>SET_PARENT_DELIVERY_DESTINATION_CODE</t>
    <phoneticPr fontId="16"/>
  </si>
  <si>
    <t>セット親納入区分</t>
    <phoneticPr fontId="1"/>
  </si>
  <si>
    <t>SET_PARENT_DELIVERY_DIVISION</t>
    <phoneticPr fontId="16"/>
  </si>
  <si>
    <t>取数</t>
    <phoneticPr fontId="1"/>
  </si>
  <si>
    <t>CAVITY_QUANTITY</t>
    <phoneticPr fontId="16"/>
  </si>
  <si>
    <t>単位</t>
    <phoneticPr fontId="1"/>
  </si>
  <si>
    <t>PRODUCT_UNIT</t>
    <phoneticPr fontId="16"/>
  </si>
  <si>
    <t>音源ファイルパス</t>
    <phoneticPr fontId="1"/>
  </si>
  <si>
    <t>SOUND_SOURCE_FILE_PATH</t>
    <phoneticPr fontId="16"/>
  </si>
  <si>
    <t>塗布機表示NO</t>
    <phoneticPr fontId="1"/>
  </si>
  <si>
    <t>DISPENSER_DISPLAY_NO</t>
    <phoneticPr fontId="16"/>
  </si>
  <si>
    <t>塗布機ハーネス品名</t>
    <phoneticPr fontId="1"/>
  </si>
  <si>
    <t>APPLICATOR_HARNESS_PRODUCT_NAME</t>
    <phoneticPr fontId="16"/>
  </si>
  <si>
    <t>ガラス接合区分</t>
    <phoneticPr fontId="1"/>
  </si>
  <si>
    <t>GLASS_BONDING_DIVISION</t>
    <phoneticPr fontId="16"/>
  </si>
  <si>
    <t>ガラス品名</t>
    <phoneticPr fontId="1"/>
  </si>
  <si>
    <t>GLASS_PRODUCT_NAME</t>
    <phoneticPr fontId="16"/>
  </si>
  <si>
    <t>インナ指示略称</t>
    <phoneticPr fontId="1"/>
  </si>
  <si>
    <t>INNER_INSTRUCTION_ABBREVIATION</t>
    <phoneticPr fontId="16"/>
  </si>
  <si>
    <t>インナ品種</t>
    <phoneticPr fontId="1"/>
  </si>
  <si>
    <t>INNER_VARIETY</t>
    <phoneticPr fontId="16"/>
  </si>
  <si>
    <t>仕様</t>
    <phoneticPr fontId="1"/>
  </si>
  <si>
    <t>SPECIFICATION</t>
    <phoneticPr fontId="16"/>
  </si>
  <si>
    <t>ヒンジボルト</t>
    <phoneticPr fontId="1"/>
  </si>
  <si>
    <t>HINGE_BOLT</t>
    <phoneticPr fontId="16"/>
  </si>
  <si>
    <t>オープナーSW</t>
    <phoneticPr fontId="1"/>
  </si>
  <si>
    <t>OPENER_SW</t>
    <phoneticPr fontId="16"/>
  </si>
  <si>
    <t>アウタ生地仕様</t>
    <phoneticPr fontId="1"/>
  </si>
  <si>
    <t>OUTER_FABRIC_SPECIFICATIONS</t>
    <phoneticPr fontId="16"/>
  </si>
  <si>
    <t>車種</t>
    <phoneticPr fontId="1"/>
  </si>
  <si>
    <t>VEHICLE_TYPE</t>
    <phoneticPr fontId="16"/>
  </si>
  <si>
    <t>塗装車種</t>
    <phoneticPr fontId="1"/>
  </si>
  <si>
    <t>PAINT_VEHICLE_TYPE</t>
    <phoneticPr fontId="16"/>
  </si>
  <si>
    <t>生地名</t>
    <phoneticPr fontId="1"/>
  </si>
  <si>
    <t>FABRIC_NAME</t>
    <phoneticPr fontId="16"/>
  </si>
  <si>
    <t>元はアウタ生地</t>
  </si>
  <si>
    <t>アウタ穴仕様</t>
    <phoneticPr fontId="1"/>
  </si>
  <si>
    <t>OUTER_HOLE_SPECIFICATION</t>
    <phoneticPr fontId="16"/>
  </si>
  <si>
    <t>コンビランプ</t>
    <phoneticPr fontId="1"/>
  </si>
  <si>
    <t>COMBINATION_LAMP</t>
    <phoneticPr fontId="16"/>
  </si>
  <si>
    <t>成形品名コード</t>
    <phoneticPr fontId="1"/>
  </si>
  <si>
    <t>PART_NAME_CODE</t>
    <phoneticPr fontId="16"/>
  </si>
  <si>
    <t>仕向地</t>
    <phoneticPr fontId="1"/>
  </si>
  <si>
    <t>DESTINATION_PLACE</t>
    <phoneticPr fontId="16"/>
  </si>
  <si>
    <t>カメラ</t>
    <phoneticPr fontId="1"/>
  </si>
  <si>
    <t>CAMERA</t>
    <phoneticPr fontId="16"/>
  </si>
  <si>
    <t>カメラ建付装置用</t>
    <phoneticPr fontId="1"/>
  </si>
  <si>
    <t>FOR_CAMERA_MOUNTING_EQUIPMENT</t>
    <phoneticPr fontId="16"/>
  </si>
  <si>
    <t>クリヤー</t>
    <phoneticPr fontId="1"/>
  </si>
  <si>
    <t>CLEAR_PAINT</t>
    <phoneticPr fontId="16"/>
  </si>
  <si>
    <t>プライマー</t>
    <phoneticPr fontId="1"/>
  </si>
  <si>
    <t>PRIMER_PAINT</t>
    <phoneticPr fontId="16"/>
  </si>
  <si>
    <t>塗装色</t>
    <phoneticPr fontId="1"/>
  </si>
  <si>
    <t>PAINT_COLOR</t>
    <phoneticPr fontId="16"/>
  </si>
  <si>
    <t>穴明仕様コード</t>
    <phoneticPr fontId="1"/>
  </si>
  <si>
    <t>DRILLING_SPECIFICATION_CODE</t>
    <phoneticPr fontId="16"/>
  </si>
  <si>
    <t>チェックシート区分</t>
    <phoneticPr fontId="1"/>
  </si>
  <si>
    <t>CHECK_SHEET_DIVISION</t>
    <phoneticPr fontId="16"/>
  </si>
  <si>
    <t>基準車系</t>
    <phoneticPr fontId="1"/>
  </si>
  <si>
    <t>REFERENCE_VEHICLE_SYSTEM</t>
    <phoneticPr fontId="16"/>
  </si>
  <si>
    <t>ロック品種</t>
    <phoneticPr fontId="1"/>
  </si>
  <si>
    <t>ROCK_VARIETY</t>
    <phoneticPr fontId="16"/>
  </si>
  <si>
    <t>ボックス品種</t>
    <phoneticPr fontId="1"/>
  </si>
  <si>
    <t>BOX_VARIETIES</t>
    <phoneticPr fontId="16"/>
  </si>
  <si>
    <t>SUBASSY名称</t>
    <phoneticPr fontId="1"/>
  </si>
  <si>
    <t>SUBASSY_NAME</t>
    <phoneticPr fontId="16"/>
  </si>
  <si>
    <t>棚ＮＯ</t>
    <phoneticPr fontId="1"/>
  </si>
  <si>
    <t>SHELF_NO</t>
    <phoneticPr fontId="16"/>
  </si>
  <si>
    <t>DVD名称</t>
    <phoneticPr fontId="1"/>
  </si>
  <si>
    <t>DVD_NAME</t>
    <phoneticPr fontId="16"/>
  </si>
  <si>
    <t>発注用部品</t>
    <phoneticPr fontId="1"/>
  </si>
  <si>
    <t>PARTS_FOR_ORDERING</t>
    <phoneticPr fontId="16"/>
  </si>
  <si>
    <t>ハーネス</t>
    <phoneticPr fontId="1"/>
  </si>
  <si>
    <t>HARNESS</t>
    <phoneticPr fontId="16"/>
  </si>
  <si>
    <t>AV-CONT数量</t>
    <phoneticPr fontId="1"/>
  </si>
  <si>
    <t>AV_CONT_QUANTITY</t>
    <phoneticPr fontId="16"/>
  </si>
  <si>
    <t>チェック表部品表示</t>
    <phoneticPr fontId="1"/>
  </si>
  <si>
    <t>CHECK_TABLE_PARTS_DISPLAY</t>
    <phoneticPr fontId="16"/>
  </si>
  <si>
    <t>Ｏ/Ｆフラグ</t>
    <phoneticPr fontId="1"/>
  </si>
  <si>
    <t>OF_FLAG</t>
    <phoneticPr fontId="16"/>
  </si>
  <si>
    <t>設定コード名２</t>
    <phoneticPr fontId="1"/>
  </si>
  <si>
    <t>SETTING_CODE_NAME_2</t>
    <phoneticPr fontId="16"/>
  </si>
  <si>
    <t>分割区分</t>
    <phoneticPr fontId="1"/>
  </si>
  <si>
    <t>SPLIT_DIVISION</t>
    <phoneticPr fontId="16"/>
  </si>
  <si>
    <t>キャップB/D</t>
    <phoneticPr fontId="1"/>
  </si>
  <si>
    <t>CAP_BD</t>
    <phoneticPr fontId="16"/>
  </si>
  <si>
    <t>非接触センサー</t>
    <phoneticPr fontId="1"/>
  </si>
  <si>
    <t>NON_CONTACT_SENSOR</t>
    <phoneticPr fontId="16"/>
  </si>
  <si>
    <t>同色の変更可能な品名コード</t>
    <phoneticPr fontId="1"/>
  </si>
  <si>
    <t>CHANGEABLE_PRODUCT_NAME_CODE_OF_THE_SAME_COLOR</t>
    <phoneticPr fontId="16"/>
  </si>
  <si>
    <t>ナンバープレート</t>
    <phoneticPr fontId="1"/>
  </si>
  <si>
    <t>LICENSE_PLATE</t>
    <phoneticPr fontId="16"/>
  </si>
  <si>
    <t>成形モジュール</t>
    <phoneticPr fontId="1"/>
  </si>
  <si>
    <t>MOLDING_MODULE</t>
    <phoneticPr fontId="16"/>
  </si>
  <si>
    <t>分類</t>
    <phoneticPr fontId="1"/>
  </si>
  <si>
    <t>DIVISION</t>
    <phoneticPr fontId="16"/>
  </si>
  <si>
    <t>成形・塗装作業指示確定及び発行画面
塗装工程作業指示一覧の表示カラム</t>
  </si>
  <si>
    <t>M_ASSEMBLY_CONFIGURATION_MASTER</t>
  </si>
  <si>
    <t>M_ASSEMBLY_CONFIGURATION_MASTER</t>
    <phoneticPr fontId="1"/>
  </si>
  <si>
    <t>組立品構成マスタ</t>
    <phoneticPr fontId="16"/>
  </si>
  <si>
    <t>組立品を構成する品名を定義するマスタ</t>
  </si>
  <si>
    <t>親の品名略称
コードマスタに定義</t>
  </si>
  <si>
    <t>親の納入先コード
コードマスタに定義</t>
  </si>
  <si>
    <t>親の納入区分
コードマスタに定義</t>
  </si>
  <si>
    <t>子品名事業所コード</t>
    <phoneticPr fontId="1"/>
  </si>
  <si>
    <t>子パック品名略称</t>
    <phoneticPr fontId="1"/>
  </si>
  <si>
    <t>SUB_PACK_PRODUCT_NAME_ABBREVIATION</t>
    <phoneticPr fontId="16"/>
  </si>
  <si>
    <t>子納入先コード</t>
    <phoneticPr fontId="1"/>
  </si>
  <si>
    <t>SUB_DELIVERY_CODE</t>
    <phoneticPr fontId="16"/>
  </si>
  <si>
    <t>子納入区分</t>
    <phoneticPr fontId="1"/>
  </si>
  <si>
    <t>SUB_DELIVERY_DIVISION</t>
    <phoneticPr fontId="16"/>
  </si>
  <si>
    <t>子製品半製品区分</t>
    <phoneticPr fontId="1"/>
  </si>
  <si>
    <t>SUB_SEMI_FINISHED_PRODUCT_DIVISION</t>
    <phoneticPr fontId="16"/>
  </si>
  <si>
    <t>構成区分</t>
    <phoneticPr fontId="1"/>
  </si>
  <si>
    <t>COMPOSITION_DIVISION</t>
    <phoneticPr fontId="16"/>
  </si>
  <si>
    <t>１：構成品（アウタ、インナ等）
２：組付け品</t>
  </si>
  <si>
    <t>使用数量</t>
    <phoneticPr fontId="1"/>
  </si>
  <si>
    <t>USAGE_QUANTITY</t>
    <phoneticPr fontId="16"/>
  </si>
  <si>
    <t>組付け大工程コード</t>
    <phoneticPr fontId="1"/>
  </si>
  <si>
    <t>ASSEMBLY_LARGE_PROCESS_CODE</t>
    <phoneticPr fontId="16"/>
  </si>
  <si>
    <t>組付け作業を行う工程
工程マスタ</t>
  </si>
  <si>
    <t>組付け中工程コード</t>
    <phoneticPr fontId="1"/>
  </si>
  <si>
    <t>ASSEMBLY_MIDDLE_PROCESS_CODE</t>
    <phoneticPr fontId="16"/>
  </si>
  <si>
    <t>組付け作業を行う通過工程
標準通過工程マスタ</t>
  </si>
  <si>
    <t>M_MATERIAL_MASTER</t>
  </si>
  <si>
    <t>M_MATERIAL_MASTER</t>
    <phoneticPr fontId="1"/>
  </si>
  <si>
    <t>資材マスタ</t>
    <phoneticPr fontId="16"/>
  </si>
  <si>
    <t>資材を停止するマスタ</t>
  </si>
  <si>
    <t>資材コード</t>
    <phoneticPr fontId="1"/>
  </si>
  <si>
    <t>MATERIAL_CODE</t>
    <phoneticPr fontId="16"/>
  </si>
  <si>
    <t>資材名</t>
    <phoneticPr fontId="1"/>
  </si>
  <si>
    <t>MATERIAL_NAME</t>
    <phoneticPr fontId="16"/>
  </si>
  <si>
    <t>M_MATERIALS_USED_MASTER</t>
  </si>
  <si>
    <t>M_MATERIALS_USED_MASTER</t>
    <phoneticPr fontId="1"/>
  </si>
  <si>
    <t>使用資材</t>
    <phoneticPr fontId="16"/>
  </si>
  <si>
    <t>品名ごと、工程ごとの使用資材を定義するマスタ</t>
  </si>
  <si>
    <t>資材を組付け作業を行う通過工程
区分標準通過工程</t>
  </si>
  <si>
    <t>使用単位</t>
    <phoneticPr fontId="1"/>
  </si>
  <si>
    <t>UNIT_USED</t>
    <phoneticPr fontId="16"/>
  </si>
  <si>
    <t>コードマスタ参照</t>
  </si>
  <si>
    <t>M_PRODUCTION_PRODUCT_MASTER</t>
  </si>
  <si>
    <t>M_PRODUCTION_PRODUCT_MASTER</t>
    <phoneticPr fontId="1"/>
  </si>
  <si>
    <t>生産製品マスタ</t>
    <phoneticPr fontId="16"/>
  </si>
  <si>
    <t>製品情報を定義するマスタ</t>
  </si>
  <si>
    <t>品種コード</t>
    <phoneticPr fontId="1"/>
  </si>
  <si>
    <t>PRODUCT_CODE</t>
    <phoneticPr fontId="16"/>
  </si>
  <si>
    <t>取付け指示コード</t>
    <phoneticPr fontId="1"/>
  </si>
  <si>
    <t>INSTALLATION_INSTRUCTION_CODE</t>
    <phoneticPr fontId="16"/>
  </si>
  <si>
    <t>製品出荷ＳＮＰ</t>
    <phoneticPr fontId="1"/>
  </si>
  <si>
    <t>PRODUCT_SHIPMENT_SNP</t>
    <phoneticPr fontId="16"/>
  </si>
  <si>
    <t>オプション項目</t>
    <phoneticPr fontId="1"/>
  </si>
  <si>
    <t>OPTIONAL_ITEMS</t>
    <phoneticPr fontId="16"/>
  </si>
  <si>
    <t>M_VEHICLE_TYPE_MASTER</t>
  </si>
  <si>
    <t>M_VEHICLE_TYPE_MASTER</t>
    <phoneticPr fontId="1"/>
  </si>
  <si>
    <t>車種マスタ</t>
    <phoneticPr fontId="16"/>
  </si>
  <si>
    <t>車種名を定義するマスタ</t>
  </si>
  <si>
    <t>車種名</t>
    <phoneticPr fontId="1"/>
  </si>
  <si>
    <t>VEHICLE_TYPE_NAME</t>
    <phoneticPr fontId="16"/>
  </si>
  <si>
    <t>表示順序</t>
    <phoneticPr fontId="1"/>
  </si>
  <si>
    <t>DISPLAY_ORDER</t>
    <phoneticPr fontId="16"/>
  </si>
  <si>
    <t>表示フラグ</t>
    <phoneticPr fontId="1"/>
  </si>
  <si>
    <t>DISPLAY_FLAG</t>
    <phoneticPr fontId="16"/>
  </si>
  <si>
    <t>0：表示しない
1：表示する</t>
  </si>
  <si>
    <t>M_EQUIPMENT_MASTER</t>
  </si>
  <si>
    <t>M_EQUIPMENT_MASTER</t>
    <phoneticPr fontId="1"/>
  </si>
  <si>
    <t>設備マスタ</t>
    <phoneticPr fontId="16"/>
  </si>
  <si>
    <t>設備を定義するマスタ</t>
  </si>
  <si>
    <t>設備名</t>
    <phoneticPr fontId="1"/>
  </si>
  <si>
    <t>EQUIPMENT_NAME</t>
    <phoneticPr fontId="16"/>
  </si>
  <si>
    <t>設備固有コード</t>
    <phoneticPr fontId="1"/>
  </si>
  <si>
    <t>EQUIPMENT_SPECIFIC_CODE</t>
    <phoneticPr fontId="16"/>
  </si>
  <si>
    <t>ラインコード</t>
    <phoneticPr fontId="1"/>
  </si>
  <si>
    <t>LINE_CODE</t>
    <phoneticPr fontId="16"/>
  </si>
  <si>
    <t>自動ラベルフラグ</t>
    <phoneticPr fontId="1"/>
  </si>
  <si>
    <t>AUTOMATIC_LABEL_FLAG</t>
    <phoneticPr fontId="16"/>
  </si>
  <si>
    <t>０：手動ラベル
１：自動ラベル</t>
  </si>
  <si>
    <t>M_PROCESS_MASTER</t>
  </si>
  <si>
    <t>M_PROCESS_MASTER</t>
    <phoneticPr fontId="1"/>
  </si>
  <si>
    <t>工程マスタ</t>
    <phoneticPr fontId="16"/>
  </si>
  <si>
    <t>大工程を定義するマスタ</t>
  </si>
  <si>
    <t>工程略称</t>
    <phoneticPr fontId="1"/>
  </si>
  <si>
    <t>PROCESS_ABBREVIATION</t>
    <phoneticPr fontId="16"/>
  </si>
  <si>
    <t>ラインロット区分</t>
    <phoneticPr fontId="1"/>
  </si>
  <si>
    <t>LINE_LOT_DIVISION</t>
    <phoneticPr fontId="16"/>
  </si>
  <si>
    <t>１：ライン工程（組立工程）
２：ロット工程（成形・塗装工程計画画面で選択できる工程）</t>
  </si>
  <si>
    <t>M_STANDARD_PASSING_PROCESS_MASTER</t>
  </si>
  <si>
    <t>M_STANDARD_PASSING_PROCESS_MASTER</t>
    <phoneticPr fontId="1"/>
  </si>
  <si>
    <t>標準通過工程マスタ</t>
    <phoneticPr fontId="16"/>
  </si>
  <si>
    <t>実績登録する単位の通過工程を定義するマスタ</t>
  </si>
  <si>
    <t>標準通過工程略称</t>
    <phoneticPr fontId="1"/>
  </si>
  <si>
    <t>STANDARD_PASSING_PROCESS_ABBREVIATION</t>
    <phoneticPr fontId="16"/>
  </si>
  <si>
    <t>組立以外の工程では共通のコードを設定する</t>
  </si>
  <si>
    <t>マスタ設定時の表示順を設定する</t>
  </si>
  <si>
    <t>M_PROCESS_GROUP_MASTER</t>
  </si>
  <si>
    <t>M_PROCESS_GROUP_MASTER</t>
    <phoneticPr fontId="1"/>
  </si>
  <si>
    <t>工程グループマスタ</t>
    <phoneticPr fontId="16"/>
  </si>
  <si>
    <t>M_CATEGORY_STANDARD_PASSING_PROCESS</t>
  </si>
  <si>
    <t>M_CATEGORY_STANDARD_PASSING_PROCESS</t>
    <phoneticPr fontId="1"/>
  </si>
  <si>
    <t>区分標準通過工程</t>
    <phoneticPr fontId="16"/>
  </si>
  <si>
    <t>標準通過工程の先行/後続関係とチェック項目を定義するマスタ</t>
  </si>
  <si>
    <t>品名マスタ主キー</t>
  </si>
  <si>
    <t>品名マスタ主キー
空欄：該当せず
O：順列
L：ライン品
S：SP
K：KD
T：試作品</t>
  </si>
  <si>
    <t>品名マスタ主キー
１：製品
２：半製品</t>
  </si>
  <si>
    <t>後続大工程コード</t>
    <phoneticPr fontId="1"/>
  </si>
  <si>
    <t>SUBSEQUENT_LARGE_PROCESS_CODE</t>
    <phoneticPr fontId="16"/>
  </si>
  <si>
    <t>後続中工程コード</t>
    <phoneticPr fontId="1"/>
  </si>
  <si>
    <t>SUBSEQUENT_MIDDLE_PROCESS_CODE</t>
    <phoneticPr fontId="16"/>
  </si>
  <si>
    <t>自工程順位</t>
    <phoneticPr fontId="1"/>
  </si>
  <si>
    <t>OWN_PROCESS_RANKING</t>
    <phoneticPr fontId="16"/>
  </si>
  <si>
    <t>次工程順位</t>
    <phoneticPr fontId="1"/>
  </si>
  <si>
    <t>NEXT_PROCESS_RANKING</t>
    <phoneticPr fontId="16"/>
  </si>
  <si>
    <t>入庫フラグ</t>
    <phoneticPr fontId="1"/>
  </si>
  <si>
    <t>WAREHOUSING_FLAG</t>
    <phoneticPr fontId="16"/>
  </si>
  <si>
    <t>０：仕掛通過工程
１：入庫通過工程</t>
  </si>
  <si>
    <t>滞留時間チェックフラグ</t>
    <phoneticPr fontId="1"/>
  </si>
  <si>
    <t>RESIDENCE_TIME_CHECK_FLAG</t>
    <phoneticPr fontId="16"/>
  </si>
  <si>
    <t>通過工程間テーブルのチェック
０：チェックしない
１：チェックする</t>
  </si>
  <si>
    <t>投入指示フラグ</t>
    <phoneticPr fontId="1"/>
  </si>
  <si>
    <t>INPUT_INSTRUCTION_FLAG</t>
    <phoneticPr fontId="16"/>
  </si>
  <si>
    <t>投入指示テーブルの処理
０：実行しない
１：実行する</t>
  </si>
  <si>
    <t>読込ラベルグループコード</t>
    <phoneticPr fontId="1"/>
  </si>
  <si>
    <t>READ_LABEL_GROUP_CODE</t>
    <phoneticPr fontId="16"/>
  </si>
  <si>
    <t>H/Tでの読み込みラベルを定義
※定義がある場合のみ有効</t>
  </si>
  <si>
    <t>M_CHECK_BETWEEN_PASSING_PROCESSES</t>
  </si>
  <si>
    <t>M_CHECK_BETWEEN_PASSING_PROCESSES</t>
    <phoneticPr fontId="1"/>
  </si>
  <si>
    <t>通過工程間チェック</t>
    <phoneticPr fontId="16"/>
  </si>
  <si>
    <t>各標準通過工程の実績登録時に行うチェック内容を定義するマスタ</t>
  </si>
  <si>
    <t>先行大工程コード</t>
    <phoneticPr fontId="1"/>
  </si>
  <si>
    <t>PREVIOUS_LARGE_PROCESS_CODE</t>
    <phoneticPr fontId="16"/>
  </si>
  <si>
    <t>先行中工程コード</t>
    <phoneticPr fontId="1"/>
  </si>
  <si>
    <t>PREVIOUS_MIDDLE_PROCESS_CODE</t>
    <phoneticPr fontId="16"/>
  </si>
  <si>
    <t>チェック区分</t>
    <phoneticPr fontId="1"/>
  </si>
  <si>
    <t>CHECK_DIVISION</t>
    <phoneticPr fontId="16"/>
  </si>
  <si>
    <t>１：先行工程実施（経過時間は不問）
２：YY分以内に
３：XX分後以降に
４：XX分以降、YY分以内に
他に必要であれば区分を増やす想定</t>
  </si>
  <si>
    <t>基準経過時間（以降）</t>
    <phoneticPr fontId="1"/>
  </si>
  <si>
    <t>STANDARD_ELAPSED_TIME_(AFTER)</t>
    <phoneticPr fontId="16"/>
  </si>
  <si>
    <t>XX分</t>
  </si>
  <si>
    <t>基準経過時間（以内）</t>
    <phoneticPr fontId="1"/>
  </si>
  <si>
    <t>STANDARD_ELAPSED_TIME_(WITHIN)</t>
    <phoneticPr fontId="16"/>
  </si>
  <si>
    <t>YY分</t>
  </si>
  <si>
    <t>M_INPUT_INSTRUCTION_CREATION</t>
  </si>
  <si>
    <t>M_INPUT_INSTRUCTION_CREATION</t>
    <phoneticPr fontId="1"/>
  </si>
  <si>
    <t>投入指示作成</t>
    <phoneticPr fontId="16"/>
  </si>
  <si>
    <t>各標準通過工程で作成する投入指示データの定義をするマスタ</t>
  </si>
  <si>
    <t>投入指示が発生する区分標準通過工程</t>
  </si>
  <si>
    <t>投入大工程コード</t>
    <phoneticPr fontId="1"/>
  </si>
  <si>
    <t>INPUT_LARGE_PROCESS_CODE</t>
    <phoneticPr fontId="16"/>
  </si>
  <si>
    <t>投入指示を作成する区分標準通過工程</t>
  </si>
  <si>
    <t>投入中工程コード</t>
    <phoneticPr fontId="1"/>
  </si>
  <si>
    <t>INPUT_MIDDLE_PROCESS_CODE</t>
    <phoneticPr fontId="16"/>
  </si>
  <si>
    <t>M_JUDGMENT_REASON_MASTER</t>
  </si>
  <si>
    <t>M_JUDGMENT_REASON_MASTER</t>
    <phoneticPr fontId="1"/>
  </si>
  <si>
    <t>実績の判定結果の理由を定義するマスタ</t>
  </si>
  <si>
    <t>工程コードマスタ</t>
  </si>
  <si>
    <t>理由区分</t>
    <phoneticPr fontId="1"/>
  </si>
  <si>
    <t>REASON_DIVISION</t>
    <phoneticPr fontId="16"/>
  </si>
  <si>
    <t>１：不良
２：保留
３：再塗装
４：リペア
５：手直し</t>
  </si>
  <si>
    <t>判定理由</t>
    <phoneticPr fontId="1"/>
  </si>
  <si>
    <t>JUDGMENT_REASON</t>
    <phoneticPr fontId="16"/>
  </si>
  <si>
    <t>塗装不良区分</t>
    <phoneticPr fontId="1"/>
  </si>
  <si>
    <t>PAINT_FAILURE_DIVISION</t>
    <phoneticPr fontId="16"/>
  </si>
  <si>
    <t>空欄：該当せず
１：不良
２：成形不良
３：仕上不良</t>
  </si>
  <si>
    <t>表示区分</t>
    <phoneticPr fontId="1"/>
  </si>
  <si>
    <t>DISPLAY_DIVISION</t>
    <phoneticPr fontId="16"/>
  </si>
  <si>
    <t>０：表示
１：非表示</t>
  </si>
  <si>
    <t>M_CODE_MASTER</t>
  </si>
  <si>
    <t>M_CODE_MASTER</t>
    <phoneticPr fontId="1"/>
  </si>
  <si>
    <t>コードマスタ</t>
    <phoneticPr fontId="16"/>
  </si>
  <si>
    <t>各種コードと表示値を保持するマスタ</t>
  </si>
  <si>
    <t>コード区分</t>
    <phoneticPr fontId="1"/>
  </si>
  <si>
    <t>CODE_DIVISION</t>
    <phoneticPr fontId="16"/>
  </si>
  <si>
    <t>コード</t>
    <phoneticPr fontId="1"/>
  </si>
  <si>
    <t>CODE</t>
    <phoneticPr fontId="16"/>
  </si>
  <si>
    <t>コード名称</t>
    <phoneticPr fontId="1"/>
  </si>
  <si>
    <t>CODE_NAME</t>
    <phoneticPr fontId="16"/>
  </si>
  <si>
    <t>コード名称（英語）</t>
    <phoneticPr fontId="1"/>
  </si>
  <si>
    <t>CODE_NAME_(ENGLISH)</t>
    <phoneticPr fontId="16"/>
  </si>
  <si>
    <t>項目１</t>
    <phoneticPr fontId="1"/>
  </si>
  <si>
    <t>ITEM_1</t>
    <phoneticPr fontId="16"/>
  </si>
  <si>
    <t>項目２</t>
    <phoneticPr fontId="1"/>
  </si>
  <si>
    <t>ITEM_2</t>
    <phoneticPr fontId="16"/>
  </si>
  <si>
    <t>項目３</t>
    <phoneticPr fontId="1"/>
  </si>
  <si>
    <t>ITEM_3</t>
    <phoneticPr fontId="16"/>
  </si>
  <si>
    <t>項目４</t>
    <phoneticPr fontId="1"/>
  </si>
  <si>
    <t>ITEM_4</t>
    <phoneticPr fontId="16"/>
  </si>
  <si>
    <t>項目５</t>
    <phoneticPr fontId="1"/>
  </si>
  <si>
    <t>ITEM_5</t>
    <phoneticPr fontId="16"/>
  </si>
  <si>
    <t>M_EMPLOYEE_MASTER</t>
  </si>
  <si>
    <t>M_EMPLOYEE_MASTER</t>
    <phoneticPr fontId="1"/>
  </si>
  <si>
    <t>社員マスタ</t>
    <phoneticPr fontId="16"/>
  </si>
  <si>
    <t>社員情報を定義するマスタ</t>
  </si>
  <si>
    <t>氏名</t>
    <phoneticPr fontId="1"/>
  </si>
  <si>
    <t>USER_NAME</t>
    <phoneticPr fontId="16"/>
  </si>
  <si>
    <t>稼働日情報を定義するマスタ</t>
  </si>
  <si>
    <t>稼働年月日</t>
    <phoneticPr fontId="1"/>
  </si>
  <si>
    <t>OPERATION_DATE</t>
    <phoneticPr fontId="16"/>
  </si>
  <si>
    <t>稼働区分</t>
    <phoneticPr fontId="1"/>
  </si>
  <si>
    <t>OPERATION_DIVISION</t>
    <phoneticPr fontId="16"/>
  </si>
  <si>
    <t>０：非稼働
１：稼働</t>
  </si>
  <si>
    <t>M_BREAK_TIME_MASTER</t>
  </si>
  <si>
    <t>M_BREAK_TIME_MASTER</t>
    <phoneticPr fontId="1"/>
  </si>
  <si>
    <t>休憩時間を定義するマスタ</t>
  </si>
  <si>
    <t>１，２，３・・・</t>
  </si>
  <si>
    <t>休憩開始時間</t>
    <phoneticPr fontId="1"/>
  </si>
  <si>
    <t>BREAK_START_TIME</t>
    <phoneticPr fontId="16"/>
  </si>
  <si>
    <t>HH:MM　　時間は２４H</t>
  </si>
  <si>
    <t>休憩終了時間</t>
    <phoneticPr fontId="1"/>
  </si>
  <si>
    <t>BREAK_END_TIME</t>
    <phoneticPr fontId="16"/>
  </si>
  <si>
    <t>休憩時間</t>
    <phoneticPr fontId="1"/>
  </si>
  <si>
    <t>BREAK_TIME</t>
    <phoneticPr fontId="16"/>
  </si>
  <si>
    <t>日付変更区分</t>
    <phoneticPr fontId="1"/>
  </si>
  <si>
    <t>DATE_CHANGE_DIVISION</t>
    <phoneticPr fontId="16"/>
  </si>
  <si>
    <t>事業所マスタ</t>
    <phoneticPr fontId="16"/>
  </si>
  <si>
    <t>事業所情報を定義するマスタ</t>
  </si>
  <si>
    <t>Q：九州、D：五所宮、F：下館、C：HCAT</t>
  </si>
  <si>
    <t>事業所名称</t>
    <phoneticPr fontId="1"/>
  </si>
  <si>
    <t>事業所正式名</t>
    <phoneticPr fontId="1"/>
  </si>
  <si>
    <t>M_PRODUCT_MASTER</t>
  </si>
  <si>
    <t>M_PRODUCT_MASTER</t>
    <phoneticPr fontId="1"/>
  </si>
  <si>
    <t>品種マスタ</t>
    <phoneticPr fontId="16"/>
  </si>
  <si>
    <t>品種情報を定義するマスタ</t>
  </si>
  <si>
    <t>品種名</t>
    <phoneticPr fontId="1"/>
  </si>
  <si>
    <t>PRODUCT_NAME</t>
    <phoneticPr fontId="16"/>
  </si>
  <si>
    <t>M_PASSWORD_MASTER</t>
  </si>
  <si>
    <t>M_PASSWORD_MASTER</t>
    <phoneticPr fontId="1"/>
  </si>
  <si>
    <t>パスワードマスタ</t>
    <phoneticPr fontId="16"/>
  </si>
  <si>
    <t>パスワードを保持するマスタ</t>
  </si>
  <si>
    <t>パスワード種別</t>
    <phoneticPr fontId="1"/>
  </si>
  <si>
    <t>PASSWORD_TYPE</t>
    <phoneticPr fontId="16"/>
  </si>
  <si>
    <t>パスワード</t>
    <phoneticPr fontId="1"/>
  </si>
  <si>
    <t>PASSWORD</t>
    <phoneticPr fontId="16"/>
  </si>
  <si>
    <t>M_IP_ADDRESS_MANAGEMENT_MASTER</t>
  </si>
  <si>
    <t>M_IP_ADDRESS_MANAGEMENT_MASTER</t>
    <phoneticPr fontId="1"/>
  </si>
  <si>
    <t>ＩＰアドレス管理マスタ</t>
    <phoneticPr fontId="16"/>
  </si>
  <si>
    <t>IPアドレスを保持するマスタ</t>
  </si>
  <si>
    <t>ＩＰアドレス</t>
    <phoneticPr fontId="1"/>
  </si>
  <si>
    <t>IP_ADDRESS</t>
    <phoneticPr fontId="16"/>
  </si>
  <si>
    <t>設備コード</t>
    <phoneticPr fontId="1"/>
  </si>
  <si>
    <t>EQUIPMENT_CODE</t>
    <phoneticPr fontId="16"/>
  </si>
  <si>
    <t>用途区分</t>
    <phoneticPr fontId="1"/>
  </si>
  <si>
    <t>USE_DIVISION</t>
    <phoneticPr fontId="16"/>
  </si>
  <si>
    <t>機種</t>
    <phoneticPr fontId="1"/>
  </si>
  <si>
    <t>MODEL</t>
    <phoneticPr fontId="16"/>
  </si>
  <si>
    <t>M_NUMBERING_MASTER</t>
    <phoneticPr fontId="1"/>
  </si>
  <si>
    <t>採番マスタ</t>
    <phoneticPr fontId="16"/>
  </si>
  <si>
    <t>採番管理をするマスタ</t>
  </si>
  <si>
    <t>管理ＮＯ種別</t>
    <phoneticPr fontId="1"/>
  </si>
  <si>
    <t>MANAGEMENT_NO_TYPE</t>
    <phoneticPr fontId="16"/>
  </si>
  <si>
    <t>固定部</t>
    <phoneticPr fontId="1"/>
  </si>
  <si>
    <t>FIXED_PART</t>
    <phoneticPr fontId="16"/>
  </si>
  <si>
    <t>変動データ部</t>
    <phoneticPr fontId="1"/>
  </si>
  <si>
    <t>FLUCTUATION_DATA_SECTION</t>
    <phoneticPr fontId="16"/>
  </si>
  <si>
    <t>番号</t>
    <phoneticPr fontId="1"/>
  </si>
  <si>
    <t>LATEST_NUMBER</t>
    <phoneticPr fontId="16"/>
  </si>
  <si>
    <t>M_READ_LABEL_GROUP_MASTER</t>
  </si>
  <si>
    <t>M_READ_LABEL_GROUP_MASTER</t>
    <phoneticPr fontId="1"/>
  </si>
  <si>
    <t>読込ラベルグループマスタ</t>
    <phoneticPr fontId="16"/>
  </si>
  <si>
    <t>H/T画面で複数ラベル読込を行うグループを定義するマスタ</t>
  </si>
  <si>
    <t>資材品名コード</t>
    <phoneticPr fontId="1"/>
  </si>
  <si>
    <t>MATERIAL_NAME_CODE</t>
    <phoneticPr fontId="16"/>
  </si>
  <si>
    <t>組付部品の資材品名コード</t>
  </si>
  <si>
    <t>ポカヨケフラグ</t>
    <phoneticPr fontId="1"/>
  </si>
  <si>
    <t>POKAYOKE_FLAG</t>
    <phoneticPr fontId="16"/>
  </si>
  <si>
    <t>０：チェックしない
１：チェックする</t>
  </si>
  <si>
    <t>M_LABEL_DEFINITION_MASTER</t>
  </si>
  <si>
    <t>M_LABEL_DEFINITION_MASTER</t>
    <phoneticPr fontId="1"/>
  </si>
  <si>
    <t>ラベル定義マスタ</t>
    <phoneticPr fontId="16"/>
  </si>
  <si>
    <t>H/T画面で読み込む組付部品バーコードの部品番号部分を定義するマスタ</t>
  </si>
  <si>
    <t>ポカヨケ対象となる使用資材マスタの資材品名コード</t>
  </si>
  <si>
    <t>読込開始位置</t>
    <phoneticPr fontId="1"/>
  </si>
  <si>
    <t>READING_START_POSITION</t>
    <phoneticPr fontId="16"/>
  </si>
  <si>
    <t>資材バーコードの部品番号開始位置</t>
  </si>
  <si>
    <t>読込桁数</t>
    <phoneticPr fontId="1"/>
  </si>
  <si>
    <t>READING_DIGIT</t>
    <phoneticPr fontId="16"/>
  </si>
  <si>
    <t>資材バーコードの部品番号桁数</t>
  </si>
  <si>
    <t>作業計画データ</t>
    <phoneticPr fontId="16"/>
  </si>
  <si>
    <t>顧客カレンダーマスタ</t>
    <rPh sb="0" eb="2">
      <t>コキャク</t>
    </rPh>
    <phoneticPr fontId="25"/>
  </si>
  <si>
    <t>M_CUSTMER_CALENDER_MASTER</t>
    <phoneticPr fontId="25"/>
  </si>
  <si>
    <t>M_NUMBERING_MASTER</t>
    <phoneticPr fontId="25"/>
  </si>
  <si>
    <t>M_PLANT_MASTER</t>
    <phoneticPr fontId="25"/>
  </si>
  <si>
    <t>PLANT_CODE</t>
  </si>
  <si>
    <t>PLANT_NAME</t>
  </si>
  <si>
    <t>PLANT_OFFICIAL_NAME</t>
  </si>
  <si>
    <t>2019.10.17</t>
    <phoneticPr fontId="25"/>
  </si>
  <si>
    <t>NDS　青木</t>
    <rPh sb="4" eb="6">
      <t>アオキ</t>
    </rPh>
    <phoneticPr fontId="25"/>
  </si>
  <si>
    <t>NDS　寺内</t>
    <rPh sb="4" eb="5">
      <t>テラ</t>
    </rPh>
    <rPh sb="5" eb="6">
      <t>ウチ</t>
    </rPh>
    <phoneticPr fontId="25"/>
  </si>
  <si>
    <t>HISYS 寺山</t>
    <rPh sb="6" eb="8">
      <t>テラヤマ</t>
    </rPh>
    <phoneticPr fontId="25"/>
  </si>
  <si>
    <t>勤務テーブルマスタ</t>
    <rPh sb="0" eb="2">
      <t>キンム</t>
    </rPh>
    <phoneticPr fontId="25"/>
  </si>
  <si>
    <t>勤務テーブルマスタ</t>
    <rPh sb="0" eb="2">
      <t>キンム</t>
    </rPh>
    <phoneticPr fontId="16"/>
  </si>
  <si>
    <t>顧客カレンダーマスタ</t>
    <phoneticPr fontId="16"/>
  </si>
  <si>
    <t>M_CUSTMER_CALENDER_MASTER</t>
    <phoneticPr fontId="1"/>
  </si>
  <si>
    <t>M_PLANT_MASTER</t>
    <phoneticPr fontId="1"/>
  </si>
  <si>
    <t>不良現象マスタ</t>
    <rPh sb="0" eb="2">
      <t>フリョウ</t>
    </rPh>
    <rPh sb="2" eb="4">
      <t>ゲンショウ</t>
    </rPh>
    <phoneticPr fontId="25"/>
  </si>
  <si>
    <t>H/T画面で不良登録時に使用するマスタ</t>
    <rPh sb="6" eb="8">
      <t>フリョウ</t>
    </rPh>
    <rPh sb="8" eb="10">
      <t>トウロク</t>
    </rPh>
    <rPh sb="10" eb="11">
      <t>トキ</t>
    </rPh>
    <rPh sb="12" eb="14">
      <t>シヨウ</t>
    </rPh>
    <phoneticPr fontId="25"/>
  </si>
  <si>
    <t>M_FAILURE_REASON_MASTER</t>
    <phoneticPr fontId="25"/>
  </si>
  <si>
    <t>不良コード</t>
  </si>
  <si>
    <t>不良現象名</t>
  </si>
  <si>
    <t>備考</t>
    <rPh sb="0" eb="2">
      <t>ビコウ</t>
    </rPh>
    <phoneticPr fontId="1"/>
  </si>
  <si>
    <t>表示区分</t>
    <rPh sb="0" eb="2">
      <t>ヒョウジ</t>
    </rPh>
    <rPh sb="2" eb="4">
      <t>クブン</t>
    </rPh>
    <phoneticPr fontId="1"/>
  </si>
  <si>
    <t>大工程コード</t>
    <rPh sb="0" eb="1">
      <t>オオ</t>
    </rPh>
    <phoneticPr fontId="25"/>
  </si>
  <si>
    <t>中工程コード</t>
    <rPh sb="0" eb="1">
      <t>ナカ</t>
    </rPh>
    <phoneticPr fontId="25"/>
  </si>
  <si>
    <t>LARGE_PROCESS_CODE</t>
  </si>
  <si>
    <t>LARGE_PROCESS_CODE</t>
    <phoneticPr fontId="16"/>
  </si>
  <si>
    <t>MIDDLE_PROCESS_CODE</t>
  </si>
  <si>
    <t>FAILURE_REASON_CODE</t>
    <phoneticPr fontId="16"/>
  </si>
  <si>
    <t>FAILURE_REASON_NAME</t>
    <phoneticPr fontId="16"/>
  </si>
  <si>
    <t>REMARKS</t>
    <phoneticPr fontId="16"/>
  </si>
  <si>
    <t>工程マスタ</t>
    <phoneticPr fontId="25"/>
  </si>
  <si>
    <t>DEFALUT '0'</t>
    <phoneticPr fontId="25"/>
  </si>
  <si>
    <t>PRODUCT_NAME_PLANT_CODE</t>
  </si>
  <si>
    <t>PLACE_PLANT_CODE</t>
  </si>
  <si>
    <t>SET_PARENT_PRODUCT_NAME_PLANT_CODE</t>
  </si>
  <si>
    <t>SUB_PRODUCT_NAME_PLANT_CODE</t>
  </si>
  <si>
    <t>置き場事業所コード</t>
    <phoneticPr fontId="1"/>
  </si>
  <si>
    <t>大工程と中工程を結び付けるマスタ</t>
    <rPh sb="4" eb="5">
      <t>チュウ</t>
    </rPh>
    <rPh sb="5" eb="7">
      <t>コウテイ</t>
    </rPh>
    <rPh sb="8" eb="9">
      <t>ムス</t>
    </rPh>
    <rPh sb="10" eb="11">
      <t>ツ</t>
    </rPh>
    <phoneticPr fontId="25"/>
  </si>
  <si>
    <t>不良現象マスタ</t>
    <rPh sb="0" eb="1">
      <t>フリョウ</t>
    </rPh>
    <rPh sb="1" eb="3">
      <t>ゲンショウ</t>
    </rPh>
    <phoneticPr fontId="16"/>
  </si>
  <si>
    <t>NCHAR</t>
    <phoneticPr fontId="25"/>
  </si>
  <si>
    <t>テーブル定義書変更履歴</t>
    <rPh sb="4" eb="6">
      <t>テイギ</t>
    </rPh>
    <rPh sb="6" eb="7">
      <t>ショ</t>
    </rPh>
    <rPh sb="7" eb="9">
      <t>ヘンコウ</t>
    </rPh>
    <rPh sb="9" eb="11">
      <t>リレキ</t>
    </rPh>
    <phoneticPr fontId="25"/>
  </si>
  <si>
    <t>更新者</t>
    <rPh sb="0" eb="3">
      <t>コウシンシャ</t>
    </rPh>
    <phoneticPr fontId="25"/>
  </si>
  <si>
    <t>更新日</t>
    <rPh sb="0" eb="3">
      <t>コウシンビ</t>
    </rPh>
    <phoneticPr fontId="25"/>
  </si>
  <si>
    <t>テーブル</t>
    <phoneticPr fontId="25"/>
  </si>
  <si>
    <t>カラム</t>
    <phoneticPr fontId="25"/>
  </si>
  <si>
    <t>更新種類</t>
    <rPh sb="0" eb="2">
      <t>コウシン</t>
    </rPh>
    <rPh sb="2" eb="4">
      <t>シュルイ</t>
    </rPh>
    <phoneticPr fontId="25"/>
  </si>
  <si>
    <t>内容</t>
    <rPh sb="0" eb="2">
      <t>ナイヨウ</t>
    </rPh>
    <phoneticPr fontId="25"/>
  </si>
  <si>
    <t>青木</t>
    <rPh sb="0" eb="2">
      <t>アオキ</t>
    </rPh>
    <phoneticPr fontId="25"/>
  </si>
  <si>
    <t>判定理由マスタ</t>
    <rPh sb="0" eb="2">
      <t>ハンテイ</t>
    </rPh>
    <rPh sb="2" eb="4">
      <t>リユウ</t>
    </rPh>
    <phoneticPr fontId="25"/>
  </si>
  <si>
    <t>テーブル名変更</t>
  </si>
  <si>
    <t>不良現象マスタに変更</t>
    <rPh sb="0" eb="2">
      <t>フリョウ</t>
    </rPh>
    <rPh sb="2" eb="4">
      <t>ゲンショウ</t>
    </rPh>
    <rPh sb="8" eb="10">
      <t>ヘンコウ</t>
    </rPh>
    <phoneticPr fontId="25"/>
  </si>
  <si>
    <t>テーブル削除</t>
  </si>
  <si>
    <t>旧マスタのため削除</t>
    <rPh sb="0" eb="1">
      <t>キュウ</t>
    </rPh>
    <rPh sb="7" eb="9">
      <t>サクジョ</t>
    </rPh>
    <phoneticPr fontId="25"/>
  </si>
  <si>
    <t>実績管理</t>
    <rPh sb="0" eb="2">
      <t>ジッセキ</t>
    </rPh>
    <rPh sb="2" eb="4">
      <t>カンリ</t>
    </rPh>
    <phoneticPr fontId="25"/>
  </si>
  <si>
    <t>実績登録</t>
    <rPh sb="0" eb="2">
      <t>ジッセキ</t>
    </rPh>
    <rPh sb="2" eb="4">
      <t>トウロク</t>
    </rPh>
    <phoneticPr fontId="25"/>
  </si>
  <si>
    <t>理由コード</t>
    <rPh sb="0" eb="2">
      <t>リユウ</t>
    </rPh>
    <phoneticPr fontId="25"/>
  </si>
  <si>
    <t>カラム変更</t>
  </si>
  <si>
    <t>ボタン表示</t>
    <rPh sb="3" eb="5">
      <t>ヒョウジ</t>
    </rPh>
    <phoneticPr fontId="25"/>
  </si>
  <si>
    <t>ボタン表示順序</t>
    <rPh sb="3" eb="5">
      <t>ヒョウジ</t>
    </rPh>
    <rPh sb="5" eb="7">
      <t>ジュンジョ</t>
    </rPh>
    <phoneticPr fontId="25"/>
  </si>
  <si>
    <t>カラム削除</t>
  </si>
  <si>
    <t>表示順序のみで対応可能なため</t>
    <rPh sb="0" eb="2">
      <t>ヒョウジ</t>
    </rPh>
    <rPh sb="2" eb="4">
      <t>ジュンジョ</t>
    </rPh>
    <rPh sb="7" eb="9">
      <t>タイオウ</t>
    </rPh>
    <rPh sb="9" eb="11">
      <t>カノウ</t>
    </rPh>
    <phoneticPr fontId="25"/>
  </si>
  <si>
    <t>NVARCHAR(4)⇒NCHAR(2)　不良現象マスタのカラムに定義を合わせる</t>
    <rPh sb="21" eb="23">
      <t>フリョウ</t>
    </rPh>
    <rPh sb="23" eb="25">
      <t>ゲンショウ</t>
    </rPh>
    <rPh sb="33" eb="35">
      <t>テイギ</t>
    </rPh>
    <rPh sb="36" eb="37">
      <t>ア</t>
    </rPh>
    <phoneticPr fontId="25"/>
  </si>
  <si>
    <t>テーブル変更</t>
  </si>
  <si>
    <t>主キー変更。旧：大工程コード、理由コード、理由区分　⇒　新：大工程コード、理由コード</t>
    <rPh sb="0" eb="1">
      <t>シュ</t>
    </rPh>
    <rPh sb="3" eb="5">
      <t>ヘンコウ</t>
    </rPh>
    <rPh sb="6" eb="7">
      <t>キュウ</t>
    </rPh>
    <rPh sb="8" eb="9">
      <t>ダイ</t>
    </rPh>
    <rPh sb="9" eb="11">
      <t>コウテイ</t>
    </rPh>
    <rPh sb="15" eb="17">
      <t>リユウ</t>
    </rPh>
    <rPh sb="21" eb="23">
      <t>リユウ</t>
    </rPh>
    <rPh sb="23" eb="25">
      <t>クブン</t>
    </rPh>
    <rPh sb="28" eb="29">
      <t>シン</t>
    </rPh>
    <rPh sb="30" eb="31">
      <t>ダイ</t>
    </rPh>
    <rPh sb="31" eb="33">
      <t>コウテイ</t>
    </rPh>
    <rPh sb="37" eb="39">
      <t>リユウ</t>
    </rPh>
    <phoneticPr fontId="25"/>
  </si>
  <si>
    <t>不良現象マスタ</t>
    <rPh sb="0" eb="2">
      <t>フリョウ</t>
    </rPh>
    <rPh sb="2" eb="4">
      <t>ゲンショウ</t>
    </rPh>
    <phoneticPr fontId="25"/>
  </si>
  <si>
    <t>その他払出画面の振替区分（コードマスタ定義）</t>
    <rPh sb="19" eb="21">
      <t>テイギ</t>
    </rPh>
    <phoneticPr fontId="25"/>
  </si>
  <si>
    <t>払出区分</t>
    <rPh sb="0" eb="1">
      <t>ハライダシ</t>
    </rPh>
    <phoneticPr fontId="1"/>
  </si>
  <si>
    <t>PAYMENT_CD</t>
    <phoneticPr fontId="16"/>
  </si>
  <si>
    <t>その他払出画面の払出区分（コードマスタ定義）</t>
    <rPh sb="8" eb="10">
      <t>ハライダシ</t>
    </rPh>
    <rPh sb="19" eb="21">
      <t>テイギ</t>
    </rPh>
    <phoneticPr fontId="25"/>
  </si>
  <si>
    <t>01：受入 02：払出 03：受入移動 04：払出移動 05：受入（再塗装）06：払出（再塗装）07:その他受入 08:その他払出
09:その他受入取消 0A:その他払出取消</t>
    <rPh sb="53" eb="54">
      <t>タ</t>
    </rPh>
    <rPh sb="54" eb="56">
      <t>ウケイレ</t>
    </rPh>
    <rPh sb="62" eb="63">
      <t>タ</t>
    </rPh>
    <rPh sb="63" eb="65">
      <t>ハライダシ</t>
    </rPh>
    <phoneticPr fontId="25"/>
  </si>
  <si>
    <t>当月その他払出数量</t>
    <rPh sb="4" eb="5">
      <t>タ</t>
    </rPh>
    <phoneticPr fontId="1"/>
  </si>
  <si>
    <t>当月その他受入数量</t>
    <rPh sb="4" eb="5">
      <t>タ</t>
    </rPh>
    <rPh sb="5" eb="7">
      <t>ウケイレ</t>
    </rPh>
    <phoneticPr fontId="1"/>
  </si>
  <si>
    <t>MONTHLY_OTHER_ACCEPTED_QUANTITY</t>
    <phoneticPr fontId="16"/>
  </si>
  <si>
    <t>MONTHLY_OTHER_DELIVERY_QUANTITY</t>
    <phoneticPr fontId="1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</si>
</sst>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quot;件&quot;"/>
    <numFmt numFmtId="177" formatCode="yyyy/mm/dd"/>
  </numFmts>
  <fonts count="29">
    <font>
      <sz val="11"/>
      <name val="明朝"/>
      <family val="1"/>
      <charset val="128"/>
    </font>
    <font>
      <sz val="11"/>
      <name val="明朝"/>
      <family val="1"/>
      <charset val="128"/>
    </font>
    <font>
      <sz val="11"/>
      <name val="ＭＳ ゴシック"/>
      <family val="3"/>
      <charset val="128"/>
    </font>
    <font>
      <b/>
      <sz val="11"/>
      <color indexed="8"/>
      <name val="ＭＳ ゴシック"/>
      <family val="3"/>
      <charset val="128"/>
    </font>
    <font>
      <sz val="10"/>
      <color indexed="9"/>
      <name val="ＭＳ ゴシック"/>
      <family val="3"/>
      <charset val="128"/>
    </font>
    <font>
      <sz val="10"/>
      <name val="ＭＳ ゴシック"/>
      <family val="3"/>
      <charset val="128"/>
    </font>
    <font>
      <b/>
      <sz val="10"/>
      <name val="ＭＳ ゴシック"/>
      <family val="3"/>
      <charset val="128"/>
    </font>
    <font>
      <b/>
      <sz val="8"/>
      <name val="Times New Roman"/>
      <family val="1"/>
    </font>
    <font>
      <sz val="10"/>
      <name val="Times New Roman"/>
      <family val="1"/>
    </font>
    <font>
      <sz val="12"/>
      <name val="Times New Roman"/>
      <family val="1"/>
    </font>
    <font>
      <sz val="11"/>
      <name val="Times New Roman"/>
      <family val="1"/>
    </font>
    <font>
      <sz val="8"/>
      <name val="Times New Roman"/>
      <family val="1"/>
    </font>
    <font>
      <sz val="8"/>
      <color indexed="9"/>
      <name val="Times New Roman"/>
      <family val="1"/>
    </font>
    <font>
      <b/>
      <sz val="8"/>
      <color indexed="8"/>
      <name val="Times New Roman"/>
      <family val="1"/>
    </font>
    <font>
      <sz val="10"/>
      <name val="ＭＳ 明朝"/>
      <family val="1"/>
      <charset val="128"/>
    </font>
    <font>
      <sz val="10"/>
      <name val="ＭＳ Ｐ明朝"/>
      <family val="1"/>
      <charset val="128"/>
    </font>
    <font>
      <sz val="8"/>
      <name val="ＭＳ Ｐ明朝"/>
      <family val="1"/>
      <charset val="128"/>
    </font>
    <font>
      <sz val="6"/>
      <name val="ＭＳ Ｐ明朝"/>
      <family val="1"/>
      <charset val="128"/>
    </font>
    <font>
      <sz val="12"/>
      <name val="ＭＳ ゴシック"/>
      <family val="3"/>
      <charset val="128"/>
    </font>
    <font>
      <sz val="9"/>
      <color indexed="81"/>
      <name val="ＭＳ Ｐゴシック"/>
      <family val="3"/>
      <charset val="128"/>
    </font>
    <font>
      <sz val="11"/>
      <name val="メイリオ"/>
      <family val="3"/>
      <charset val="128"/>
    </font>
    <font>
      <sz val="8"/>
      <color rgb="FF000000"/>
      <name val="Times New Roman"/>
      <family val="1"/>
    </font>
    <font>
      <sz val="8"/>
      <color rgb="FF000000"/>
      <name val="ＭＳ 明朝"/>
      <family val="1"/>
      <charset val="128"/>
    </font>
    <font>
      <sz val="10"/>
      <color rgb="FF008000"/>
      <name val="ＭＳ Ｐゴシック"/>
      <family val="3"/>
      <charset val="128"/>
    </font>
    <font>
      <sz val="10"/>
      <color rgb="FFFF0000"/>
      <name val="ＭＳ Ｐゴシック"/>
      <family val="3"/>
      <charset val="128"/>
    </font>
    <font>
      <sz val="6"/>
      <name val="明朝"/>
      <family val="1"/>
      <charset val="128"/>
    </font>
    <font>
      <u/>
      <sz val="11"/>
      <color theme="10"/>
      <name val="明朝"/>
      <family val="1"/>
      <charset val="128"/>
    </font>
    <font>
      <sz val="10"/>
      <name val="メイリオ"/>
      <family val="3"/>
      <charset val="128"/>
    </font>
    <font>
      <sz val="9"/>
      <name val="ＭＳ ゴシック"/>
      <family val="3"/>
      <charset val="128"/>
    </font>
  </fonts>
  <fills count="6">
    <fill>
      <patternFill patternType="none"/>
    </fill>
    <fill>
      <patternFill patternType="gray125"/>
    </fill>
    <fill>
      <patternFill patternType="solid">
        <fgColor indexed="13"/>
        <bgColor indexed="64"/>
      </patternFill>
    </fill>
    <fill>
      <patternFill patternType="lightTrellis">
        <fgColor indexed="55"/>
      </patternFill>
    </fill>
    <fill>
      <patternFill patternType="solid">
        <fgColor indexed="22"/>
        <bgColor indexed="64"/>
      </patternFill>
    </fill>
    <fill>
      <patternFill patternType="solid">
        <fgColor indexed="26"/>
        <bgColor indexed="64"/>
      </patternFill>
    </fill>
  </fills>
  <borders count="46">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style="medium">
        <color indexed="64"/>
      </right>
      <top/>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thin">
        <color indexed="64"/>
      </bottom>
      <diagonal/>
    </border>
    <border>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dashed">
        <color indexed="64"/>
      </top>
      <bottom/>
      <diagonal/>
    </border>
    <border>
      <left/>
      <right/>
      <top style="dashed">
        <color indexed="64"/>
      </top>
      <bottom/>
      <diagonal/>
    </border>
    <border>
      <left/>
      <right style="medium">
        <color indexed="64"/>
      </right>
      <top style="dashed">
        <color indexed="64"/>
      </top>
      <bottom/>
      <diagonal/>
    </border>
    <border>
      <left style="medium">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medium">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s>
  <cellStyleXfs count="3">
    <xf numFmtId="0" fontId="0" fillId="0" borderId="0"/>
    <xf numFmtId="38" fontId="1" fillId="0" borderId="0" applyFont="0" applyFill="0" applyBorder="0" applyAlignment="0" applyProtection="0"/>
    <xf numFmtId="0" fontId="26" fillId="0" borderId="0" applyNumberFormat="0" applyFill="0" applyBorder="0" applyAlignment="0" applyProtection="0"/>
  </cellStyleXfs>
  <cellXfs count="273">
    <xf numFmtId="0" fontId="0" fillId="0" borderId="0" xfId="0"/>
    <xf numFmtId="0" fontId="4" fillId="3" borderId="10" xfId="0" applyFont="1" applyFill="1" applyBorder="1" applyAlignment="1"/>
    <xf numFmtId="0" fontId="5" fillId="3" borderId="10" xfId="0" quotePrefix="1" applyFont="1" applyFill="1" applyBorder="1" applyAlignment="1"/>
    <xf numFmtId="0" fontId="5" fillId="3" borderId="2" xfId="0" quotePrefix="1" applyFont="1" applyFill="1" applyBorder="1" applyAlignment="1">
      <alignment horizontal="left"/>
    </xf>
    <xf numFmtId="0" fontId="5" fillId="0" borderId="0" xfId="0" applyFont="1"/>
    <xf numFmtId="0" fontId="4" fillId="3" borderId="0" xfId="0" applyFont="1" applyFill="1" applyBorder="1" applyAlignment="1">
      <alignment horizontal="centerContinuous"/>
    </xf>
    <xf numFmtId="0" fontId="5" fillId="3" borderId="0" xfId="0" applyFont="1" applyFill="1" applyBorder="1" applyAlignment="1">
      <alignment horizontal="centerContinuous"/>
    </xf>
    <xf numFmtId="0" fontId="5" fillId="3" borderId="4" xfId="0" applyFont="1" applyFill="1" applyBorder="1" applyAlignment="1">
      <alignment horizontal="centerContinuous"/>
    </xf>
    <xf numFmtId="0" fontId="5" fillId="0" borderId="11" xfId="0" applyFont="1" applyBorder="1" applyAlignment="1"/>
    <xf numFmtId="0" fontId="5" fillId="3" borderId="0" xfId="0" applyFont="1" applyFill="1" applyBorder="1" applyAlignment="1"/>
    <xf numFmtId="0" fontId="5" fillId="3" borderId="4" xfId="0" applyFont="1" applyFill="1" applyBorder="1" applyAlignment="1"/>
    <xf numFmtId="0" fontId="4" fillId="3" borderId="12" xfId="0" applyFont="1" applyFill="1" applyBorder="1" applyAlignment="1"/>
    <xf numFmtId="0" fontId="5" fillId="3" borderId="12" xfId="0" applyFont="1" applyFill="1" applyBorder="1" applyAlignment="1"/>
    <xf numFmtId="0" fontId="5" fillId="3" borderId="6" xfId="0" applyFont="1" applyFill="1" applyBorder="1" applyAlignment="1"/>
    <xf numFmtId="0" fontId="5" fillId="0" borderId="13" xfId="0" applyFont="1" applyBorder="1" applyAlignment="1"/>
    <xf numFmtId="0" fontId="5" fillId="0" borderId="5" xfId="0" applyFont="1" applyBorder="1" applyAlignment="1"/>
    <xf numFmtId="0" fontId="5" fillId="0" borderId="0" xfId="0" applyFont="1" applyAlignment="1">
      <alignment horizontal="right"/>
    </xf>
    <xf numFmtId="0" fontId="8" fillId="0" borderId="14" xfId="0" applyFont="1" applyBorder="1" applyProtection="1">
      <protection locked="0"/>
    </xf>
    <xf numFmtId="0" fontId="8" fillId="0" borderId="15" xfId="0" applyFont="1" applyBorder="1" applyAlignment="1" applyProtection="1">
      <alignment horizontal="centerContinuous"/>
      <protection locked="0"/>
    </xf>
    <xf numFmtId="0" fontId="9" fillId="0" borderId="14" xfId="0" applyFont="1" applyBorder="1" applyAlignment="1" applyProtection="1">
      <alignment horizontal="center"/>
      <protection locked="0"/>
    </xf>
    <xf numFmtId="0" fontId="5" fillId="4" borderId="16" xfId="0" applyFont="1" applyFill="1" applyBorder="1" applyAlignment="1">
      <alignment horizontal="centerContinuous"/>
    </xf>
    <xf numFmtId="0" fontId="5" fillId="4" borderId="17" xfId="0" applyFont="1" applyFill="1" applyBorder="1" applyAlignment="1">
      <alignment horizontal="centerContinuous"/>
    </xf>
    <xf numFmtId="0" fontId="5" fillId="4" borderId="15" xfId="0" applyFont="1" applyFill="1" applyBorder="1" applyAlignment="1">
      <alignment horizontal="centerContinuous"/>
    </xf>
    <xf numFmtId="0" fontId="5" fillId="4" borderId="14" xfId="0" applyFont="1" applyFill="1" applyBorder="1" applyAlignment="1">
      <alignment horizontal="centerContinuous"/>
    </xf>
    <xf numFmtId="0" fontId="5" fillId="4" borderId="12" xfId="0" applyFont="1" applyFill="1" applyBorder="1" applyAlignment="1">
      <alignment horizontal="centerContinuous"/>
    </xf>
    <xf numFmtId="0" fontId="5" fillId="4" borderId="6" xfId="0" applyFont="1" applyFill="1" applyBorder="1" applyAlignment="1">
      <alignment horizontal="centerContinuous"/>
    </xf>
    <xf numFmtId="0" fontId="6" fillId="4" borderId="17" xfId="0" applyFont="1" applyFill="1" applyBorder="1" applyAlignment="1">
      <alignment horizontal="centerContinuous"/>
    </xf>
    <xf numFmtId="0" fontId="6" fillId="4" borderId="14" xfId="0" applyFont="1" applyFill="1" applyBorder="1" applyAlignment="1">
      <alignment horizontal="centerContinuous"/>
    </xf>
    <xf numFmtId="0" fontId="5" fillId="4" borderId="0" xfId="0" applyFont="1" applyFill="1" applyBorder="1"/>
    <xf numFmtId="0" fontId="5" fillId="4" borderId="4" xfId="0" applyFont="1" applyFill="1" applyBorder="1"/>
    <xf numFmtId="0" fontId="5" fillId="4" borderId="0" xfId="0" applyFont="1" applyFill="1" applyBorder="1" applyAlignment="1">
      <alignment horizontal="centerContinuous"/>
    </xf>
    <xf numFmtId="0" fontId="5" fillId="4" borderId="4" xfId="0" applyFont="1" applyFill="1" applyBorder="1" applyAlignment="1">
      <alignment horizontal="centerContinuous"/>
    </xf>
    <xf numFmtId="0" fontId="5" fillId="4" borderId="0" xfId="0" applyFont="1" applyFill="1" applyBorder="1" applyAlignment="1"/>
    <xf numFmtId="0" fontId="5" fillId="4" borderId="18" xfId="0" applyFont="1" applyFill="1" applyBorder="1" applyAlignment="1">
      <alignment horizontal="center"/>
    </xf>
    <xf numFmtId="0" fontId="5" fillId="4" borderId="7" xfId="0" quotePrefix="1" applyFont="1" applyFill="1" applyBorder="1" applyAlignment="1">
      <alignment horizontal="centerContinuous"/>
    </xf>
    <xf numFmtId="0" fontId="4" fillId="3" borderId="0" xfId="0" quotePrefix="1" applyFont="1" applyFill="1" applyBorder="1" applyAlignment="1">
      <alignment horizontal="centerContinuous"/>
    </xf>
    <xf numFmtId="0" fontId="3" fillId="3" borderId="0" xfId="0" applyFont="1" applyFill="1" applyBorder="1" applyAlignment="1">
      <alignment horizontal="centerContinuous"/>
    </xf>
    <xf numFmtId="0" fontId="10" fillId="0" borderId="14" xfId="0" applyFont="1" applyFill="1" applyBorder="1"/>
    <xf numFmtId="0" fontId="12" fillId="3" borderId="1" xfId="0" applyFont="1" applyFill="1" applyBorder="1" applyAlignment="1"/>
    <xf numFmtId="0" fontId="13" fillId="3" borderId="3" xfId="0" quotePrefix="1" applyFont="1" applyFill="1" applyBorder="1" applyAlignment="1">
      <alignment horizontal="centerContinuous"/>
    </xf>
    <xf numFmtId="0" fontId="12" fillId="3" borderId="3" xfId="0" quotePrefix="1" applyFont="1" applyFill="1" applyBorder="1" applyAlignment="1">
      <alignment horizontal="centerContinuous"/>
    </xf>
    <xf numFmtId="0" fontId="13" fillId="3" borderId="3" xfId="0" applyFont="1" applyFill="1" applyBorder="1" applyAlignment="1">
      <alignment horizontal="centerContinuous"/>
    </xf>
    <xf numFmtId="0" fontId="12" fillId="3" borderId="5" xfId="0" applyFont="1" applyFill="1" applyBorder="1" applyAlignment="1"/>
    <xf numFmtId="0" fontId="7" fillId="4" borderId="19" xfId="0" quotePrefix="1" applyFont="1" applyFill="1" applyBorder="1" applyAlignment="1">
      <alignment horizontal="centerContinuous"/>
    </xf>
    <xf numFmtId="0" fontId="7" fillId="4" borderId="20" xfId="0" quotePrefix="1" applyFont="1" applyFill="1" applyBorder="1" applyAlignment="1">
      <alignment horizontal="centerContinuous"/>
    </xf>
    <xf numFmtId="0" fontId="7" fillId="4" borderId="20" xfId="0" applyFont="1" applyFill="1" applyBorder="1" applyAlignment="1">
      <alignment horizontal="centerContinuous"/>
    </xf>
    <xf numFmtId="0" fontId="7" fillId="4" borderId="5" xfId="0" applyFont="1" applyFill="1" applyBorder="1" applyAlignment="1">
      <alignment horizontal="centerContinuous"/>
    </xf>
    <xf numFmtId="0" fontId="11" fillId="0" borderId="0" xfId="0" applyFont="1"/>
    <xf numFmtId="0" fontId="8" fillId="4" borderId="4" xfId="0" applyFont="1" applyFill="1" applyBorder="1"/>
    <xf numFmtId="0" fontId="5" fillId="4" borderId="9" xfId="0" quotePrefix="1" applyFont="1" applyFill="1" applyBorder="1" applyAlignment="1">
      <alignment horizontal="centerContinuous"/>
    </xf>
    <xf numFmtId="0" fontId="5" fillId="0" borderId="14" xfId="0" applyFont="1" applyBorder="1" applyAlignment="1" applyProtection="1">
      <alignment horizontal="center"/>
      <protection locked="0"/>
    </xf>
    <xf numFmtId="0" fontId="5" fillId="4" borderId="7" xfId="0" quotePrefix="1" applyFont="1" applyFill="1" applyBorder="1" applyAlignment="1" applyProtection="1">
      <alignment horizontal="right"/>
    </xf>
    <xf numFmtId="0" fontId="5" fillId="0" borderId="0" xfId="0" applyFont="1" applyBorder="1" applyAlignment="1" applyProtection="1">
      <alignment horizontal="right"/>
    </xf>
    <xf numFmtId="0" fontId="5" fillId="0" borderId="12" xfId="0" applyFont="1" applyBorder="1" applyAlignment="1" applyProtection="1">
      <alignment horizontal="right"/>
    </xf>
    <xf numFmtId="0" fontId="5" fillId="0" borderId="14" xfId="0" applyFont="1" applyBorder="1" applyAlignment="1" applyProtection="1">
      <alignment horizontal="right"/>
    </xf>
    <xf numFmtId="0" fontId="5" fillId="5" borderId="14" xfId="0" applyFont="1" applyFill="1" applyBorder="1" applyAlignment="1" applyProtection="1">
      <alignment horizontal="right"/>
    </xf>
    <xf numFmtId="0" fontId="5" fillId="5" borderId="6" xfId="0" applyFont="1" applyFill="1" applyBorder="1" applyAlignment="1" applyProtection="1">
      <alignment horizontal="right"/>
    </xf>
    <xf numFmtId="0" fontId="5" fillId="4" borderId="4" xfId="0" applyFont="1" applyFill="1" applyBorder="1" applyAlignment="1" applyProtection="1">
      <alignment horizontal="right"/>
    </xf>
    <xf numFmtId="0" fontId="5" fillId="0" borderId="0" xfId="0" applyFont="1" applyAlignment="1" applyProtection="1">
      <alignment horizontal="right"/>
    </xf>
    <xf numFmtId="0" fontId="8" fillId="0" borderId="14" xfId="0" applyFont="1" applyBorder="1" applyAlignment="1" applyProtection="1">
      <alignment horizontal="centerContinuous"/>
      <protection locked="0"/>
    </xf>
    <xf numFmtId="0" fontId="5" fillId="4" borderId="19" xfId="0" applyFont="1" applyFill="1" applyBorder="1" applyAlignment="1">
      <alignment horizontal="centerContinuous"/>
    </xf>
    <xf numFmtId="0" fontId="5" fillId="4" borderId="20" xfId="0" applyFont="1" applyFill="1" applyBorder="1" applyAlignment="1">
      <alignment horizontal="centerContinuous"/>
    </xf>
    <xf numFmtId="0" fontId="8" fillId="4" borderId="20" xfId="0" applyFont="1" applyFill="1" applyBorder="1" applyAlignment="1">
      <alignment horizontal="centerContinuous"/>
    </xf>
    <xf numFmtId="0" fontId="5" fillId="4" borderId="9" xfId="0" applyFont="1" applyFill="1" applyBorder="1" applyAlignment="1">
      <alignment horizontal="center"/>
    </xf>
    <xf numFmtId="0" fontId="11" fillId="4" borderId="3" xfId="0" applyFont="1" applyFill="1" applyBorder="1" applyAlignment="1">
      <alignment horizontal="centerContinuous"/>
    </xf>
    <xf numFmtId="0" fontId="10" fillId="4" borderId="4" xfId="0" applyFont="1" applyFill="1" applyBorder="1" applyAlignment="1">
      <alignment horizontal="centerContinuous"/>
    </xf>
    <xf numFmtId="0" fontId="8" fillId="4" borderId="4" xfId="0" applyFont="1" applyFill="1" applyBorder="1" applyAlignment="1">
      <alignment horizontal="center"/>
    </xf>
    <xf numFmtId="0" fontId="8" fillId="0" borderId="0" xfId="0" applyFont="1"/>
    <xf numFmtId="0" fontId="8" fillId="0" borderId="0" xfId="0" applyFont="1" applyAlignment="1">
      <alignment horizontal="right"/>
    </xf>
    <xf numFmtId="0" fontId="11" fillId="0" borderId="0" xfId="0" applyFont="1" applyBorder="1" applyAlignment="1" applyProtection="1">
      <alignment vertical="top"/>
      <protection locked="0"/>
    </xf>
    <xf numFmtId="0" fontId="10" fillId="0" borderId="0" xfId="0" applyFont="1" applyBorder="1"/>
    <xf numFmtId="0" fontId="5" fillId="4" borderId="9" xfId="0" applyFont="1" applyFill="1" applyBorder="1" applyAlignment="1">
      <alignment horizontal="centerContinuous"/>
    </xf>
    <xf numFmtId="0" fontId="5" fillId="4" borderId="8" xfId="0" applyFont="1" applyFill="1" applyBorder="1" applyAlignment="1">
      <alignment horizontal="centerContinuous"/>
    </xf>
    <xf numFmtId="0" fontId="5" fillId="0" borderId="21" xfId="0" applyFont="1" applyBorder="1" applyAlignment="1" applyProtection="1">
      <alignment horizontal="center"/>
      <protection locked="0"/>
    </xf>
    <xf numFmtId="0" fontId="5" fillId="0" borderId="0" xfId="0" applyFont="1" applyBorder="1" applyProtection="1">
      <protection locked="0"/>
    </xf>
    <xf numFmtId="0" fontId="8" fillId="0" borderId="0" xfId="0" applyFont="1" applyBorder="1" applyProtection="1">
      <protection locked="0"/>
    </xf>
    <xf numFmtId="0" fontId="8" fillId="0" borderId="0" xfId="0" applyFont="1" applyBorder="1" applyAlignment="1" applyProtection="1">
      <alignment horizontal="centerContinuous"/>
      <protection locked="0"/>
    </xf>
    <xf numFmtId="0" fontId="9" fillId="0" borderId="0" xfId="0" applyFont="1" applyBorder="1" applyAlignment="1" applyProtection="1">
      <alignment horizontal="center"/>
      <protection locked="0"/>
    </xf>
    <xf numFmtId="0" fontId="5" fillId="0" borderId="0" xfId="0" applyFont="1" applyBorder="1" applyAlignment="1" applyProtection="1">
      <alignment horizontal="center"/>
      <protection locked="0"/>
    </xf>
    <xf numFmtId="0" fontId="2" fillId="0" borderId="0" xfId="0" applyFont="1" applyBorder="1" applyAlignment="1" applyProtection="1">
      <alignment horizontal="center"/>
      <protection locked="0"/>
    </xf>
    <xf numFmtId="0" fontId="14" fillId="0" borderId="15" xfId="0" applyFont="1" applyBorder="1" applyProtection="1">
      <protection locked="0"/>
    </xf>
    <xf numFmtId="0" fontId="14" fillId="0" borderId="14" xfId="0" applyFont="1" applyBorder="1" applyProtection="1">
      <protection locked="0"/>
    </xf>
    <xf numFmtId="0" fontId="0" fillId="5" borderId="14" xfId="0" applyFill="1" applyBorder="1" applyAlignment="1">
      <alignment horizontal="centerContinuous"/>
    </xf>
    <xf numFmtId="0" fontId="0" fillId="5" borderId="6" xfId="0" applyFill="1" applyBorder="1" applyAlignment="1">
      <alignment horizontal="centerContinuous"/>
    </xf>
    <xf numFmtId="0" fontId="15" fillId="0" borderId="15" xfId="0" applyFont="1" applyBorder="1" applyProtection="1">
      <protection locked="0"/>
    </xf>
    <xf numFmtId="0" fontId="16" fillId="0" borderId="20" xfId="0" applyFont="1" applyFill="1" applyBorder="1" applyAlignment="1" applyProtection="1">
      <alignment vertical="top"/>
      <protection locked="0"/>
    </xf>
    <xf numFmtId="0" fontId="18" fillId="5" borderId="15" xfId="0" applyFont="1" applyFill="1" applyBorder="1" applyAlignment="1">
      <alignment horizontal="right"/>
    </xf>
    <xf numFmtId="0" fontId="18" fillId="5" borderId="12" xfId="0" applyFont="1" applyFill="1" applyBorder="1" applyAlignment="1">
      <alignment horizontal="right"/>
    </xf>
    <xf numFmtId="3" fontId="9" fillId="5" borderId="15" xfId="0" applyNumberFormat="1" applyFont="1" applyFill="1" applyBorder="1" applyAlignment="1">
      <alignment horizontal="right"/>
    </xf>
    <xf numFmtId="3" fontId="9" fillId="5" borderId="15" xfId="0" applyNumberFormat="1" applyFont="1" applyFill="1" applyBorder="1" applyAlignment="1"/>
    <xf numFmtId="3" fontId="9" fillId="5" borderId="12" xfId="0" applyNumberFormat="1" applyFont="1" applyFill="1" applyBorder="1" applyAlignment="1">
      <alignment horizontal="right"/>
    </xf>
    <xf numFmtId="0" fontId="8" fillId="0" borderId="16" xfId="0" applyFont="1" applyBorder="1" applyAlignment="1" applyProtection="1">
      <alignment horizontal="right"/>
    </xf>
    <xf numFmtId="0" fontId="5" fillId="0" borderId="15" xfId="0" applyFont="1" applyBorder="1" applyAlignment="1" applyProtection="1">
      <alignment horizontal="right"/>
    </xf>
    <xf numFmtId="0" fontId="5" fillId="5" borderId="15" xfId="0" applyFont="1" applyFill="1" applyBorder="1" applyAlignment="1" applyProtection="1">
      <alignment horizontal="right"/>
    </xf>
    <xf numFmtId="0" fontId="10" fillId="4" borderId="9" xfId="0" applyFont="1" applyFill="1" applyBorder="1" applyAlignment="1">
      <alignment horizontal="centerContinuous"/>
    </xf>
    <xf numFmtId="0" fontId="5" fillId="4" borderId="8" xfId="0" quotePrefix="1" applyFont="1" applyFill="1" applyBorder="1" applyAlignment="1">
      <alignment horizontal="centerContinuous"/>
    </xf>
    <xf numFmtId="0" fontId="5" fillId="4" borderId="7" xfId="0" applyFont="1" applyFill="1" applyBorder="1" applyAlignment="1">
      <alignment horizontal="center"/>
    </xf>
    <xf numFmtId="0" fontId="5" fillId="0" borderId="22" xfId="0" applyFont="1" applyBorder="1" applyAlignment="1" applyProtection="1">
      <alignment horizontal="center"/>
      <protection locked="0"/>
    </xf>
    <xf numFmtId="0" fontId="8" fillId="4" borderId="9" xfId="0" applyFont="1" applyFill="1" applyBorder="1" applyAlignment="1">
      <alignment horizontal="center" wrapText="1"/>
    </xf>
    <xf numFmtId="0" fontId="8" fillId="4" borderId="9" xfId="0" applyFont="1" applyFill="1" applyBorder="1" applyAlignment="1">
      <alignment horizontal="center"/>
    </xf>
    <xf numFmtId="0" fontId="3" fillId="3" borderId="0" xfId="0" quotePrefix="1" applyFont="1" applyFill="1" applyBorder="1" applyAlignment="1">
      <alignment horizontal="centerContinuous"/>
    </xf>
    <xf numFmtId="0" fontId="5" fillId="4" borderId="16" xfId="0" quotePrefix="1" applyFont="1" applyFill="1" applyBorder="1" applyAlignment="1">
      <alignment horizontal="centerContinuous"/>
    </xf>
    <xf numFmtId="0" fontId="5" fillId="4" borderId="15" xfId="0" quotePrefix="1" applyFont="1" applyFill="1" applyBorder="1" applyAlignment="1">
      <alignment horizontal="centerContinuous"/>
    </xf>
    <xf numFmtId="0" fontId="5" fillId="4" borderId="5" xfId="0" applyFont="1" applyFill="1" applyBorder="1" applyAlignment="1">
      <alignment horizontal="centerContinuous"/>
    </xf>
    <xf numFmtId="0" fontId="6" fillId="4" borderId="6" xfId="0" applyFont="1" applyFill="1" applyBorder="1" applyAlignment="1">
      <alignment horizontal="centerContinuous"/>
    </xf>
    <xf numFmtId="0" fontId="10" fillId="4" borderId="7" xfId="0" applyFont="1" applyFill="1" applyBorder="1" applyAlignment="1">
      <alignment horizontal="centerContinuous"/>
    </xf>
    <xf numFmtId="0" fontId="5" fillId="4" borderId="9" xfId="0" applyFont="1" applyFill="1" applyBorder="1" applyAlignment="1" applyProtection="1">
      <alignment horizontal="right"/>
    </xf>
    <xf numFmtId="0" fontId="14" fillId="0" borderId="15" xfId="0" applyFont="1" applyFill="1" applyBorder="1" applyProtection="1">
      <protection locked="0"/>
    </xf>
    <xf numFmtId="0" fontId="14" fillId="0" borderId="14" xfId="0" applyFont="1" applyFill="1" applyBorder="1" applyProtection="1">
      <protection locked="0"/>
    </xf>
    <xf numFmtId="0" fontId="15" fillId="0" borderId="15" xfId="0" applyFont="1" applyFill="1" applyBorder="1" applyProtection="1">
      <protection locked="0"/>
    </xf>
    <xf numFmtId="0" fontId="8" fillId="0" borderId="14" xfId="0" applyFont="1" applyFill="1" applyBorder="1" applyProtection="1">
      <protection locked="0"/>
    </xf>
    <xf numFmtId="0" fontId="8" fillId="0" borderId="15" xfId="0" applyFont="1" applyFill="1" applyBorder="1" applyAlignment="1" applyProtection="1">
      <alignment horizontal="centerContinuous"/>
      <protection locked="0"/>
    </xf>
    <xf numFmtId="0" fontId="8" fillId="0" borderId="14" xfId="0" applyFont="1" applyFill="1" applyBorder="1" applyAlignment="1" applyProtection="1">
      <alignment horizontal="centerContinuous"/>
      <protection locked="0"/>
    </xf>
    <xf numFmtId="0" fontId="9" fillId="0" borderId="14" xfId="0" applyFont="1" applyFill="1" applyBorder="1" applyAlignment="1" applyProtection="1">
      <alignment horizontal="center"/>
      <protection locked="0"/>
    </xf>
    <xf numFmtId="0" fontId="5" fillId="0" borderId="14" xfId="0" applyFont="1" applyFill="1" applyBorder="1" applyAlignment="1" applyProtection="1">
      <alignment horizontal="center"/>
      <protection locked="0"/>
    </xf>
    <xf numFmtId="0" fontId="5" fillId="0" borderId="21" xfId="0" applyFont="1" applyFill="1" applyBorder="1" applyAlignment="1" applyProtection="1">
      <alignment horizontal="center"/>
      <protection locked="0"/>
    </xf>
    <xf numFmtId="0" fontId="5" fillId="0" borderId="14" xfId="0" applyFont="1" applyFill="1" applyBorder="1" applyAlignment="1" applyProtection="1">
      <alignment horizontal="right"/>
    </xf>
    <xf numFmtId="0" fontId="5" fillId="0" borderId="22" xfId="0" applyFont="1" applyFill="1" applyBorder="1" applyAlignment="1" applyProtection="1">
      <alignment horizontal="center"/>
      <protection locked="0"/>
    </xf>
    <xf numFmtId="0" fontId="11" fillId="0" borderId="5" xfId="0" applyFont="1" applyFill="1" applyBorder="1" applyAlignment="1" applyProtection="1">
      <alignment vertical="top"/>
      <protection locked="0"/>
    </xf>
    <xf numFmtId="0" fontId="10" fillId="0" borderId="6" xfId="0" applyFont="1" applyFill="1" applyBorder="1"/>
    <xf numFmtId="0" fontId="14" fillId="0" borderId="12" xfId="0" applyFont="1" applyFill="1" applyBorder="1" applyProtection="1">
      <protection locked="0"/>
    </xf>
    <xf numFmtId="0" fontId="14" fillId="0" borderId="6" xfId="0" applyFont="1" applyFill="1" applyBorder="1" applyProtection="1">
      <protection locked="0"/>
    </xf>
    <xf numFmtId="0" fontId="8" fillId="0" borderId="6" xfId="0" applyFont="1" applyFill="1" applyBorder="1" applyProtection="1">
      <protection locked="0"/>
    </xf>
    <xf numFmtId="0" fontId="8" fillId="0" borderId="12" xfId="0" applyFont="1" applyFill="1" applyBorder="1" applyAlignment="1" applyProtection="1">
      <alignment horizontal="centerContinuous"/>
      <protection locked="0"/>
    </xf>
    <xf numFmtId="0" fontId="8" fillId="0" borderId="6" xfId="0" applyFont="1" applyFill="1" applyBorder="1" applyAlignment="1" applyProtection="1">
      <alignment horizontal="centerContinuous"/>
      <protection locked="0"/>
    </xf>
    <xf numFmtId="0" fontId="9" fillId="0" borderId="6" xfId="0" applyFont="1" applyFill="1" applyBorder="1" applyAlignment="1" applyProtection="1">
      <alignment horizontal="center"/>
      <protection locked="0"/>
    </xf>
    <xf numFmtId="0" fontId="5" fillId="0" borderId="6" xfId="0" applyFont="1" applyFill="1" applyBorder="1" applyAlignment="1" applyProtection="1">
      <alignment horizontal="center"/>
      <protection locked="0"/>
    </xf>
    <xf numFmtId="0" fontId="5" fillId="0" borderId="6" xfId="0" applyFont="1" applyFill="1" applyBorder="1" applyAlignment="1" applyProtection="1">
      <alignment horizontal="right"/>
    </xf>
    <xf numFmtId="0" fontId="5" fillId="0" borderId="23" xfId="0" applyFont="1" applyFill="1" applyBorder="1" applyAlignment="1" applyProtection="1">
      <alignment horizontal="center"/>
      <protection locked="0"/>
    </xf>
    <xf numFmtId="0" fontId="15" fillId="0" borderId="24" xfId="0" applyFont="1" applyFill="1" applyBorder="1" applyProtection="1">
      <protection locked="0"/>
    </xf>
    <xf numFmtId="0" fontId="5" fillId="0" borderId="3" xfId="0" applyFont="1" applyFill="1" applyBorder="1" applyAlignment="1"/>
    <xf numFmtId="0" fontId="5" fillId="4" borderId="7" xfId="0" applyFont="1" applyFill="1" applyBorder="1" applyAlignment="1">
      <alignment horizontal="center"/>
    </xf>
    <xf numFmtId="0" fontId="5" fillId="4" borderId="9" xfId="0" applyFont="1" applyFill="1" applyBorder="1" applyAlignment="1">
      <alignment horizontal="center"/>
    </xf>
    <xf numFmtId="0" fontId="20" fillId="0" borderId="0" xfId="0" applyFont="1"/>
    <xf numFmtId="0" fontId="20" fillId="2" borderId="1" xfId="0" applyFont="1" applyFill="1" applyBorder="1"/>
    <xf numFmtId="0" fontId="20" fillId="2" borderId="2" xfId="0" applyFont="1" applyFill="1" applyBorder="1"/>
    <xf numFmtId="0" fontId="20" fillId="2" borderId="3" xfId="0" applyFont="1" applyFill="1" applyBorder="1"/>
    <xf numFmtId="0" fontId="20" fillId="2" borderId="4" xfId="0" applyFont="1" applyFill="1" applyBorder="1"/>
    <xf numFmtId="0" fontId="20" fillId="2" borderId="5" xfId="0" applyFont="1" applyFill="1" applyBorder="1"/>
    <xf numFmtId="0" fontId="20" fillId="2" borderId="6" xfId="0" applyFont="1" applyFill="1" applyBorder="1"/>
    <xf numFmtId="0" fontId="20" fillId="2" borderId="7" xfId="0" applyFont="1" applyFill="1" applyBorder="1"/>
    <xf numFmtId="0" fontId="20" fillId="2" borderId="8" xfId="0" applyFont="1" applyFill="1" applyBorder="1"/>
    <xf numFmtId="0" fontId="20" fillId="2" borderId="9" xfId="0" applyFont="1" applyFill="1" applyBorder="1"/>
    <xf numFmtId="0" fontId="5" fillId="0" borderId="11" xfId="0" applyFont="1" applyFill="1" applyBorder="1" applyAlignment="1" applyProtection="1">
      <alignment horizontal="centerContinuous"/>
      <protection locked="0"/>
    </xf>
    <xf numFmtId="14" fontId="5" fillId="0" borderId="11" xfId="0" applyNumberFormat="1" applyFont="1" applyFill="1" applyBorder="1" applyAlignment="1" applyProtection="1">
      <alignment horizontal="centerContinuous"/>
      <protection locked="0"/>
    </xf>
    <xf numFmtId="0" fontId="14" fillId="0" borderId="15" xfId="0" quotePrefix="1" applyFont="1" applyBorder="1" applyProtection="1">
      <protection locked="0"/>
    </xf>
    <xf numFmtId="0" fontId="15" fillId="0" borderId="15" xfId="0" quotePrefix="1" applyFont="1" applyBorder="1" applyProtection="1">
      <protection locked="0"/>
    </xf>
    <xf numFmtId="0" fontId="8" fillId="0" borderId="24" xfId="0" applyFont="1" applyBorder="1" applyAlignment="1" applyProtection="1">
      <alignment horizontal="centerContinuous"/>
      <protection locked="0"/>
    </xf>
    <xf numFmtId="0" fontId="8" fillId="0" borderId="37" xfId="0" applyFont="1" applyBorder="1" applyAlignment="1" applyProtection="1">
      <alignment horizontal="centerContinuous"/>
      <protection locked="0"/>
    </xf>
    <xf numFmtId="0" fontId="20" fillId="0" borderId="38" xfId="0" applyFont="1" applyBorder="1"/>
    <xf numFmtId="0" fontId="15" fillId="0" borderId="20" xfId="0" quotePrefix="1" applyFont="1" applyBorder="1" applyProtection="1">
      <protection locked="0"/>
    </xf>
    <xf numFmtId="0" fontId="5" fillId="0" borderId="0" xfId="0" applyFont="1" applyBorder="1" applyAlignment="1" applyProtection="1">
      <alignment horizontal="left"/>
      <protection locked="0"/>
    </xf>
    <xf numFmtId="0" fontId="5" fillId="0" borderId="1" xfId="0" applyFont="1" applyBorder="1" applyAlignment="1"/>
    <xf numFmtId="0" fontId="4" fillId="3" borderId="0" xfId="0" applyFont="1" applyFill="1" applyBorder="1" applyAlignment="1"/>
    <xf numFmtId="0" fontId="5" fillId="4" borderId="8" xfId="0" quotePrefix="1" applyFont="1" applyFill="1" applyBorder="1" applyAlignment="1" applyProtection="1">
      <alignment horizontal="right"/>
    </xf>
    <xf numFmtId="0" fontId="5" fillId="4" borderId="18" xfId="0" quotePrefix="1" applyFont="1" applyFill="1" applyBorder="1" applyAlignment="1">
      <alignment horizontal="centerContinuous"/>
    </xf>
    <xf numFmtId="0" fontId="5" fillId="0" borderId="44" xfId="0" applyFont="1" applyBorder="1" applyAlignment="1"/>
    <xf numFmtId="0" fontId="5" fillId="0" borderId="11" xfId="0" applyFont="1" applyFill="1" applyBorder="1" applyAlignment="1" applyProtection="1">
      <protection locked="0"/>
    </xf>
    <xf numFmtId="14" fontId="5" fillId="0" borderId="11" xfId="0" applyNumberFormat="1" applyFont="1" applyFill="1" applyBorder="1" applyAlignment="1" applyProtection="1">
      <protection locked="0"/>
    </xf>
    <xf numFmtId="20" fontId="5" fillId="0" borderId="13" xfId="0" applyNumberFormat="1" applyFont="1" applyBorder="1" applyAlignment="1" applyProtection="1">
      <protection locked="0"/>
    </xf>
    <xf numFmtId="0" fontId="5" fillId="4" borderId="19" xfId="0" quotePrefix="1" applyFont="1" applyFill="1" applyBorder="1" applyAlignment="1">
      <alignment horizontal="centerContinuous"/>
    </xf>
    <xf numFmtId="0" fontId="5" fillId="4" borderId="5" xfId="0" quotePrefix="1" applyFont="1" applyFill="1" applyBorder="1" applyAlignment="1">
      <alignment horizontal="centerContinuous"/>
    </xf>
    <xf numFmtId="0" fontId="10" fillId="0" borderId="45" xfId="0" applyFont="1" applyFill="1" applyBorder="1"/>
    <xf numFmtId="0" fontId="10" fillId="4" borderId="39" xfId="0" applyFont="1" applyFill="1" applyBorder="1" applyAlignment="1">
      <alignment horizontal="centerContinuous"/>
    </xf>
    <xf numFmtId="0" fontId="5" fillId="4" borderId="7" xfId="0" applyFont="1" applyFill="1" applyBorder="1" applyAlignment="1">
      <alignment horizontal="center"/>
    </xf>
    <xf numFmtId="0" fontId="5" fillId="4" borderId="9" xfId="0" applyFont="1" applyFill="1" applyBorder="1" applyAlignment="1">
      <alignment horizontal="center"/>
    </xf>
    <xf numFmtId="0" fontId="8" fillId="0" borderId="20" xfId="0" applyFont="1" applyBorder="1" applyAlignment="1" applyProtection="1">
      <alignment horizontal="centerContinuous" shrinkToFit="1"/>
      <protection locked="0"/>
    </xf>
    <xf numFmtId="0" fontId="5" fillId="0" borderId="22" xfId="0" applyNumberFormat="1" applyFont="1" applyBorder="1" applyAlignment="1" applyProtection="1">
      <alignment horizontal="center"/>
      <protection locked="0"/>
    </xf>
    <xf numFmtId="0" fontId="5" fillId="0" borderId="22" xfId="0" applyNumberFormat="1" applyFont="1" applyFill="1" applyBorder="1" applyAlignment="1" applyProtection="1">
      <alignment horizontal="center"/>
      <protection locked="0"/>
    </xf>
    <xf numFmtId="0" fontId="5" fillId="0" borderId="23" xfId="0" applyNumberFormat="1" applyFont="1" applyFill="1" applyBorder="1" applyAlignment="1" applyProtection="1">
      <alignment horizontal="center"/>
      <protection locked="0"/>
    </xf>
    <xf numFmtId="0" fontId="5" fillId="0" borderId="2" xfId="0" applyFont="1" applyBorder="1" applyAlignment="1"/>
    <xf numFmtId="20" fontId="5" fillId="0" borderId="6" xfId="0" applyNumberFormat="1" applyFont="1" applyBorder="1" applyAlignment="1" applyProtection="1">
      <protection locked="0"/>
    </xf>
    <xf numFmtId="0" fontId="5" fillId="4" borderId="7" xfId="0" applyFont="1" applyFill="1" applyBorder="1" applyAlignment="1">
      <alignment horizontal="center"/>
    </xf>
    <xf numFmtId="0" fontId="5" fillId="4" borderId="9" xfId="0" applyFont="1" applyFill="1" applyBorder="1" applyAlignment="1">
      <alignment horizontal="center"/>
    </xf>
    <xf numFmtId="0" fontId="5" fillId="0" borderId="22" xfId="0" quotePrefix="1" applyNumberFormat="1" applyFont="1" applyBorder="1" applyAlignment="1" applyProtection="1">
      <alignment horizontal="center"/>
      <protection locked="0"/>
    </xf>
    <xf numFmtId="0" fontId="26" fillId="0" borderId="20" xfId="2" quotePrefix="1" applyBorder="1" applyProtection="1">
      <protection locked="0"/>
    </xf>
    <xf numFmtId="0" fontId="5" fillId="0" borderId="11" xfId="0" applyFont="1" applyFill="1" applyBorder="1" applyAlignment="1" applyProtection="1">
      <alignment horizontal="center"/>
      <protection locked="0"/>
    </xf>
    <xf numFmtId="14" fontId="5" fillId="0" borderId="11" xfId="0" applyNumberFormat="1" applyFont="1" applyFill="1" applyBorder="1" applyAlignment="1" applyProtection="1">
      <alignment horizontal="center"/>
      <protection locked="0"/>
    </xf>
    <xf numFmtId="0" fontId="15" fillId="0" borderId="15" xfId="0" quotePrefix="1" applyFont="1" applyFill="1" applyBorder="1" applyProtection="1">
      <protection locked="0"/>
    </xf>
    <xf numFmtId="0" fontId="27" fillId="4" borderId="38" xfId="0" applyFont="1" applyFill="1" applyBorder="1" applyAlignment="1">
      <alignment horizontal="center"/>
    </xf>
    <xf numFmtId="177" fontId="20" fillId="0" borderId="38" xfId="0" applyNumberFormat="1" applyFont="1" applyBorder="1" applyAlignment="1">
      <alignment horizontal="center"/>
    </xf>
    <xf numFmtId="0" fontId="16" fillId="0" borderId="15" xfId="0" quotePrefix="1" applyFont="1" applyBorder="1" applyProtection="1">
      <protection locked="0"/>
    </xf>
    <xf numFmtId="0" fontId="11" fillId="0" borderId="14" xfId="0" applyFont="1" applyBorder="1" applyProtection="1">
      <protection locked="0"/>
    </xf>
    <xf numFmtId="0" fontId="5" fillId="0" borderId="25" xfId="0" applyFont="1" applyBorder="1" applyAlignment="1" applyProtection="1">
      <protection locked="0"/>
    </xf>
    <xf numFmtId="0" fontId="5" fillId="0" borderId="26" xfId="0" applyFont="1" applyBorder="1" applyAlignment="1" applyProtection="1">
      <protection locked="0"/>
    </xf>
    <xf numFmtId="0" fontId="5" fillId="0" borderId="21" xfId="0" applyFont="1" applyBorder="1" applyAlignment="1" applyProtection="1">
      <protection locked="0"/>
    </xf>
    <xf numFmtId="0" fontId="3" fillId="3" borderId="0" xfId="0" quotePrefix="1" applyFont="1" applyFill="1" applyBorder="1" applyAlignment="1">
      <alignment horizontal="center"/>
    </xf>
    <xf numFmtId="0" fontId="3" fillId="3" borderId="4" xfId="0" quotePrefix="1" applyFont="1" applyFill="1" applyBorder="1" applyAlignment="1">
      <alignment horizontal="center"/>
    </xf>
    <xf numFmtId="0" fontId="3" fillId="3" borderId="0" xfId="0" applyFont="1" applyFill="1" applyBorder="1" applyAlignment="1">
      <alignment horizontal="center"/>
    </xf>
    <xf numFmtId="0" fontId="3" fillId="3" borderId="4" xfId="0" applyFont="1" applyFill="1" applyBorder="1" applyAlignment="1">
      <alignment horizontal="center"/>
    </xf>
    <xf numFmtId="0" fontId="2" fillId="0" borderId="40" xfId="0" applyFont="1" applyBorder="1" applyAlignment="1" applyProtection="1">
      <alignment horizontal="center"/>
      <protection locked="0"/>
    </xf>
    <xf numFmtId="0" fontId="2" fillId="0" borderId="41" xfId="0" applyFont="1" applyBorder="1" applyAlignment="1" applyProtection="1">
      <alignment horizontal="center"/>
      <protection locked="0"/>
    </xf>
    <xf numFmtId="0" fontId="2" fillId="0" borderId="42" xfId="0" applyFont="1" applyBorder="1" applyAlignment="1" applyProtection="1">
      <alignment horizontal="center"/>
      <protection locked="0"/>
    </xf>
    <xf numFmtId="0" fontId="2" fillId="0" borderId="43" xfId="0" applyFont="1" applyBorder="1" applyAlignment="1" applyProtection="1">
      <alignment horizontal="center"/>
      <protection locked="0"/>
    </xf>
    <xf numFmtId="0" fontId="5" fillId="4" borderId="19" xfId="0" applyFont="1" applyFill="1" applyBorder="1" applyAlignment="1">
      <alignment horizontal="center"/>
    </xf>
    <xf numFmtId="0" fontId="5" fillId="4" borderId="16" xfId="0" applyFont="1" applyFill="1" applyBorder="1" applyAlignment="1">
      <alignment horizontal="center"/>
    </xf>
    <xf numFmtId="0" fontId="5" fillId="4" borderId="17" xfId="0" applyFont="1" applyFill="1" applyBorder="1" applyAlignment="1">
      <alignment horizontal="center"/>
    </xf>
    <xf numFmtId="0" fontId="5" fillId="0" borderId="24" xfId="0" applyFont="1" applyFill="1" applyBorder="1" applyProtection="1">
      <protection locked="0"/>
    </xf>
    <xf numFmtId="0" fontId="5" fillId="0" borderId="36" xfId="0" applyFont="1" applyFill="1" applyBorder="1" applyProtection="1">
      <protection locked="0"/>
    </xf>
    <xf numFmtId="0" fontId="5" fillId="0" borderId="37" xfId="0" applyFont="1" applyFill="1" applyBorder="1" applyProtection="1">
      <protection locked="0"/>
    </xf>
    <xf numFmtId="0" fontId="5" fillId="0" borderId="25" xfId="0" applyFont="1" applyFill="1" applyBorder="1" applyProtection="1">
      <protection locked="0"/>
    </xf>
    <xf numFmtId="0" fontId="5" fillId="0" borderId="26" xfId="0" applyFont="1" applyFill="1" applyBorder="1" applyProtection="1">
      <protection locked="0"/>
    </xf>
    <xf numFmtId="0" fontId="5" fillId="0" borderId="21" xfId="0" applyFont="1" applyFill="1" applyBorder="1" applyProtection="1">
      <protection locked="0"/>
    </xf>
    <xf numFmtId="0" fontId="5" fillId="0" borderId="25" xfId="0" applyFont="1" applyBorder="1" applyProtection="1">
      <protection locked="0"/>
    </xf>
    <xf numFmtId="0" fontId="5" fillId="0" borderId="26" xfId="0" applyFont="1" applyBorder="1" applyProtection="1">
      <protection locked="0"/>
    </xf>
    <xf numFmtId="0" fontId="5" fillId="0" borderId="21" xfId="0" applyFont="1" applyBorder="1" applyProtection="1">
      <protection locked="0"/>
    </xf>
    <xf numFmtId="0" fontId="5" fillId="0" borderId="25" xfId="0" applyFont="1" applyBorder="1" applyAlignment="1" applyProtection="1">
      <alignment wrapText="1"/>
      <protection locked="0"/>
    </xf>
    <xf numFmtId="176" fontId="18" fillId="0" borderId="24" xfId="1" applyNumberFormat="1" applyFont="1" applyBorder="1" applyAlignment="1" applyProtection="1">
      <alignment horizontal="center"/>
      <protection locked="0"/>
    </xf>
    <xf numFmtId="176" fontId="18" fillId="0" borderId="36" xfId="1" applyNumberFormat="1" applyFont="1" applyBorder="1" applyAlignment="1" applyProtection="1">
      <alignment horizontal="center"/>
      <protection locked="0"/>
    </xf>
    <xf numFmtId="176" fontId="18" fillId="0" borderId="37" xfId="1" applyNumberFormat="1" applyFont="1" applyBorder="1" applyAlignment="1" applyProtection="1">
      <alignment horizontal="center"/>
      <protection locked="0"/>
    </xf>
    <xf numFmtId="0" fontId="5" fillId="0" borderId="30" xfId="0" applyFont="1" applyBorder="1" applyAlignment="1" applyProtection="1">
      <alignment horizontal="left"/>
      <protection locked="0"/>
    </xf>
    <xf numFmtId="0" fontId="5" fillId="0" borderId="31" xfId="0" applyFont="1" applyBorder="1" applyAlignment="1" applyProtection="1">
      <alignment horizontal="left"/>
      <protection locked="0"/>
    </xf>
    <xf numFmtId="0" fontId="5" fillId="0" borderId="32" xfId="0" applyFont="1" applyBorder="1" applyAlignment="1" applyProtection="1">
      <alignment horizontal="left"/>
      <protection locked="0"/>
    </xf>
    <xf numFmtId="0" fontId="5" fillId="0" borderId="27" xfId="0" applyFont="1" applyBorder="1" applyAlignment="1" applyProtection="1">
      <alignment horizontal="left"/>
      <protection locked="0"/>
    </xf>
    <xf numFmtId="0" fontId="5" fillId="0" borderId="28" xfId="0" applyFont="1" applyBorder="1" applyAlignment="1" applyProtection="1">
      <alignment horizontal="left"/>
      <protection locked="0"/>
    </xf>
    <xf numFmtId="0" fontId="5" fillId="0" borderId="29" xfId="0" applyFont="1" applyBorder="1" applyAlignment="1" applyProtection="1">
      <alignment horizontal="left"/>
      <protection locked="0"/>
    </xf>
    <xf numFmtId="0" fontId="5" fillId="4" borderId="7" xfId="0" applyFont="1" applyFill="1" applyBorder="1" applyAlignment="1">
      <alignment horizontal="center"/>
    </xf>
    <xf numFmtId="0" fontId="5" fillId="4" borderId="8" xfId="0" applyFont="1" applyFill="1" applyBorder="1" applyAlignment="1">
      <alignment horizontal="center"/>
    </xf>
    <xf numFmtId="0" fontId="5" fillId="4" borderId="9" xfId="0" applyFont="1" applyFill="1" applyBorder="1" applyAlignment="1">
      <alignment horizontal="center"/>
    </xf>
    <xf numFmtId="49" fontId="5" fillId="0" borderId="25" xfId="0" applyNumberFormat="1" applyFont="1" applyBorder="1" applyAlignment="1" applyProtection="1">
      <alignment horizontal="left"/>
      <protection locked="0"/>
    </xf>
    <xf numFmtId="49" fontId="5" fillId="0" borderId="26" xfId="0" applyNumberFormat="1" applyFont="1" applyBorder="1" applyAlignment="1" applyProtection="1">
      <alignment horizontal="left"/>
      <protection locked="0"/>
    </xf>
    <xf numFmtId="49" fontId="5" fillId="0" borderId="21" xfId="0" applyNumberFormat="1" applyFont="1" applyBorder="1" applyAlignment="1" applyProtection="1">
      <alignment horizontal="left"/>
      <protection locked="0"/>
    </xf>
    <xf numFmtId="0" fontId="2" fillId="0" borderId="19" xfId="0" applyFont="1" applyBorder="1" applyAlignment="1" applyProtection="1">
      <alignment horizontal="left"/>
      <protection locked="0"/>
    </xf>
    <xf numFmtId="0" fontId="2" fillId="0" borderId="16" xfId="0" applyFont="1" applyBorder="1" applyAlignment="1" applyProtection="1">
      <alignment horizontal="left"/>
      <protection locked="0"/>
    </xf>
    <xf numFmtId="0" fontId="2" fillId="0" borderId="17" xfId="0" applyFont="1" applyBorder="1" applyAlignment="1" applyProtection="1">
      <alignment horizontal="left"/>
      <protection locked="0"/>
    </xf>
    <xf numFmtId="0" fontId="5" fillId="0" borderId="19" xfId="0" applyFont="1" applyBorder="1" applyAlignment="1" applyProtection="1">
      <alignment horizontal="left"/>
    </xf>
    <xf numFmtId="0" fontId="5" fillId="0" borderId="16" xfId="0" applyFont="1" applyBorder="1" applyAlignment="1" applyProtection="1">
      <alignment horizontal="left"/>
    </xf>
    <xf numFmtId="0" fontId="5" fillId="0" borderId="17" xfId="0" applyFont="1" applyBorder="1" applyAlignment="1" applyProtection="1">
      <alignment horizontal="left"/>
    </xf>
    <xf numFmtId="0" fontId="2" fillId="0" borderId="25" xfId="0" applyFont="1" applyBorder="1" applyAlignment="1" applyProtection="1">
      <alignment horizontal="left"/>
      <protection locked="0"/>
    </xf>
    <xf numFmtId="0" fontId="2" fillId="0" borderId="26" xfId="0" applyFont="1" applyBorder="1" applyAlignment="1" applyProtection="1">
      <alignment horizontal="left"/>
      <protection locked="0"/>
    </xf>
    <xf numFmtId="0" fontId="2" fillId="0" borderId="21" xfId="0" applyFont="1" applyBorder="1" applyAlignment="1" applyProtection="1">
      <alignment horizontal="left"/>
      <protection locked="0"/>
    </xf>
    <xf numFmtId="0" fontId="5" fillId="0" borderId="25" xfId="0" applyNumberFormat="1" applyFont="1" applyBorder="1" applyAlignment="1">
      <alignment horizontal="left"/>
    </xf>
    <xf numFmtId="0" fontId="5" fillId="0" borderId="26" xfId="0" applyNumberFormat="1" applyFont="1" applyBorder="1" applyAlignment="1">
      <alignment horizontal="left"/>
    </xf>
    <xf numFmtId="0" fontId="5" fillId="0" borderId="21" xfId="0" applyNumberFormat="1" applyFont="1" applyBorder="1" applyAlignment="1">
      <alignment horizontal="left"/>
    </xf>
    <xf numFmtId="3" fontId="9" fillId="0" borderId="25" xfId="0" applyNumberFormat="1" applyFont="1" applyBorder="1" applyAlignment="1" applyProtection="1">
      <alignment horizontal="right"/>
      <protection locked="0"/>
    </xf>
    <xf numFmtId="3" fontId="9" fillId="0" borderId="26" xfId="0" applyNumberFormat="1" applyFont="1" applyBorder="1" applyAlignment="1" applyProtection="1">
      <alignment horizontal="right"/>
      <protection locked="0"/>
    </xf>
    <xf numFmtId="3" fontId="9" fillId="0" borderId="21" xfId="0" applyNumberFormat="1" applyFont="1" applyBorder="1" applyAlignment="1" applyProtection="1">
      <alignment horizontal="right"/>
      <protection locked="0"/>
    </xf>
    <xf numFmtId="0" fontId="5" fillId="0" borderId="25" xfId="0" applyFont="1" applyBorder="1" applyAlignment="1" applyProtection="1">
      <alignment horizontal="left"/>
      <protection locked="0"/>
    </xf>
    <xf numFmtId="0" fontId="5" fillId="0" borderId="26" xfId="0" applyFont="1" applyBorder="1" applyAlignment="1" applyProtection="1">
      <alignment horizontal="left"/>
      <protection locked="0"/>
    </xf>
    <xf numFmtId="0" fontId="5" fillId="0" borderId="21" xfId="0" applyFont="1" applyBorder="1" applyAlignment="1" applyProtection="1">
      <alignment horizontal="left"/>
      <protection locked="0"/>
    </xf>
    <xf numFmtId="14" fontId="5" fillId="0" borderId="3" xfId="0" applyNumberFormat="1" applyFont="1" applyFill="1" applyBorder="1" applyAlignment="1" applyProtection="1">
      <alignment horizontal="center"/>
      <protection locked="0"/>
    </xf>
    <xf numFmtId="14" fontId="5" fillId="0" borderId="4" xfId="0" applyNumberFormat="1" applyFont="1" applyFill="1" applyBorder="1" applyAlignment="1" applyProtection="1">
      <alignment horizontal="center"/>
      <protection locked="0"/>
    </xf>
    <xf numFmtId="0" fontId="5" fillId="0" borderId="5" xfId="0" applyFont="1" applyBorder="1" applyAlignment="1"/>
    <xf numFmtId="0" fontId="5" fillId="0" borderId="6" xfId="0" applyFont="1" applyBorder="1" applyAlignment="1"/>
    <xf numFmtId="20" fontId="5" fillId="0" borderId="5" xfId="0" applyNumberFormat="1" applyFont="1" applyBorder="1" applyAlignment="1" applyProtection="1">
      <protection locked="0"/>
    </xf>
    <xf numFmtId="20" fontId="5" fillId="0" borderId="6" xfId="0" applyNumberFormat="1" applyFont="1" applyBorder="1" applyAlignment="1" applyProtection="1">
      <protection locked="0"/>
    </xf>
    <xf numFmtId="14" fontId="5" fillId="0" borderId="30" xfId="0" applyNumberFormat="1" applyFont="1" applyBorder="1" applyAlignment="1" applyProtection="1">
      <alignment horizontal="left"/>
      <protection locked="0"/>
    </xf>
    <xf numFmtId="0" fontId="5" fillId="4" borderId="7" xfId="0" applyFont="1" applyFill="1" applyBorder="1" applyAlignment="1">
      <alignment horizontal="left"/>
    </xf>
    <xf numFmtId="0" fontId="5" fillId="4" borderId="8" xfId="0" applyFont="1" applyFill="1" applyBorder="1" applyAlignment="1">
      <alignment horizontal="left"/>
    </xf>
    <xf numFmtId="0" fontId="5" fillId="4" borderId="9" xfId="0" applyFont="1" applyFill="1" applyBorder="1" applyAlignment="1">
      <alignment horizontal="left"/>
    </xf>
    <xf numFmtId="0" fontId="5" fillId="0" borderId="1" xfId="0" applyFont="1" applyBorder="1" applyAlignment="1"/>
    <xf numFmtId="0" fontId="5" fillId="0" borderId="2" xfId="0" applyFont="1" applyBorder="1" applyAlignment="1"/>
    <xf numFmtId="0" fontId="5" fillId="0" borderId="33" xfId="0" applyFont="1" applyFill="1" applyBorder="1" applyAlignment="1" applyProtection="1">
      <alignment horizontal="left"/>
      <protection locked="0"/>
    </xf>
    <xf numFmtId="0" fontId="5" fillId="0" borderId="34" xfId="0" applyFont="1" applyFill="1" applyBorder="1" applyAlignment="1" applyProtection="1">
      <alignment horizontal="left"/>
      <protection locked="0"/>
    </xf>
    <xf numFmtId="0" fontId="5" fillId="0" borderId="35" xfId="0" applyFont="1" applyFill="1" applyBorder="1" applyAlignment="1" applyProtection="1">
      <alignment horizontal="left"/>
      <protection locked="0"/>
    </xf>
    <xf numFmtId="0" fontId="5" fillId="0" borderId="3" xfId="0" applyFont="1" applyFill="1" applyBorder="1" applyAlignment="1" applyProtection="1">
      <alignment horizontal="center"/>
      <protection locked="0"/>
    </xf>
    <xf numFmtId="0" fontId="5" fillId="0" borderId="4" xfId="0" applyFont="1" applyFill="1" applyBorder="1" applyAlignment="1" applyProtection="1">
      <alignment horizontal="center"/>
      <protection locked="0"/>
    </xf>
    <xf numFmtId="0" fontId="5" fillId="0" borderId="30" xfId="0" applyFont="1" applyFill="1" applyBorder="1" applyAlignment="1" applyProtection="1">
      <alignment horizontal="left"/>
      <protection locked="0"/>
    </xf>
    <xf numFmtId="0" fontId="5" fillId="0" borderId="31" xfId="0" applyFont="1" applyFill="1" applyBorder="1" applyAlignment="1" applyProtection="1">
      <alignment horizontal="left"/>
      <protection locked="0"/>
    </xf>
    <xf numFmtId="0" fontId="5" fillId="0" borderId="32" xfId="0" applyFont="1" applyFill="1" applyBorder="1" applyAlignment="1" applyProtection="1">
      <alignment horizontal="left"/>
      <protection locked="0"/>
    </xf>
    <xf numFmtId="0" fontId="8" fillId="0" borderId="25" xfId="0" applyFont="1" applyBorder="1" applyAlignment="1" applyProtection="1">
      <alignment horizontal="center"/>
      <protection locked="0"/>
    </xf>
    <xf numFmtId="0" fontId="8" fillId="0" borderId="21" xfId="0" applyFont="1" applyBorder="1" applyAlignment="1" applyProtection="1">
      <alignment horizontal="center"/>
      <protection locked="0"/>
    </xf>
    <xf numFmtId="0" fontId="28" fillId="0" borderId="25" xfId="0" applyFont="1" applyBorder="1" applyAlignment="1" applyProtection="1">
      <alignment wrapText="1"/>
      <protection locked="0"/>
    </xf>
    <xf numFmtId="0" fontId="28" fillId="0" borderId="26" xfId="0" applyFont="1" applyBorder="1" applyProtection="1">
      <protection locked="0"/>
    </xf>
    <xf numFmtId="0" fontId="28" fillId="0" borderId="21" xfId="0" applyFont="1" applyBorder="1" applyProtection="1">
      <protection locked="0"/>
    </xf>
    <xf numFmtId="0" fontId="8" fillId="0" borderId="19" xfId="0" applyFont="1" applyBorder="1" applyAlignment="1" applyProtection="1">
      <alignment horizontal="center"/>
      <protection locked="0"/>
    </xf>
    <xf numFmtId="0" fontId="8" fillId="0" borderId="17" xfId="0" applyFont="1" applyBorder="1" applyAlignment="1" applyProtection="1">
      <alignment horizontal="center"/>
      <protection locked="0"/>
    </xf>
    <xf numFmtId="14" fontId="5" fillId="0" borderId="3" xfId="0" applyNumberFormat="1" applyFont="1" applyFill="1" applyBorder="1" applyAlignment="1" applyProtection="1">
      <protection locked="0"/>
    </xf>
    <xf numFmtId="14" fontId="5" fillId="0" borderId="4" xfId="0" applyNumberFormat="1" applyFont="1" applyFill="1" applyBorder="1" applyAlignment="1" applyProtection="1">
      <protection locked="0"/>
    </xf>
    <xf numFmtId="0" fontId="5" fillId="0" borderId="3" xfId="0" applyFont="1" applyFill="1" applyBorder="1" applyAlignment="1" applyProtection="1">
      <protection locked="0"/>
    </xf>
    <xf numFmtId="0" fontId="5" fillId="0" borderId="4" xfId="0" applyFont="1" applyFill="1" applyBorder="1" applyAlignment="1" applyProtection="1">
      <protection locked="0"/>
    </xf>
    <xf numFmtId="0" fontId="5" fillId="0" borderId="3" xfId="0" applyFont="1" applyFill="1" applyBorder="1" applyAlignment="1"/>
    <xf numFmtId="0" fontId="5" fillId="0" borderId="4" xfId="0" applyFont="1" applyFill="1" applyBorder="1" applyAlignment="1"/>
  </cellXfs>
  <cellStyles count="3">
    <cellStyle name="ハイパーリンク" xfId="2" builtinId="8"/>
    <cellStyle name="桁区切り" xfId="1" builtinId="6"/>
    <cellStyle name="標準" xfId="0" builtinId="0"/>
  </cellStyles>
  <dxfs count="200">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ill>
        <patternFill patternType="solid">
          <bgColor rgb="FFFF00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calcChain" Target="calcChain.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Drop" dropStyle="combo" dx="31" fmlaLink="system!$C$12" fmlaRange="system!$B$2:$B$11" noThreeD="1" sel="10" val="2"/>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Drop" dropStyle="combo" dx="31" fmlaLink="system!$C$12" fmlaRange="system!$B$2:$B$11" noThreeD="1" sel="10" val="2"/>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Style="combo" dx="31" fmlaLink="system!$C$12" fmlaRange="system!$B$2:$B$11" noThreeD="1" sel="10" val="2"/>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Drop" dropStyle="combo" dx="31" fmlaLink="system!$C$12" fmlaRange="system!$B$2:$B$11" noThreeD="1" sel="10" val="2"/>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Style="combo" dx="31" fmlaLink="system!$C$12" fmlaRange="system!$B$2:$B$11" noThreeD="1" sel="10" val="2"/>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Drop" dropStyle="combo" dx="31" fmlaLink="system!$C$12" fmlaRange="system!$B$2:$B$11" noThreeD="1" sel="10" val="2"/>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31" fmlaLink="system!$C$12" fmlaRange="system!$B$2:$B$11" noThreeD="1" sel="10" val="2"/>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Drop" dropStyle="combo" dx="31" fmlaLink="system!$C$12" fmlaRange="system!$B$2:$B$11" noThreeD="1" sel="10" val="2"/>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Drop" dropStyle="combo" dx="31" fmlaLink="system!$C$12" fmlaRange="system!$B$2:$B$11" noThreeD="1" sel="10" val="2"/>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Drop" dropStyle="combo" dx="31" fmlaLink="system!$C$12" fmlaRange="system!$B$2:$B$11" noThreeD="1" sel="10" val="2"/>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Drop" dropStyle="combo" dx="31" fmlaLink="system!$C$12" fmlaRange="system!$B$2:$B$11" noThreeD="1" sel="10" val="2"/>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Drop" dropStyle="combo" dx="31" fmlaLink="system!$C$12" fmlaRange="system!$B$2:$B$11" noThreeD="1" sel="10" val="2"/>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Drop" dropStyle="combo" dx="31" fmlaLink="system!$C$12" fmlaRange="system!$B$2:$B$11" noThreeD="1" sel="10" val="2"/>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Drop" dropStyle="combo" dx="31" fmlaLink="system!$C$12" fmlaRange="system!$B$2:$B$11" noThreeD="1" sel="10" val="2"/>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Drop" dropStyle="combo" dx="31" fmlaLink="system!$C$12" fmlaRange="system!$B$2:$B$11" noThreeD="1" sel="10" val="2"/>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Drop" dropStyle="combo" dx="31" fmlaLink="system!$C$12" fmlaRange="system!$B$2:$B$11" noThreeD="1" sel="10" val="2"/>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Drop" dropStyle="combo" dx="31" fmlaLink="system!$C$12" fmlaRange="system!$B$2:$B$11" noThreeD="1" sel="10" val="2"/>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Drop" dropStyle="combo" dx="31" fmlaLink="system!$C$12" fmlaRange="system!$B$2:$B$11" noThreeD="1" sel="10" val="2"/>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Drop" dropStyle="combo" dx="31" fmlaLink="system!$C$12" fmlaRange="system!$B$2:$B$11" noThreeD="1" sel="10" val="2"/>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Drop" dropStyle="combo" dx="31" fmlaLink="system!$C$12" fmlaRange="system!$B$2:$B$11" noThreeD="1" sel="10" val="2"/>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Drop" dropStyle="combo" dx="31" fmlaLink="system!$C$12" fmlaRange="system!$B$2:$B$11" noThreeD="1" sel="10" val="2"/>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Drop" dropStyle="combo" dx="31" fmlaLink="system!$C$12" fmlaRange="system!$B$2:$B$11" noThreeD="1" sel="10" val="2"/>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Drop" dropStyle="combo" dx="31" fmlaLink="system!$C$12" fmlaRange="system!$B$2:$B$11" noThreeD="1" sel="10" val="2"/>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Drop" dropStyle="combo" dx="31" fmlaLink="system!$C$12" fmlaRange="system!$B$2:$B$11" noThreeD="1" sel="10" val="2"/>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Drop" dropStyle="combo" dx="31" fmlaLink="system!$C$12" fmlaRange="system!$B$2:$B$11" noThreeD="1" sel="10" val="2"/>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Drop" dropStyle="combo" dx="31" fmlaLink="system!$C$12" fmlaRange="system!$B$2:$B$11" noThreeD="1" sel="10" val="2"/>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Drop" dropStyle="combo" dx="31" fmlaLink="system!$C$12" fmlaRange="system!$B$2:$B$11" noThreeD="1" sel="10" val="2"/>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Drop" dropStyle="combo" dx="31" fmlaLink="system!$C$12" fmlaRange="system!$B$2:$B$11" noThreeD="1" sel="10" val="2"/>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Drop" dropStyle="combo" dx="31" fmlaLink="system!$C$12" fmlaRange="system!$B$2:$B$11" noThreeD="1" sel="10" val="2"/>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Drop" dropStyle="combo" dx="31" fmlaLink="system!$C$12" fmlaRange="system!$B$2:$B$11" noThreeD="1" sel="10" val="2"/>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Drop" dropStyle="combo" dx="31" fmlaLink="system!$C$12" fmlaRange="system!$B$2:$B$11" noThreeD="1" sel="10" val="2"/>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Drop" dropStyle="combo" dx="31" fmlaLink="system!$C$12" fmlaRange="system!$B$2:$B$11" noThreeD="1" sel="10" val="2"/>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Drop" dropStyle="combo" dx="31" fmlaLink="system!$C$12" fmlaRange="system!$B$2:$B$11" noThreeD="1" sel="10" val="2"/>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Drop" dropStyle="combo" dx="31" fmlaLink="system!$C$12" fmlaRange="system!$B$2:$B$11" noThreeD="1" sel="10" val="2"/>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Drop" dropStyle="combo" dx="31" fmlaLink="system!$C$12" fmlaRange="system!$B$2:$B$11" noThreeD="1" sel="10" val="2"/>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Drop" dropStyle="combo" dx="31" fmlaLink="system!$C$12" fmlaRange="system!$B$2:$B$11" noThreeD="1" sel="10" val="2"/>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Drop" dropStyle="combo" dx="31" fmlaLink="system!$C$12" fmlaRange="system!$B$2:$B$11" noThreeD="1" sel="10" val="2"/>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Drop" dropStyle="combo" dx="31" fmlaLink="system!$C$12" fmlaRange="system!$B$2:$B$11" noThreeD="1" sel="10" val="2"/>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Drop" dropStyle="combo" dx="31" fmlaLink="system!$C$12" fmlaRange="system!$B$2:$B$11" noThreeD="1" sel="10" val="2"/>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Drop" dropStyle="combo" dx="31" fmlaLink="system!$C$12" fmlaRange="system!$B$2:$B$11" noThreeD="1" sel="10" val="2"/>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Drop" dropStyle="combo" dx="31" fmlaLink="system!$C$12" fmlaRange="system!$B$2:$B$11" noThreeD="1" sel="10" val="2"/>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Drop" dropStyle="combo" dx="31" fmlaLink="system!$C$12" fmlaRange="system!$B$2:$B$11" noThreeD="1" sel="10" val="2"/>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Drop" dropStyle="combo" dx="31" fmlaLink="system!$C$12" fmlaRange="system!$B$2:$B$11" noThreeD="1" sel="10" val="2"/>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Drop" dropStyle="combo" dx="31" fmlaLink="system!$C$12" fmlaRange="system!$B$2:$B$11" noThreeD="1" sel="10" val="2"/>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Drop" dropStyle="combo" dx="31" fmlaLink="system!$C$12" fmlaRange="system!$B$2:$B$11" noThreeD="1" sel="10" val="2"/>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Drop" dropStyle="combo" dx="31" fmlaLink="system!$C$12" fmlaRange="system!$B$2:$B$11" noThreeD="1" sel="10" val="2"/>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Drop" dropStyle="combo" dx="31" fmlaLink="system!$C$12" fmlaRange="system!$B$2:$B$11" noThreeD="1" sel="10" val="2"/>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Drop" dropStyle="combo" dx="31" fmlaLink="system!$C$12" fmlaRange="system!$B$2:$B$11" noThreeD="1" sel="10" val="2"/>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drawings/_rels/vmlDrawing4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18433" name="Drop Down 1" hidden="1">
              <a:extLst>
                <a:ext uri="{63B3BB69-23CF-44E3-9099-C40C66FF867C}">
                  <a14:compatExt spid="_x0000_s18433"/>
                </a:ext>
                <a:ext uri="{FF2B5EF4-FFF2-40B4-BE49-F238E27FC236}">
                  <a16:creationId xmlns:a16="http://schemas.microsoft.com/office/drawing/2014/main" id="{00000000-0008-0000-0100-0000014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1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1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18436" name="Button 4" hidden="1">
              <a:extLst>
                <a:ext uri="{63B3BB69-23CF-44E3-9099-C40C66FF867C}">
                  <a14:compatExt spid="_x0000_s18436"/>
                </a:ext>
                <a:ext uri="{FF2B5EF4-FFF2-40B4-BE49-F238E27FC236}">
                  <a16:creationId xmlns:a16="http://schemas.microsoft.com/office/drawing/2014/main" id="{00000000-0008-0000-0100-000004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18437" name="Button 5" hidden="1">
              <a:extLst>
                <a:ext uri="{63B3BB69-23CF-44E3-9099-C40C66FF867C}">
                  <a14:compatExt spid="_x0000_s18437"/>
                </a:ext>
                <a:ext uri="{FF2B5EF4-FFF2-40B4-BE49-F238E27FC236}">
                  <a16:creationId xmlns:a16="http://schemas.microsoft.com/office/drawing/2014/main" id="{00000000-0008-0000-01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18438" name="Button 6" hidden="1">
              <a:extLst>
                <a:ext uri="{63B3BB69-23CF-44E3-9099-C40C66FF867C}">
                  <a14:compatExt spid="_x0000_s18438"/>
                </a:ext>
                <a:ext uri="{FF2B5EF4-FFF2-40B4-BE49-F238E27FC236}">
                  <a16:creationId xmlns:a16="http://schemas.microsoft.com/office/drawing/2014/main" id="{00000000-0008-0000-01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19457" name="Drop Dow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2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200-000004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19461" name="Button 5" hidden="1">
              <a:extLst>
                <a:ext uri="{63B3BB69-23CF-44E3-9099-C40C66FF867C}">
                  <a14:compatExt spid="_x0000_s19461"/>
                </a:ext>
                <a:ext uri="{FF2B5EF4-FFF2-40B4-BE49-F238E27FC236}">
                  <a16:creationId xmlns:a16="http://schemas.microsoft.com/office/drawing/2014/main" id="{00000000-0008-0000-0200-000005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19462" name="Button 6" hidden="1">
              <a:extLst>
                <a:ext uri="{63B3BB69-23CF-44E3-9099-C40C66FF867C}">
                  <a14:compatExt spid="_x0000_s19462"/>
                </a:ext>
                <a:ext uri="{FF2B5EF4-FFF2-40B4-BE49-F238E27FC236}">
                  <a16:creationId xmlns:a16="http://schemas.microsoft.com/office/drawing/2014/main" id="{00000000-0008-0000-0200-000006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20481" name="Drop Down 1" hidden="1">
              <a:extLst>
                <a:ext uri="{63B3BB69-23CF-44E3-9099-C40C66FF867C}">
                  <a14:compatExt spid="_x0000_s20481"/>
                </a:ext>
                <a:ext uri="{FF2B5EF4-FFF2-40B4-BE49-F238E27FC236}">
                  <a16:creationId xmlns:a16="http://schemas.microsoft.com/office/drawing/2014/main" id="{00000000-0008-0000-0300-0000015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3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3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3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20485" name="Button 5" hidden="1">
              <a:extLst>
                <a:ext uri="{63B3BB69-23CF-44E3-9099-C40C66FF867C}">
                  <a14:compatExt spid="_x0000_s20485"/>
                </a:ext>
                <a:ext uri="{FF2B5EF4-FFF2-40B4-BE49-F238E27FC236}">
                  <a16:creationId xmlns:a16="http://schemas.microsoft.com/office/drawing/2014/main" id="{00000000-0008-0000-03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3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21505" name="Drop Down 1" hidden="1">
              <a:extLst>
                <a:ext uri="{63B3BB69-23CF-44E3-9099-C40C66FF867C}">
                  <a14:compatExt spid="_x0000_s21505"/>
                </a:ext>
                <a:ext uri="{FF2B5EF4-FFF2-40B4-BE49-F238E27FC236}">
                  <a16:creationId xmlns:a16="http://schemas.microsoft.com/office/drawing/2014/main" id="{00000000-0008-0000-0400-00000154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4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400-00000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21509" name="Button 5" hidden="1">
              <a:extLst>
                <a:ext uri="{63B3BB69-23CF-44E3-9099-C40C66FF867C}">
                  <a14:compatExt spid="_x0000_s21509"/>
                </a:ext>
                <a:ext uri="{FF2B5EF4-FFF2-40B4-BE49-F238E27FC236}">
                  <a16:creationId xmlns:a16="http://schemas.microsoft.com/office/drawing/2014/main" id="{00000000-0008-0000-0400-00000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21510" name="Button 6" hidden="1">
              <a:extLst>
                <a:ext uri="{63B3BB69-23CF-44E3-9099-C40C66FF867C}">
                  <a14:compatExt spid="_x0000_s21510"/>
                </a:ext>
                <a:ext uri="{FF2B5EF4-FFF2-40B4-BE49-F238E27FC236}">
                  <a16:creationId xmlns:a16="http://schemas.microsoft.com/office/drawing/2014/main" id="{00000000-0008-0000-0400-00000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22529" name="Drop Down 1" hidden="1">
              <a:extLst>
                <a:ext uri="{63B3BB69-23CF-44E3-9099-C40C66FF867C}">
                  <a14:compatExt spid="_x0000_s22529"/>
                </a:ext>
                <a:ext uri="{FF2B5EF4-FFF2-40B4-BE49-F238E27FC236}">
                  <a16:creationId xmlns:a16="http://schemas.microsoft.com/office/drawing/2014/main" id="{00000000-0008-0000-0500-0000015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5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5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22532" name="Button 4" hidden="1">
              <a:extLst>
                <a:ext uri="{63B3BB69-23CF-44E3-9099-C40C66FF867C}">
                  <a14:compatExt spid="_x0000_s22532"/>
                </a:ext>
                <a:ext uri="{FF2B5EF4-FFF2-40B4-BE49-F238E27FC236}">
                  <a16:creationId xmlns:a16="http://schemas.microsoft.com/office/drawing/2014/main" id="{00000000-0008-0000-0500-00000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22533" name="Button 5" hidden="1">
              <a:extLst>
                <a:ext uri="{63B3BB69-23CF-44E3-9099-C40C66FF867C}">
                  <a14:compatExt spid="_x0000_s22533"/>
                </a:ext>
                <a:ext uri="{FF2B5EF4-FFF2-40B4-BE49-F238E27FC236}">
                  <a16:creationId xmlns:a16="http://schemas.microsoft.com/office/drawing/2014/main" id="{00000000-0008-0000-0500-00000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22534" name="Button 6" hidden="1">
              <a:extLst>
                <a:ext uri="{63B3BB69-23CF-44E3-9099-C40C66FF867C}">
                  <a14:compatExt spid="_x0000_s22534"/>
                </a:ext>
                <a:ext uri="{FF2B5EF4-FFF2-40B4-BE49-F238E27FC236}">
                  <a16:creationId xmlns:a16="http://schemas.microsoft.com/office/drawing/2014/main" id="{00000000-0008-0000-0500-00000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23553" name="Drop Down 1" hidden="1">
              <a:extLst>
                <a:ext uri="{63B3BB69-23CF-44E3-9099-C40C66FF867C}">
                  <a14:compatExt spid="_x0000_s23553"/>
                </a:ext>
                <a:ext uri="{FF2B5EF4-FFF2-40B4-BE49-F238E27FC236}">
                  <a16:creationId xmlns:a16="http://schemas.microsoft.com/office/drawing/2014/main" id="{00000000-0008-0000-0600-0000015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6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6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00000000-0008-0000-0600-000004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23557" name="Button 5" hidden="1">
              <a:extLst>
                <a:ext uri="{63B3BB69-23CF-44E3-9099-C40C66FF867C}">
                  <a14:compatExt spid="_x0000_s23557"/>
                </a:ext>
                <a:ext uri="{FF2B5EF4-FFF2-40B4-BE49-F238E27FC236}">
                  <a16:creationId xmlns:a16="http://schemas.microsoft.com/office/drawing/2014/main" id="{00000000-0008-0000-0600-000005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23558" name="Button 6" hidden="1">
              <a:extLst>
                <a:ext uri="{63B3BB69-23CF-44E3-9099-C40C66FF867C}">
                  <a14:compatExt spid="_x0000_s23558"/>
                </a:ext>
                <a:ext uri="{FF2B5EF4-FFF2-40B4-BE49-F238E27FC236}">
                  <a16:creationId xmlns:a16="http://schemas.microsoft.com/office/drawing/2014/main" id="{00000000-0008-0000-0600-000006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24577" name="Drop Down 1" hidden="1">
              <a:extLst>
                <a:ext uri="{63B3BB69-23CF-44E3-9099-C40C66FF867C}">
                  <a14:compatExt spid="_x0000_s24577"/>
                </a:ext>
                <a:ext uri="{FF2B5EF4-FFF2-40B4-BE49-F238E27FC236}">
                  <a16:creationId xmlns:a16="http://schemas.microsoft.com/office/drawing/2014/main" id="{00000000-0008-0000-0700-0000016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24579" name="Button 3" hidden="1">
              <a:extLst>
                <a:ext uri="{63B3BB69-23CF-44E3-9099-C40C66FF867C}">
                  <a14:compatExt spid="_x0000_s24579"/>
                </a:ext>
                <a:ext uri="{FF2B5EF4-FFF2-40B4-BE49-F238E27FC236}">
                  <a16:creationId xmlns:a16="http://schemas.microsoft.com/office/drawing/2014/main" id="{00000000-0008-0000-07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24580" name="Button 4" hidden="1">
              <a:extLst>
                <a:ext uri="{63B3BB69-23CF-44E3-9099-C40C66FF867C}">
                  <a14:compatExt spid="_x0000_s24580"/>
                </a:ext>
                <a:ext uri="{FF2B5EF4-FFF2-40B4-BE49-F238E27FC236}">
                  <a16:creationId xmlns:a16="http://schemas.microsoft.com/office/drawing/2014/main" id="{00000000-0008-0000-0700-000004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24581" name="Button 5" hidden="1">
              <a:extLst>
                <a:ext uri="{63B3BB69-23CF-44E3-9099-C40C66FF867C}">
                  <a14:compatExt spid="_x0000_s24581"/>
                </a:ext>
                <a:ext uri="{FF2B5EF4-FFF2-40B4-BE49-F238E27FC236}">
                  <a16:creationId xmlns:a16="http://schemas.microsoft.com/office/drawing/2014/main" id="{00000000-0008-0000-0700-000005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24582" name="Button 6" hidden="1">
              <a:extLst>
                <a:ext uri="{63B3BB69-23CF-44E3-9099-C40C66FF867C}">
                  <a14:compatExt spid="_x0000_s24582"/>
                </a:ext>
                <a:ext uri="{FF2B5EF4-FFF2-40B4-BE49-F238E27FC236}">
                  <a16:creationId xmlns:a16="http://schemas.microsoft.com/office/drawing/2014/main" id="{00000000-0008-0000-0700-000006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25601" name="Drop Down 1" hidden="1">
              <a:extLst>
                <a:ext uri="{63B3BB69-23CF-44E3-9099-C40C66FF867C}">
                  <a14:compatExt spid="_x0000_s25601"/>
                </a:ext>
                <a:ext uri="{FF2B5EF4-FFF2-40B4-BE49-F238E27FC236}">
                  <a16:creationId xmlns:a16="http://schemas.microsoft.com/office/drawing/2014/main" id="{00000000-0008-0000-0800-00000164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800-000002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800-000003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25604" name="Button 4" hidden="1">
              <a:extLst>
                <a:ext uri="{63B3BB69-23CF-44E3-9099-C40C66FF867C}">
                  <a14:compatExt spid="_x0000_s25604"/>
                </a:ext>
                <a:ext uri="{FF2B5EF4-FFF2-40B4-BE49-F238E27FC236}">
                  <a16:creationId xmlns:a16="http://schemas.microsoft.com/office/drawing/2014/main" id="{00000000-0008-0000-0800-000004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25605" name="Button 5" hidden="1">
              <a:extLst>
                <a:ext uri="{63B3BB69-23CF-44E3-9099-C40C66FF867C}">
                  <a14:compatExt spid="_x0000_s25605"/>
                </a:ext>
                <a:ext uri="{FF2B5EF4-FFF2-40B4-BE49-F238E27FC236}">
                  <a16:creationId xmlns:a16="http://schemas.microsoft.com/office/drawing/2014/main" id="{00000000-0008-0000-0800-000005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25606" name="Button 6" hidden="1">
              <a:extLst>
                <a:ext uri="{63B3BB69-23CF-44E3-9099-C40C66FF867C}">
                  <a14:compatExt spid="_x0000_s25606"/>
                </a:ext>
                <a:ext uri="{FF2B5EF4-FFF2-40B4-BE49-F238E27FC236}">
                  <a16:creationId xmlns:a16="http://schemas.microsoft.com/office/drawing/2014/main" id="{00000000-0008-0000-0800-000006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26625" name="Drop Down 1" hidden="1">
              <a:extLst>
                <a:ext uri="{63B3BB69-23CF-44E3-9099-C40C66FF867C}">
                  <a14:compatExt spid="_x0000_s26625"/>
                </a:ext>
                <a:ext uri="{FF2B5EF4-FFF2-40B4-BE49-F238E27FC236}">
                  <a16:creationId xmlns:a16="http://schemas.microsoft.com/office/drawing/2014/main" id="{00000000-0008-0000-0900-000001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900-000002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900-000003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900-000004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26629" name="Button 5" hidden="1">
              <a:extLst>
                <a:ext uri="{63B3BB69-23CF-44E3-9099-C40C66FF867C}">
                  <a14:compatExt spid="_x0000_s26629"/>
                </a:ext>
                <a:ext uri="{FF2B5EF4-FFF2-40B4-BE49-F238E27FC236}">
                  <a16:creationId xmlns:a16="http://schemas.microsoft.com/office/drawing/2014/main" id="{00000000-0008-0000-0900-000005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26630" name="Button 6" hidden="1">
              <a:extLst>
                <a:ext uri="{63B3BB69-23CF-44E3-9099-C40C66FF867C}">
                  <a14:compatExt spid="_x0000_s26630"/>
                </a:ext>
                <a:ext uri="{FF2B5EF4-FFF2-40B4-BE49-F238E27FC236}">
                  <a16:creationId xmlns:a16="http://schemas.microsoft.com/office/drawing/2014/main" id="{00000000-0008-0000-0900-000006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27649" name="Drop Down 1" hidden="1">
              <a:extLst>
                <a:ext uri="{63B3BB69-23CF-44E3-9099-C40C66FF867C}">
                  <a14:compatExt spid="_x0000_s27649"/>
                </a:ext>
                <a:ext uri="{FF2B5EF4-FFF2-40B4-BE49-F238E27FC236}">
                  <a16:creationId xmlns:a16="http://schemas.microsoft.com/office/drawing/2014/main" id="{00000000-0008-0000-0A00-0000016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0A00-000003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A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00000000-0008-0000-0A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27654" name="Button 6" hidden="1">
              <a:extLst>
                <a:ext uri="{63B3BB69-23CF-44E3-9099-C40C66FF867C}">
                  <a14:compatExt spid="_x0000_s27654"/>
                </a:ext>
                <a:ext uri="{FF2B5EF4-FFF2-40B4-BE49-F238E27FC236}">
                  <a16:creationId xmlns:a16="http://schemas.microsoft.com/office/drawing/2014/main" id="{00000000-0008-0000-0A00-000006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28673" name="Drop Down 1" hidden="1">
              <a:extLst>
                <a:ext uri="{63B3BB69-23CF-44E3-9099-C40C66FF867C}">
                  <a14:compatExt spid="_x0000_s28673"/>
                </a:ext>
                <a:ext uri="{FF2B5EF4-FFF2-40B4-BE49-F238E27FC236}">
                  <a16:creationId xmlns:a16="http://schemas.microsoft.com/office/drawing/2014/main" id="{00000000-0008-0000-0B00-0000017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28674" name="Button 2" hidden="1">
              <a:extLst>
                <a:ext uri="{63B3BB69-23CF-44E3-9099-C40C66FF867C}">
                  <a14:compatExt spid="_x0000_s28674"/>
                </a:ext>
                <a:ext uri="{FF2B5EF4-FFF2-40B4-BE49-F238E27FC236}">
                  <a16:creationId xmlns:a16="http://schemas.microsoft.com/office/drawing/2014/main" id="{00000000-0008-0000-0B00-000002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00000000-0008-0000-0B00-000003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28676" name="Button 4" hidden="1">
              <a:extLst>
                <a:ext uri="{63B3BB69-23CF-44E3-9099-C40C66FF867C}">
                  <a14:compatExt spid="_x0000_s28676"/>
                </a:ext>
                <a:ext uri="{FF2B5EF4-FFF2-40B4-BE49-F238E27FC236}">
                  <a16:creationId xmlns:a16="http://schemas.microsoft.com/office/drawing/2014/main" id="{00000000-0008-0000-0B00-000004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28677" name="Button 5" hidden="1">
              <a:extLst>
                <a:ext uri="{63B3BB69-23CF-44E3-9099-C40C66FF867C}">
                  <a14:compatExt spid="_x0000_s28677"/>
                </a:ext>
                <a:ext uri="{FF2B5EF4-FFF2-40B4-BE49-F238E27FC236}">
                  <a16:creationId xmlns:a16="http://schemas.microsoft.com/office/drawing/2014/main" id="{00000000-0008-0000-0B00-000005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28678" name="Button 6" hidden="1">
              <a:extLst>
                <a:ext uri="{63B3BB69-23CF-44E3-9099-C40C66FF867C}">
                  <a14:compatExt spid="_x0000_s28678"/>
                </a:ext>
                <a:ext uri="{FF2B5EF4-FFF2-40B4-BE49-F238E27FC236}">
                  <a16:creationId xmlns:a16="http://schemas.microsoft.com/office/drawing/2014/main" id="{00000000-0008-0000-0B00-000006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29697" name="Drop Down 1" hidden="1">
              <a:extLst>
                <a:ext uri="{63B3BB69-23CF-44E3-9099-C40C66FF867C}">
                  <a14:compatExt spid="_x0000_s29697"/>
                </a:ext>
                <a:ext uri="{FF2B5EF4-FFF2-40B4-BE49-F238E27FC236}">
                  <a16:creationId xmlns:a16="http://schemas.microsoft.com/office/drawing/2014/main" id="{00000000-0008-0000-0C00-00000174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C00-000002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C00-000003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C00-000004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29701" name="Button 5" hidden="1">
              <a:extLst>
                <a:ext uri="{63B3BB69-23CF-44E3-9099-C40C66FF867C}">
                  <a14:compatExt spid="_x0000_s29701"/>
                </a:ext>
                <a:ext uri="{FF2B5EF4-FFF2-40B4-BE49-F238E27FC236}">
                  <a16:creationId xmlns:a16="http://schemas.microsoft.com/office/drawing/2014/main" id="{00000000-0008-0000-0C00-000005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29702" name="Button 6" hidden="1">
              <a:extLst>
                <a:ext uri="{63B3BB69-23CF-44E3-9099-C40C66FF867C}">
                  <a14:compatExt spid="_x0000_s29702"/>
                </a:ext>
                <a:ext uri="{FF2B5EF4-FFF2-40B4-BE49-F238E27FC236}">
                  <a16:creationId xmlns:a16="http://schemas.microsoft.com/office/drawing/2014/main" id="{00000000-0008-0000-0C00-000006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30721" name="Drop Down 1" hidden="1">
              <a:extLst>
                <a:ext uri="{63B3BB69-23CF-44E3-9099-C40C66FF867C}">
                  <a14:compatExt spid="_x0000_s30721"/>
                </a:ext>
                <a:ext uri="{FF2B5EF4-FFF2-40B4-BE49-F238E27FC236}">
                  <a16:creationId xmlns:a16="http://schemas.microsoft.com/office/drawing/2014/main" id="{00000000-0008-0000-0D00-0000017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D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30723" name="Button 3" hidden="1">
              <a:extLst>
                <a:ext uri="{63B3BB69-23CF-44E3-9099-C40C66FF867C}">
                  <a14:compatExt spid="_x0000_s30723"/>
                </a:ext>
                <a:ext uri="{FF2B5EF4-FFF2-40B4-BE49-F238E27FC236}">
                  <a16:creationId xmlns:a16="http://schemas.microsoft.com/office/drawing/2014/main" id="{00000000-0008-0000-0D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30724" name="Button 4" hidden="1">
              <a:extLst>
                <a:ext uri="{63B3BB69-23CF-44E3-9099-C40C66FF867C}">
                  <a14:compatExt spid="_x0000_s30724"/>
                </a:ext>
                <a:ext uri="{FF2B5EF4-FFF2-40B4-BE49-F238E27FC236}">
                  <a16:creationId xmlns:a16="http://schemas.microsoft.com/office/drawing/2014/main" id="{00000000-0008-0000-0D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0D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30726" name="Button 6" hidden="1">
              <a:extLst>
                <a:ext uri="{63B3BB69-23CF-44E3-9099-C40C66FF867C}">
                  <a14:compatExt spid="_x0000_s30726"/>
                </a:ext>
                <a:ext uri="{FF2B5EF4-FFF2-40B4-BE49-F238E27FC236}">
                  <a16:creationId xmlns:a16="http://schemas.microsoft.com/office/drawing/2014/main" id="{00000000-0008-0000-0D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31745" name="Drop Down 1" hidden="1">
              <a:extLst>
                <a:ext uri="{63B3BB69-23CF-44E3-9099-C40C66FF867C}">
                  <a14:compatExt spid="_x0000_s31745"/>
                </a:ext>
                <a:ext uri="{FF2B5EF4-FFF2-40B4-BE49-F238E27FC236}">
                  <a16:creationId xmlns:a16="http://schemas.microsoft.com/office/drawing/2014/main" id="{00000000-0008-0000-0E00-0000017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E00-00000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31747" name="Button 3" hidden="1">
              <a:extLst>
                <a:ext uri="{63B3BB69-23CF-44E3-9099-C40C66FF867C}">
                  <a14:compatExt spid="_x0000_s31747"/>
                </a:ext>
                <a:ext uri="{FF2B5EF4-FFF2-40B4-BE49-F238E27FC236}">
                  <a16:creationId xmlns:a16="http://schemas.microsoft.com/office/drawing/2014/main" id="{00000000-0008-0000-0E00-00000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31748" name="Button 4" hidden="1">
              <a:extLst>
                <a:ext uri="{63B3BB69-23CF-44E3-9099-C40C66FF867C}">
                  <a14:compatExt spid="_x0000_s31748"/>
                </a:ext>
                <a:ext uri="{FF2B5EF4-FFF2-40B4-BE49-F238E27FC236}">
                  <a16:creationId xmlns:a16="http://schemas.microsoft.com/office/drawing/2014/main" id="{00000000-0008-0000-0E00-00000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31749" name="Button 5" hidden="1">
              <a:extLst>
                <a:ext uri="{63B3BB69-23CF-44E3-9099-C40C66FF867C}">
                  <a14:compatExt spid="_x0000_s31749"/>
                </a:ext>
                <a:ext uri="{FF2B5EF4-FFF2-40B4-BE49-F238E27FC236}">
                  <a16:creationId xmlns:a16="http://schemas.microsoft.com/office/drawing/2014/main" id="{00000000-0008-0000-0E00-00000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31750" name="Button 6" hidden="1">
              <a:extLst>
                <a:ext uri="{63B3BB69-23CF-44E3-9099-C40C66FF867C}">
                  <a14:compatExt spid="_x0000_s31750"/>
                </a:ext>
                <a:ext uri="{FF2B5EF4-FFF2-40B4-BE49-F238E27FC236}">
                  <a16:creationId xmlns:a16="http://schemas.microsoft.com/office/drawing/2014/main" id="{00000000-0008-0000-0E00-00000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32769" name="Drop Down 1" hidden="1">
              <a:extLst>
                <a:ext uri="{63B3BB69-23CF-44E3-9099-C40C66FF867C}">
                  <a14:compatExt spid="_x0000_s32769"/>
                </a:ext>
                <a:ext uri="{FF2B5EF4-FFF2-40B4-BE49-F238E27FC236}">
                  <a16:creationId xmlns:a16="http://schemas.microsoft.com/office/drawing/2014/main" id="{00000000-0008-0000-0F00-0000018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F00-000002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32771" name="Button 3" hidden="1">
              <a:extLst>
                <a:ext uri="{63B3BB69-23CF-44E3-9099-C40C66FF867C}">
                  <a14:compatExt spid="_x0000_s32771"/>
                </a:ext>
                <a:ext uri="{FF2B5EF4-FFF2-40B4-BE49-F238E27FC236}">
                  <a16:creationId xmlns:a16="http://schemas.microsoft.com/office/drawing/2014/main" id="{00000000-0008-0000-0F00-000003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32772" name="Button 4" hidden="1">
              <a:extLst>
                <a:ext uri="{63B3BB69-23CF-44E3-9099-C40C66FF867C}">
                  <a14:compatExt spid="_x0000_s32772"/>
                </a:ext>
                <a:ext uri="{FF2B5EF4-FFF2-40B4-BE49-F238E27FC236}">
                  <a16:creationId xmlns:a16="http://schemas.microsoft.com/office/drawing/2014/main" id="{00000000-0008-0000-0F00-000004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32773" name="Button 5" hidden="1">
              <a:extLst>
                <a:ext uri="{63B3BB69-23CF-44E3-9099-C40C66FF867C}">
                  <a14:compatExt spid="_x0000_s32773"/>
                </a:ext>
                <a:ext uri="{FF2B5EF4-FFF2-40B4-BE49-F238E27FC236}">
                  <a16:creationId xmlns:a16="http://schemas.microsoft.com/office/drawing/2014/main" id="{00000000-0008-0000-0F00-000005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32774" name="Button 6" hidden="1">
              <a:extLst>
                <a:ext uri="{63B3BB69-23CF-44E3-9099-C40C66FF867C}">
                  <a14:compatExt spid="_x0000_s32774"/>
                </a:ext>
                <a:ext uri="{FF2B5EF4-FFF2-40B4-BE49-F238E27FC236}">
                  <a16:creationId xmlns:a16="http://schemas.microsoft.com/office/drawing/2014/main" id="{00000000-0008-0000-0F00-000006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33793" name="Drop Down 1" hidden="1">
              <a:extLst>
                <a:ext uri="{63B3BB69-23CF-44E3-9099-C40C66FF867C}">
                  <a14:compatExt spid="_x0000_s33793"/>
                </a:ext>
                <a:ext uri="{FF2B5EF4-FFF2-40B4-BE49-F238E27FC236}">
                  <a16:creationId xmlns:a16="http://schemas.microsoft.com/office/drawing/2014/main" id="{00000000-0008-0000-1000-00000184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10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10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33796" name="Button 4" hidden="1">
              <a:extLst>
                <a:ext uri="{63B3BB69-23CF-44E3-9099-C40C66FF867C}">
                  <a14:compatExt spid="_x0000_s33796"/>
                </a:ext>
                <a:ext uri="{FF2B5EF4-FFF2-40B4-BE49-F238E27FC236}">
                  <a16:creationId xmlns:a16="http://schemas.microsoft.com/office/drawing/2014/main" id="{00000000-0008-0000-10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33797" name="Button 5" hidden="1">
              <a:extLst>
                <a:ext uri="{63B3BB69-23CF-44E3-9099-C40C66FF867C}">
                  <a14:compatExt spid="_x0000_s33797"/>
                </a:ext>
                <a:ext uri="{FF2B5EF4-FFF2-40B4-BE49-F238E27FC236}">
                  <a16:creationId xmlns:a16="http://schemas.microsoft.com/office/drawing/2014/main" id="{00000000-0008-0000-10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33798" name="Button 6" hidden="1">
              <a:extLst>
                <a:ext uri="{63B3BB69-23CF-44E3-9099-C40C66FF867C}">
                  <a14:compatExt spid="_x0000_s33798"/>
                </a:ext>
                <a:ext uri="{FF2B5EF4-FFF2-40B4-BE49-F238E27FC236}">
                  <a16:creationId xmlns:a16="http://schemas.microsoft.com/office/drawing/2014/main" id="{00000000-0008-0000-1000-00000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34817" name="Drop Down 1" hidden="1">
              <a:extLst>
                <a:ext uri="{63B3BB69-23CF-44E3-9099-C40C66FF867C}">
                  <a14:compatExt spid="_x0000_s34817"/>
                </a:ext>
                <a:ext uri="{FF2B5EF4-FFF2-40B4-BE49-F238E27FC236}">
                  <a16:creationId xmlns:a16="http://schemas.microsoft.com/office/drawing/2014/main" id="{00000000-0008-0000-1100-0000018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1100-000002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34819" name="Button 3" hidden="1">
              <a:extLst>
                <a:ext uri="{63B3BB69-23CF-44E3-9099-C40C66FF867C}">
                  <a14:compatExt spid="_x0000_s34819"/>
                </a:ext>
                <a:ext uri="{FF2B5EF4-FFF2-40B4-BE49-F238E27FC236}">
                  <a16:creationId xmlns:a16="http://schemas.microsoft.com/office/drawing/2014/main" id="{00000000-0008-0000-1100-000003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1100-000004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34821" name="Button 5" hidden="1">
              <a:extLst>
                <a:ext uri="{63B3BB69-23CF-44E3-9099-C40C66FF867C}">
                  <a14:compatExt spid="_x0000_s34821"/>
                </a:ext>
                <a:ext uri="{FF2B5EF4-FFF2-40B4-BE49-F238E27FC236}">
                  <a16:creationId xmlns:a16="http://schemas.microsoft.com/office/drawing/2014/main" id="{00000000-0008-0000-1100-000005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34822" name="Button 6" hidden="1">
              <a:extLst>
                <a:ext uri="{63B3BB69-23CF-44E3-9099-C40C66FF867C}">
                  <a14:compatExt spid="_x0000_s34822"/>
                </a:ext>
                <a:ext uri="{FF2B5EF4-FFF2-40B4-BE49-F238E27FC236}">
                  <a16:creationId xmlns:a16="http://schemas.microsoft.com/office/drawing/2014/main" id="{00000000-0008-0000-1100-000006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35841" name="Drop Down 1" hidden="1">
              <a:extLst>
                <a:ext uri="{63B3BB69-23CF-44E3-9099-C40C66FF867C}">
                  <a14:compatExt spid="_x0000_s35841"/>
                </a:ext>
                <a:ext uri="{FF2B5EF4-FFF2-40B4-BE49-F238E27FC236}">
                  <a16:creationId xmlns:a16="http://schemas.microsoft.com/office/drawing/2014/main" id="{00000000-0008-0000-1200-0000018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1200-000002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1200-000003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1200-000004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35845" name="Button 5" hidden="1">
              <a:extLst>
                <a:ext uri="{63B3BB69-23CF-44E3-9099-C40C66FF867C}">
                  <a14:compatExt spid="_x0000_s35845"/>
                </a:ext>
                <a:ext uri="{FF2B5EF4-FFF2-40B4-BE49-F238E27FC236}">
                  <a16:creationId xmlns:a16="http://schemas.microsoft.com/office/drawing/2014/main" id="{00000000-0008-0000-1200-000005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35846" name="Button 6" hidden="1">
              <a:extLst>
                <a:ext uri="{63B3BB69-23CF-44E3-9099-C40C66FF867C}">
                  <a14:compatExt spid="_x0000_s35846"/>
                </a:ext>
                <a:ext uri="{FF2B5EF4-FFF2-40B4-BE49-F238E27FC236}">
                  <a16:creationId xmlns:a16="http://schemas.microsoft.com/office/drawing/2014/main" id="{00000000-0008-0000-1200-000006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36865" name="Drop Down 1" hidden="1">
              <a:extLst>
                <a:ext uri="{63B3BB69-23CF-44E3-9099-C40C66FF867C}">
                  <a14:compatExt spid="_x0000_s36865"/>
                </a:ext>
                <a:ext uri="{FF2B5EF4-FFF2-40B4-BE49-F238E27FC236}">
                  <a16:creationId xmlns:a16="http://schemas.microsoft.com/office/drawing/2014/main" id="{00000000-0008-0000-1300-0000019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13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36867" name="Button 3" hidden="1">
              <a:extLst>
                <a:ext uri="{63B3BB69-23CF-44E3-9099-C40C66FF867C}">
                  <a14:compatExt spid="_x0000_s36867"/>
                </a:ext>
                <a:ext uri="{FF2B5EF4-FFF2-40B4-BE49-F238E27FC236}">
                  <a16:creationId xmlns:a16="http://schemas.microsoft.com/office/drawing/2014/main" id="{00000000-0008-0000-13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36868" name="Button 4" hidden="1">
              <a:extLst>
                <a:ext uri="{63B3BB69-23CF-44E3-9099-C40C66FF867C}">
                  <a14:compatExt spid="_x0000_s36868"/>
                </a:ext>
                <a:ext uri="{FF2B5EF4-FFF2-40B4-BE49-F238E27FC236}">
                  <a16:creationId xmlns:a16="http://schemas.microsoft.com/office/drawing/2014/main" id="{00000000-0008-0000-13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36869" name="Button 5" hidden="1">
              <a:extLst>
                <a:ext uri="{63B3BB69-23CF-44E3-9099-C40C66FF867C}">
                  <a14:compatExt spid="_x0000_s36869"/>
                </a:ext>
                <a:ext uri="{FF2B5EF4-FFF2-40B4-BE49-F238E27FC236}">
                  <a16:creationId xmlns:a16="http://schemas.microsoft.com/office/drawing/2014/main" id="{00000000-0008-0000-13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36870" name="Button 6" hidden="1">
              <a:extLst>
                <a:ext uri="{63B3BB69-23CF-44E3-9099-C40C66FF867C}">
                  <a14:compatExt spid="_x0000_s36870"/>
                </a:ext>
                <a:ext uri="{FF2B5EF4-FFF2-40B4-BE49-F238E27FC236}">
                  <a16:creationId xmlns:a16="http://schemas.microsoft.com/office/drawing/2014/main" id="{00000000-0008-0000-13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37889" name="Drop Down 1" hidden="1">
              <a:extLst>
                <a:ext uri="{63B3BB69-23CF-44E3-9099-C40C66FF867C}">
                  <a14:compatExt spid="_x0000_s37889"/>
                </a:ext>
                <a:ext uri="{FF2B5EF4-FFF2-40B4-BE49-F238E27FC236}">
                  <a16:creationId xmlns:a16="http://schemas.microsoft.com/office/drawing/2014/main" id="{00000000-0008-0000-1400-00000194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1400-000002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37891" name="Button 3" hidden="1">
              <a:extLst>
                <a:ext uri="{63B3BB69-23CF-44E3-9099-C40C66FF867C}">
                  <a14:compatExt spid="_x0000_s37891"/>
                </a:ext>
                <a:ext uri="{FF2B5EF4-FFF2-40B4-BE49-F238E27FC236}">
                  <a16:creationId xmlns:a16="http://schemas.microsoft.com/office/drawing/2014/main" id="{00000000-0008-0000-1400-000003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1400-000004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37893" name="Button 5" hidden="1">
              <a:extLst>
                <a:ext uri="{63B3BB69-23CF-44E3-9099-C40C66FF867C}">
                  <a14:compatExt spid="_x0000_s37893"/>
                </a:ext>
                <a:ext uri="{FF2B5EF4-FFF2-40B4-BE49-F238E27FC236}">
                  <a16:creationId xmlns:a16="http://schemas.microsoft.com/office/drawing/2014/main" id="{00000000-0008-0000-1400-000005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37894" name="Button 6" hidden="1">
              <a:extLst>
                <a:ext uri="{63B3BB69-23CF-44E3-9099-C40C66FF867C}">
                  <a14:compatExt spid="_x0000_s37894"/>
                </a:ext>
                <a:ext uri="{FF2B5EF4-FFF2-40B4-BE49-F238E27FC236}">
                  <a16:creationId xmlns:a16="http://schemas.microsoft.com/office/drawing/2014/main" id="{00000000-0008-0000-1400-000006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38913" name="Drop Down 1" hidden="1">
              <a:extLst>
                <a:ext uri="{63B3BB69-23CF-44E3-9099-C40C66FF867C}">
                  <a14:compatExt spid="_x0000_s38913"/>
                </a:ext>
                <a:ext uri="{FF2B5EF4-FFF2-40B4-BE49-F238E27FC236}">
                  <a16:creationId xmlns:a16="http://schemas.microsoft.com/office/drawing/2014/main" id="{00000000-0008-0000-1500-0000019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1500-000002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38915" name="Button 3" hidden="1">
              <a:extLst>
                <a:ext uri="{63B3BB69-23CF-44E3-9099-C40C66FF867C}">
                  <a14:compatExt spid="_x0000_s38915"/>
                </a:ext>
                <a:ext uri="{FF2B5EF4-FFF2-40B4-BE49-F238E27FC236}">
                  <a16:creationId xmlns:a16="http://schemas.microsoft.com/office/drawing/2014/main" id="{00000000-0008-0000-1500-000003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1500-000004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38917" name="Button 5" hidden="1">
              <a:extLst>
                <a:ext uri="{63B3BB69-23CF-44E3-9099-C40C66FF867C}">
                  <a14:compatExt spid="_x0000_s38917"/>
                </a:ext>
                <a:ext uri="{FF2B5EF4-FFF2-40B4-BE49-F238E27FC236}">
                  <a16:creationId xmlns:a16="http://schemas.microsoft.com/office/drawing/2014/main" id="{00000000-0008-0000-1500-000005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38918" name="Button 6" hidden="1">
              <a:extLst>
                <a:ext uri="{63B3BB69-23CF-44E3-9099-C40C66FF867C}">
                  <a14:compatExt spid="_x0000_s38918"/>
                </a:ext>
                <a:ext uri="{FF2B5EF4-FFF2-40B4-BE49-F238E27FC236}">
                  <a16:creationId xmlns:a16="http://schemas.microsoft.com/office/drawing/2014/main" id="{00000000-0008-0000-1500-000006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39937" name="Drop Down 1" hidden="1">
              <a:extLst>
                <a:ext uri="{63B3BB69-23CF-44E3-9099-C40C66FF867C}">
                  <a14:compatExt spid="_x0000_s39937"/>
                </a:ext>
                <a:ext uri="{FF2B5EF4-FFF2-40B4-BE49-F238E27FC236}">
                  <a16:creationId xmlns:a16="http://schemas.microsoft.com/office/drawing/2014/main" id="{00000000-0008-0000-1600-0000019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39938" name="Button 2" hidden="1">
              <a:extLst>
                <a:ext uri="{63B3BB69-23CF-44E3-9099-C40C66FF867C}">
                  <a14:compatExt spid="_x0000_s39938"/>
                </a:ext>
                <a:ext uri="{FF2B5EF4-FFF2-40B4-BE49-F238E27FC236}">
                  <a16:creationId xmlns:a16="http://schemas.microsoft.com/office/drawing/2014/main" id="{00000000-0008-0000-1600-000002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39939" name="Button 3" hidden="1">
              <a:extLst>
                <a:ext uri="{63B3BB69-23CF-44E3-9099-C40C66FF867C}">
                  <a14:compatExt spid="_x0000_s39939"/>
                </a:ext>
                <a:ext uri="{FF2B5EF4-FFF2-40B4-BE49-F238E27FC236}">
                  <a16:creationId xmlns:a16="http://schemas.microsoft.com/office/drawing/2014/main" id="{00000000-0008-0000-1600-000003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39940" name="Button 4" hidden="1">
              <a:extLst>
                <a:ext uri="{63B3BB69-23CF-44E3-9099-C40C66FF867C}">
                  <a14:compatExt spid="_x0000_s39940"/>
                </a:ext>
                <a:ext uri="{FF2B5EF4-FFF2-40B4-BE49-F238E27FC236}">
                  <a16:creationId xmlns:a16="http://schemas.microsoft.com/office/drawing/2014/main" id="{00000000-0008-0000-1600-000004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39941" name="Button 5" hidden="1">
              <a:extLst>
                <a:ext uri="{63B3BB69-23CF-44E3-9099-C40C66FF867C}">
                  <a14:compatExt spid="_x0000_s39941"/>
                </a:ext>
                <a:ext uri="{FF2B5EF4-FFF2-40B4-BE49-F238E27FC236}">
                  <a16:creationId xmlns:a16="http://schemas.microsoft.com/office/drawing/2014/main" id="{00000000-0008-0000-1600-000005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39942" name="Button 6" hidden="1">
              <a:extLst>
                <a:ext uri="{63B3BB69-23CF-44E3-9099-C40C66FF867C}">
                  <a14:compatExt spid="_x0000_s39942"/>
                </a:ext>
                <a:ext uri="{FF2B5EF4-FFF2-40B4-BE49-F238E27FC236}">
                  <a16:creationId xmlns:a16="http://schemas.microsoft.com/office/drawing/2014/main" id="{00000000-0008-0000-1600-000006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40961" name="Drop Down 1" hidden="1">
              <a:extLst>
                <a:ext uri="{63B3BB69-23CF-44E3-9099-C40C66FF867C}">
                  <a14:compatExt spid="_x0000_s40961"/>
                </a:ext>
                <a:ext uri="{FF2B5EF4-FFF2-40B4-BE49-F238E27FC236}">
                  <a16:creationId xmlns:a16="http://schemas.microsoft.com/office/drawing/2014/main" id="{00000000-0008-0000-1700-000001A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40962" name="Button 2" hidden="1">
              <a:extLst>
                <a:ext uri="{63B3BB69-23CF-44E3-9099-C40C66FF867C}">
                  <a14:compatExt spid="_x0000_s40962"/>
                </a:ext>
                <a:ext uri="{FF2B5EF4-FFF2-40B4-BE49-F238E27FC236}">
                  <a16:creationId xmlns:a16="http://schemas.microsoft.com/office/drawing/2014/main" id="{00000000-0008-0000-1700-000002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40963" name="Button 3" hidden="1">
              <a:extLst>
                <a:ext uri="{63B3BB69-23CF-44E3-9099-C40C66FF867C}">
                  <a14:compatExt spid="_x0000_s40963"/>
                </a:ext>
                <a:ext uri="{FF2B5EF4-FFF2-40B4-BE49-F238E27FC236}">
                  <a16:creationId xmlns:a16="http://schemas.microsoft.com/office/drawing/2014/main" id="{00000000-0008-0000-1700-000003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40964" name="Button 4" hidden="1">
              <a:extLst>
                <a:ext uri="{63B3BB69-23CF-44E3-9099-C40C66FF867C}">
                  <a14:compatExt spid="_x0000_s40964"/>
                </a:ext>
                <a:ext uri="{FF2B5EF4-FFF2-40B4-BE49-F238E27FC236}">
                  <a16:creationId xmlns:a16="http://schemas.microsoft.com/office/drawing/2014/main" id="{00000000-0008-0000-1700-000004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40965" name="Button 5" hidden="1">
              <a:extLst>
                <a:ext uri="{63B3BB69-23CF-44E3-9099-C40C66FF867C}">
                  <a14:compatExt spid="_x0000_s40965"/>
                </a:ext>
                <a:ext uri="{FF2B5EF4-FFF2-40B4-BE49-F238E27FC236}">
                  <a16:creationId xmlns:a16="http://schemas.microsoft.com/office/drawing/2014/main" id="{00000000-0008-0000-1700-000005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40966" name="Button 6" hidden="1">
              <a:extLst>
                <a:ext uri="{63B3BB69-23CF-44E3-9099-C40C66FF867C}">
                  <a14:compatExt spid="_x0000_s40966"/>
                </a:ext>
                <a:ext uri="{FF2B5EF4-FFF2-40B4-BE49-F238E27FC236}">
                  <a16:creationId xmlns:a16="http://schemas.microsoft.com/office/drawing/2014/main" id="{00000000-0008-0000-1700-000006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41985" name="Drop Down 1" hidden="1">
              <a:extLst>
                <a:ext uri="{63B3BB69-23CF-44E3-9099-C40C66FF867C}">
                  <a14:compatExt spid="_x0000_s41985"/>
                </a:ext>
                <a:ext uri="{FF2B5EF4-FFF2-40B4-BE49-F238E27FC236}">
                  <a16:creationId xmlns:a16="http://schemas.microsoft.com/office/drawing/2014/main" id="{00000000-0008-0000-1800-000001A4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1800-000002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41987" name="Button 3" hidden="1">
              <a:extLst>
                <a:ext uri="{63B3BB69-23CF-44E3-9099-C40C66FF867C}">
                  <a14:compatExt spid="_x0000_s41987"/>
                </a:ext>
                <a:ext uri="{FF2B5EF4-FFF2-40B4-BE49-F238E27FC236}">
                  <a16:creationId xmlns:a16="http://schemas.microsoft.com/office/drawing/2014/main" id="{00000000-0008-0000-1800-000003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41988" name="Button 4" hidden="1">
              <a:extLst>
                <a:ext uri="{63B3BB69-23CF-44E3-9099-C40C66FF867C}">
                  <a14:compatExt spid="_x0000_s41988"/>
                </a:ext>
                <a:ext uri="{FF2B5EF4-FFF2-40B4-BE49-F238E27FC236}">
                  <a16:creationId xmlns:a16="http://schemas.microsoft.com/office/drawing/2014/main" id="{00000000-0008-0000-1800-000004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41989" name="Button 5" hidden="1">
              <a:extLst>
                <a:ext uri="{63B3BB69-23CF-44E3-9099-C40C66FF867C}">
                  <a14:compatExt spid="_x0000_s41989"/>
                </a:ext>
                <a:ext uri="{FF2B5EF4-FFF2-40B4-BE49-F238E27FC236}">
                  <a16:creationId xmlns:a16="http://schemas.microsoft.com/office/drawing/2014/main" id="{00000000-0008-0000-1800-000005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41990" name="Button 6" hidden="1">
              <a:extLst>
                <a:ext uri="{63B3BB69-23CF-44E3-9099-C40C66FF867C}">
                  <a14:compatExt spid="_x0000_s41990"/>
                </a:ext>
                <a:ext uri="{FF2B5EF4-FFF2-40B4-BE49-F238E27FC236}">
                  <a16:creationId xmlns:a16="http://schemas.microsoft.com/office/drawing/2014/main" id="{00000000-0008-0000-1800-000006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43009" name="Drop Down 1" hidden="1">
              <a:extLst>
                <a:ext uri="{63B3BB69-23CF-44E3-9099-C40C66FF867C}">
                  <a14:compatExt spid="_x0000_s43009"/>
                </a:ext>
                <a:ext uri="{FF2B5EF4-FFF2-40B4-BE49-F238E27FC236}">
                  <a16:creationId xmlns:a16="http://schemas.microsoft.com/office/drawing/2014/main" id="{00000000-0008-0000-1900-000001A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19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00000000-0008-0000-19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43012" name="Button 4" hidden="1">
              <a:extLst>
                <a:ext uri="{63B3BB69-23CF-44E3-9099-C40C66FF867C}">
                  <a14:compatExt spid="_x0000_s43012"/>
                </a:ext>
                <a:ext uri="{FF2B5EF4-FFF2-40B4-BE49-F238E27FC236}">
                  <a16:creationId xmlns:a16="http://schemas.microsoft.com/office/drawing/2014/main" id="{00000000-0008-0000-1900-000004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43013" name="Button 5" hidden="1">
              <a:extLst>
                <a:ext uri="{63B3BB69-23CF-44E3-9099-C40C66FF867C}">
                  <a14:compatExt spid="_x0000_s43013"/>
                </a:ext>
                <a:ext uri="{FF2B5EF4-FFF2-40B4-BE49-F238E27FC236}">
                  <a16:creationId xmlns:a16="http://schemas.microsoft.com/office/drawing/2014/main" id="{00000000-0008-0000-1900-000005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43014" name="Button 6" hidden="1">
              <a:extLst>
                <a:ext uri="{63B3BB69-23CF-44E3-9099-C40C66FF867C}">
                  <a14:compatExt spid="_x0000_s43014"/>
                </a:ext>
                <a:ext uri="{FF2B5EF4-FFF2-40B4-BE49-F238E27FC236}">
                  <a16:creationId xmlns:a16="http://schemas.microsoft.com/office/drawing/2014/main" id="{00000000-0008-0000-1900-000006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44033" name="Drop Down 1" hidden="1">
              <a:extLst>
                <a:ext uri="{63B3BB69-23CF-44E3-9099-C40C66FF867C}">
                  <a14:compatExt spid="_x0000_s44033"/>
                </a:ext>
                <a:ext uri="{FF2B5EF4-FFF2-40B4-BE49-F238E27FC236}">
                  <a16:creationId xmlns:a16="http://schemas.microsoft.com/office/drawing/2014/main" id="{00000000-0008-0000-1A00-000001A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00000000-0008-0000-1A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44035" name="Button 3" hidden="1">
              <a:extLst>
                <a:ext uri="{63B3BB69-23CF-44E3-9099-C40C66FF867C}">
                  <a14:compatExt spid="_x0000_s44035"/>
                </a:ext>
                <a:ext uri="{FF2B5EF4-FFF2-40B4-BE49-F238E27FC236}">
                  <a16:creationId xmlns:a16="http://schemas.microsoft.com/office/drawing/2014/main" id="{00000000-0008-0000-1A00-000003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44036" name="Button 4" hidden="1">
              <a:extLst>
                <a:ext uri="{63B3BB69-23CF-44E3-9099-C40C66FF867C}">
                  <a14:compatExt spid="_x0000_s44036"/>
                </a:ext>
                <a:ext uri="{FF2B5EF4-FFF2-40B4-BE49-F238E27FC236}">
                  <a16:creationId xmlns:a16="http://schemas.microsoft.com/office/drawing/2014/main" id="{00000000-0008-0000-1A00-000004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44037" name="Button 5" hidden="1">
              <a:extLst>
                <a:ext uri="{63B3BB69-23CF-44E3-9099-C40C66FF867C}">
                  <a14:compatExt spid="_x0000_s44037"/>
                </a:ext>
                <a:ext uri="{FF2B5EF4-FFF2-40B4-BE49-F238E27FC236}">
                  <a16:creationId xmlns:a16="http://schemas.microsoft.com/office/drawing/2014/main" id="{00000000-0008-0000-1A00-000005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44038" name="Button 6" hidden="1">
              <a:extLst>
                <a:ext uri="{63B3BB69-23CF-44E3-9099-C40C66FF867C}">
                  <a14:compatExt spid="_x0000_s44038"/>
                </a:ext>
                <a:ext uri="{FF2B5EF4-FFF2-40B4-BE49-F238E27FC236}">
                  <a16:creationId xmlns:a16="http://schemas.microsoft.com/office/drawing/2014/main" id="{00000000-0008-0000-1A00-000006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45057" name="Drop Down 1" hidden="1">
              <a:extLst>
                <a:ext uri="{63B3BB69-23CF-44E3-9099-C40C66FF867C}">
                  <a14:compatExt spid="_x0000_s45057"/>
                </a:ext>
                <a:ext uri="{FF2B5EF4-FFF2-40B4-BE49-F238E27FC236}">
                  <a16:creationId xmlns:a16="http://schemas.microsoft.com/office/drawing/2014/main" id="{00000000-0008-0000-1B00-000001B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1B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1B00-000003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1B00-000004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45061" name="Button 5" hidden="1">
              <a:extLst>
                <a:ext uri="{63B3BB69-23CF-44E3-9099-C40C66FF867C}">
                  <a14:compatExt spid="_x0000_s45061"/>
                </a:ext>
                <a:ext uri="{FF2B5EF4-FFF2-40B4-BE49-F238E27FC236}">
                  <a16:creationId xmlns:a16="http://schemas.microsoft.com/office/drawing/2014/main" id="{00000000-0008-0000-1B00-000005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45062" name="Button 6" hidden="1">
              <a:extLst>
                <a:ext uri="{63B3BB69-23CF-44E3-9099-C40C66FF867C}">
                  <a14:compatExt spid="_x0000_s45062"/>
                </a:ext>
                <a:ext uri="{FF2B5EF4-FFF2-40B4-BE49-F238E27FC236}">
                  <a16:creationId xmlns:a16="http://schemas.microsoft.com/office/drawing/2014/main" id="{00000000-0008-0000-1B00-000006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46081" name="Drop Down 1" hidden="1">
              <a:extLst>
                <a:ext uri="{63B3BB69-23CF-44E3-9099-C40C66FF867C}">
                  <a14:compatExt spid="_x0000_s46081"/>
                </a:ext>
                <a:ext uri="{FF2B5EF4-FFF2-40B4-BE49-F238E27FC236}">
                  <a16:creationId xmlns:a16="http://schemas.microsoft.com/office/drawing/2014/main" id="{00000000-0008-0000-1C00-000001B4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46082" name="Button 2" hidden="1">
              <a:extLst>
                <a:ext uri="{63B3BB69-23CF-44E3-9099-C40C66FF867C}">
                  <a14:compatExt spid="_x0000_s46082"/>
                </a:ext>
                <a:ext uri="{FF2B5EF4-FFF2-40B4-BE49-F238E27FC236}">
                  <a16:creationId xmlns:a16="http://schemas.microsoft.com/office/drawing/2014/main" id="{00000000-0008-0000-1C00-000002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46083" name="Button 3" hidden="1">
              <a:extLst>
                <a:ext uri="{63B3BB69-23CF-44E3-9099-C40C66FF867C}">
                  <a14:compatExt spid="_x0000_s46083"/>
                </a:ext>
                <a:ext uri="{FF2B5EF4-FFF2-40B4-BE49-F238E27FC236}">
                  <a16:creationId xmlns:a16="http://schemas.microsoft.com/office/drawing/2014/main" id="{00000000-0008-0000-1C00-000003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46084" name="Button 4" hidden="1">
              <a:extLst>
                <a:ext uri="{63B3BB69-23CF-44E3-9099-C40C66FF867C}">
                  <a14:compatExt spid="_x0000_s46084"/>
                </a:ext>
                <a:ext uri="{FF2B5EF4-FFF2-40B4-BE49-F238E27FC236}">
                  <a16:creationId xmlns:a16="http://schemas.microsoft.com/office/drawing/2014/main" id="{00000000-0008-0000-1C00-000004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46085" name="Button 5" hidden="1">
              <a:extLst>
                <a:ext uri="{63B3BB69-23CF-44E3-9099-C40C66FF867C}">
                  <a14:compatExt spid="_x0000_s46085"/>
                </a:ext>
                <a:ext uri="{FF2B5EF4-FFF2-40B4-BE49-F238E27FC236}">
                  <a16:creationId xmlns:a16="http://schemas.microsoft.com/office/drawing/2014/main" id="{00000000-0008-0000-1C00-000005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46086" name="Button 6" hidden="1">
              <a:extLst>
                <a:ext uri="{63B3BB69-23CF-44E3-9099-C40C66FF867C}">
                  <a14:compatExt spid="_x0000_s46086"/>
                </a:ext>
                <a:ext uri="{FF2B5EF4-FFF2-40B4-BE49-F238E27FC236}">
                  <a16:creationId xmlns:a16="http://schemas.microsoft.com/office/drawing/2014/main" id="{00000000-0008-0000-1C00-000006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47105" name="Drop Down 1" hidden="1">
              <a:extLst>
                <a:ext uri="{63B3BB69-23CF-44E3-9099-C40C66FF867C}">
                  <a14:compatExt spid="_x0000_s47105"/>
                </a:ext>
                <a:ext uri="{FF2B5EF4-FFF2-40B4-BE49-F238E27FC236}">
                  <a16:creationId xmlns:a16="http://schemas.microsoft.com/office/drawing/2014/main" id="{00000000-0008-0000-1D00-000001B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1D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1D00-000003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1D00-000004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1D00-000005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1D00-000006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48129" name="Drop Down 1" hidden="1">
              <a:extLst>
                <a:ext uri="{63B3BB69-23CF-44E3-9099-C40C66FF867C}">
                  <a14:compatExt spid="_x0000_s48129"/>
                </a:ext>
                <a:ext uri="{FF2B5EF4-FFF2-40B4-BE49-F238E27FC236}">
                  <a16:creationId xmlns:a16="http://schemas.microsoft.com/office/drawing/2014/main" id="{00000000-0008-0000-1E00-000001B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48130" name="Button 2" hidden="1">
              <a:extLst>
                <a:ext uri="{63B3BB69-23CF-44E3-9099-C40C66FF867C}">
                  <a14:compatExt spid="_x0000_s48130"/>
                </a:ext>
                <a:ext uri="{FF2B5EF4-FFF2-40B4-BE49-F238E27FC236}">
                  <a16:creationId xmlns:a16="http://schemas.microsoft.com/office/drawing/2014/main" id="{00000000-0008-0000-1E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48131" name="Button 3" hidden="1">
              <a:extLst>
                <a:ext uri="{63B3BB69-23CF-44E3-9099-C40C66FF867C}">
                  <a14:compatExt spid="_x0000_s48131"/>
                </a:ext>
                <a:ext uri="{FF2B5EF4-FFF2-40B4-BE49-F238E27FC236}">
                  <a16:creationId xmlns:a16="http://schemas.microsoft.com/office/drawing/2014/main" id="{00000000-0008-0000-1E00-000003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48132" name="Button 4" hidden="1">
              <a:extLst>
                <a:ext uri="{63B3BB69-23CF-44E3-9099-C40C66FF867C}">
                  <a14:compatExt spid="_x0000_s48132"/>
                </a:ext>
                <a:ext uri="{FF2B5EF4-FFF2-40B4-BE49-F238E27FC236}">
                  <a16:creationId xmlns:a16="http://schemas.microsoft.com/office/drawing/2014/main" id="{00000000-0008-0000-1E00-000004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48133" name="Button 5" hidden="1">
              <a:extLst>
                <a:ext uri="{63B3BB69-23CF-44E3-9099-C40C66FF867C}">
                  <a14:compatExt spid="_x0000_s48133"/>
                </a:ext>
                <a:ext uri="{FF2B5EF4-FFF2-40B4-BE49-F238E27FC236}">
                  <a16:creationId xmlns:a16="http://schemas.microsoft.com/office/drawing/2014/main" id="{00000000-0008-0000-1E00-000005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48134" name="Button 6" hidden="1">
              <a:extLst>
                <a:ext uri="{63B3BB69-23CF-44E3-9099-C40C66FF867C}">
                  <a14:compatExt spid="_x0000_s48134"/>
                </a:ext>
                <a:ext uri="{FF2B5EF4-FFF2-40B4-BE49-F238E27FC236}">
                  <a16:creationId xmlns:a16="http://schemas.microsoft.com/office/drawing/2014/main" id="{00000000-0008-0000-1E00-000006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49153" name="Drop Down 1" hidden="1">
              <a:extLst>
                <a:ext uri="{63B3BB69-23CF-44E3-9099-C40C66FF867C}">
                  <a14:compatExt spid="_x0000_s49153"/>
                </a:ext>
                <a:ext uri="{FF2B5EF4-FFF2-40B4-BE49-F238E27FC236}">
                  <a16:creationId xmlns:a16="http://schemas.microsoft.com/office/drawing/2014/main" id="{00000000-0008-0000-1F00-000001C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00000000-0008-0000-1F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49155" name="Button 3" hidden="1">
              <a:extLst>
                <a:ext uri="{63B3BB69-23CF-44E3-9099-C40C66FF867C}">
                  <a14:compatExt spid="_x0000_s49155"/>
                </a:ext>
                <a:ext uri="{FF2B5EF4-FFF2-40B4-BE49-F238E27FC236}">
                  <a16:creationId xmlns:a16="http://schemas.microsoft.com/office/drawing/2014/main" id="{00000000-0008-0000-1F00-000003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49156" name="Button 4" hidden="1">
              <a:extLst>
                <a:ext uri="{63B3BB69-23CF-44E3-9099-C40C66FF867C}">
                  <a14:compatExt spid="_x0000_s49156"/>
                </a:ext>
                <a:ext uri="{FF2B5EF4-FFF2-40B4-BE49-F238E27FC236}">
                  <a16:creationId xmlns:a16="http://schemas.microsoft.com/office/drawing/2014/main" id="{00000000-0008-0000-1F00-000004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49157" name="Button 5" hidden="1">
              <a:extLst>
                <a:ext uri="{63B3BB69-23CF-44E3-9099-C40C66FF867C}">
                  <a14:compatExt spid="_x0000_s49157"/>
                </a:ext>
                <a:ext uri="{FF2B5EF4-FFF2-40B4-BE49-F238E27FC236}">
                  <a16:creationId xmlns:a16="http://schemas.microsoft.com/office/drawing/2014/main" id="{00000000-0008-0000-1F00-000005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49158" name="Button 6" hidden="1">
              <a:extLst>
                <a:ext uri="{63B3BB69-23CF-44E3-9099-C40C66FF867C}">
                  <a14:compatExt spid="_x0000_s49158"/>
                </a:ext>
                <a:ext uri="{FF2B5EF4-FFF2-40B4-BE49-F238E27FC236}">
                  <a16:creationId xmlns:a16="http://schemas.microsoft.com/office/drawing/2014/main" id="{00000000-0008-0000-1F00-000006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50177" name="Drop Down 1" hidden="1">
              <a:extLst>
                <a:ext uri="{63B3BB69-23CF-44E3-9099-C40C66FF867C}">
                  <a14:compatExt spid="_x0000_s50177"/>
                </a:ext>
                <a:ext uri="{FF2B5EF4-FFF2-40B4-BE49-F238E27FC236}">
                  <a16:creationId xmlns:a16="http://schemas.microsoft.com/office/drawing/2014/main" id="{00000000-0008-0000-2000-000001C4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50178" name="Button 2" hidden="1">
              <a:extLst>
                <a:ext uri="{63B3BB69-23CF-44E3-9099-C40C66FF867C}">
                  <a14:compatExt spid="_x0000_s50178"/>
                </a:ext>
                <a:ext uri="{FF2B5EF4-FFF2-40B4-BE49-F238E27FC236}">
                  <a16:creationId xmlns:a16="http://schemas.microsoft.com/office/drawing/2014/main" id="{00000000-0008-0000-20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50179" name="Button 3" hidden="1">
              <a:extLst>
                <a:ext uri="{63B3BB69-23CF-44E3-9099-C40C66FF867C}">
                  <a14:compatExt spid="_x0000_s50179"/>
                </a:ext>
                <a:ext uri="{FF2B5EF4-FFF2-40B4-BE49-F238E27FC236}">
                  <a16:creationId xmlns:a16="http://schemas.microsoft.com/office/drawing/2014/main" id="{00000000-0008-0000-2000-000003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50180" name="Button 4" hidden="1">
              <a:extLst>
                <a:ext uri="{63B3BB69-23CF-44E3-9099-C40C66FF867C}">
                  <a14:compatExt spid="_x0000_s50180"/>
                </a:ext>
                <a:ext uri="{FF2B5EF4-FFF2-40B4-BE49-F238E27FC236}">
                  <a16:creationId xmlns:a16="http://schemas.microsoft.com/office/drawing/2014/main" id="{00000000-0008-0000-2000-000004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50181" name="Button 5" hidden="1">
              <a:extLst>
                <a:ext uri="{63B3BB69-23CF-44E3-9099-C40C66FF867C}">
                  <a14:compatExt spid="_x0000_s50181"/>
                </a:ext>
                <a:ext uri="{FF2B5EF4-FFF2-40B4-BE49-F238E27FC236}">
                  <a16:creationId xmlns:a16="http://schemas.microsoft.com/office/drawing/2014/main" id="{00000000-0008-0000-2000-000005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50182" name="Button 6" hidden="1">
              <a:extLst>
                <a:ext uri="{63B3BB69-23CF-44E3-9099-C40C66FF867C}">
                  <a14:compatExt spid="_x0000_s50182"/>
                </a:ext>
                <a:ext uri="{FF2B5EF4-FFF2-40B4-BE49-F238E27FC236}">
                  <a16:creationId xmlns:a16="http://schemas.microsoft.com/office/drawing/2014/main" id="{00000000-0008-0000-2000-000006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51201" name="Drop Down 1" hidden="1">
              <a:extLst>
                <a:ext uri="{63B3BB69-23CF-44E3-9099-C40C66FF867C}">
                  <a14:compatExt spid="_x0000_s51201"/>
                </a:ext>
                <a:ext uri="{FF2B5EF4-FFF2-40B4-BE49-F238E27FC236}">
                  <a16:creationId xmlns:a16="http://schemas.microsoft.com/office/drawing/2014/main" id="{00000000-0008-0000-2100-000001C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51202" name="Button 2" hidden="1">
              <a:extLst>
                <a:ext uri="{63B3BB69-23CF-44E3-9099-C40C66FF867C}">
                  <a14:compatExt spid="_x0000_s51202"/>
                </a:ext>
                <a:ext uri="{FF2B5EF4-FFF2-40B4-BE49-F238E27FC236}">
                  <a16:creationId xmlns:a16="http://schemas.microsoft.com/office/drawing/2014/main" id="{00000000-0008-0000-21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51203" name="Button 3" hidden="1">
              <a:extLst>
                <a:ext uri="{63B3BB69-23CF-44E3-9099-C40C66FF867C}">
                  <a14:compatExt spid="_x0000_s51203"/>
                </a:ext>
                <a:ext uri="{FF2B5EF4-FFF2-40B4-BE49-F238E27FC236}">
                  <a16:creationId xmlns:a16="http://schemas.microsoft.com/office/drawing/2014/main" id="{00000000-0008-0000-21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51204" name="Button 4" hidden="1">
              <a:extLst>
                <a:ext uri="{63B3BB69-23CF-44E3-9099-C40C66FF867C}">
                  <a14:compatExt spid="_x0000_s51204"/>
                </a:ext>
                <a:ext uri="{FF2B5EF4-FFF2-40B4-BE49-F238E27FC236}">
                  <a16:creationId xmlns:a16="http://schemas.microsoft.com/office/drawing/2014/main" id="{00000000-0008-0000-21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51205" name="Button 5" hidden="1">
              <a:extLst>
                <a:ext uri="{63B3BB69-23CF-44E3-9099-C40C66FF867C}">
                  <a14:compatExt spid="_x0000_s51205"/>
                </a:ext>
                <a:ext uri="{FF2B5EF4-FFF2-40B4-BE49-F238E27FC236}">
                  <a16:creationId xmlns:a16="http://schemas.microsoft.com/office/drawing/2014/main" id="{00000000-0008-0000-21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51206" name="Button 6" hidden="1">
              <a:extLst>
                <a:ext uri="{63B3BB69-23CF-44E3-9099-C40C66FF867C}">
                  <a14:compatExt spid="_x0000_s51206"/>
                </a:ext>
                <a:ext uri="{FF2B5EF4-FFF2-40B4-BE49-F238E27FC236}">
                  <a16:creationId xmlns:a16="http://schemas.microsoft.com/office/drawing/2014/main" id="{00000000-0008-0000-21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52225" name="Drop Down 1" hidden="1">
              <a:extLst>
                <a:ext uri="{63B3BB69-23CF-44E3-9099-C40C66FF867C}">
                  <a14:compatExt spid="_x0000_s52225"/>
                </a:ext>
                <a:ext uri="{FF2B5EF4-FFF2-40B4-BE49-F238E27FC236}">
                  <a16:creationId xmlns:a16="http://schemas.microsoft.com/office/drawing/2014/main" id="{00000000-0008-0000-2200-000001C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52226" name="Button 2" hidden="1">
              <a:extLst>
                <a:ext uri="{63B3BB69-23CF-44E3-9099-C40C66FF867C}">
                  <a14:compatExt spid="_x0000_s52226"/>
                </a:ext>
                <a:ext uri="{FF2B5EF4-FFF2-40B4-BE49-F238E27FC236}">
                  <a16:creationId xmlns:a16="http://schemas.microsoft.com/office/drawing/2014/main" id="{00000000-0008-0000-22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52227" name="Button 3" hidden="1">
              <a:extLst>
                <a:ext uri="{63B3BB69-23CF-44E3-9099-C40C66FF867C}">
                  <a14:compatExt spid="_x0000_s52227"/>
                </a:ext>
                <a:ext uri="{FF2B5EF4-FFF2-40B4-BE49-F238E27FC236}">
                  <a16:creationId xmlns:a16="http://schemas.microsoft.com/office/drawing/2014/main" id="{00000000-0008-0000-2200-000003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52228" name="Button 4" hidden="1">
              <a:extLst>
                <a:ext uri="{63B3BB69-23CF-44E3-9099-C40C66FF867C}">
                  <a14:compatExt spid="_x0000_s52228"/>
                </a:ext>
                <a:ext uri="{FF2B5EF4-FFF2-40B4-BE49-F238E27FC236}">
                  <a16:creationId xmlns:a16="http://schemas.microsoft.com/office/drawing/2014/main" id="{00000000-0008-0000-2200-000004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52229" name="Button 5" hidden="1">
              <a:extLst>
                <a:ext uri="{63B3BB69-23CF-44E3-9099-C40C66FF867C}">
                  <a14:compatExt spid="_x0000_s52229"/>
                </a:ext>
                <a:ext uri="{FF2B5EF4-FFF2-40B4-BE49-F238E27FC236}">
                  <a16:creationId xmlns:a16="http://schemas.microsoft.com/office/drawing/2014/main" id="{00000000-0008-0000-2200-000005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52230" name="Button 6" hidden="1">
              <a:extLst>
                <a:ext uri="{63B3BB69-23CF-44E3-9099-C40C66FF867C}">
                  <a14:compatExt spid="_x0000_s52230"/>
                </a:ext>
                <a:ext uri="{FF2B5EF4-FFF2-40B4-BE49-F238E27FC236}">
                  <a16:creationId xmlns:a16="http://schemas.microsoft.com/office/drawing/2014/main" id="{00000000-0008-0000-2200-000006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53249" name="Drop Down 1" hidden="1">
              <a:extLst>
                <a:ext uri="{63B3BB69-23CF-44E3-9099-C40C66FF867C}">
                  <a14:compatExt spid="_x0000_s53249"/>
                </a:ext>
                <a:ext uri="{FF2B5EF4-FFF2-40B4-BE49-F238E27FC236}">
                  <a16:creationId xmlns:a16="http://schemas.microsoft.com/office/drawing/2014/main" id="{00000000-0008-0000-2300-000001D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53250" name="Button 2" hidden="1">
              <a:extLst>
                <a:ext uri="{63B3BB69-23CF-44E3-9099-C40C66FF867C}">
                  <a14:compatExt spid="_x0000_s53250"/>
                </a:ext>
                <a:ext uri="{FF2B5EF4-FFF2-40B4-BE49-F238E27FC236}">
                  <a16:creationId xmlns:a16="http://schemas.microsoft.com/office/drawing/2014/main" id="{00000000-0008-0000-23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53251" name="Button 3" hidden="1">
              <a:extLst>
                <a:ext uri="{63B3BB69-23CF-44E3-9099-C40C66FF867C}">
                  <a14:compatExt spid="_x0000_s53251"/>
                </a:ext>
                <a:ext uri="{FF2B5EF4-FFF2-40B4-BE49-F238E27FC236}">
                  <a16:creationId xmlns:a16="http://schemas.microsoft.com/office/drawing/2014/main" id="{00000000-0008-0000-2300-000003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53252" name="Button 4" hidden="1">
              <a:extLst>
                <a:ext uri="{63B3BB69-23CF-44E3-9099-C40C66FF867C}">
                  <a14:compatExt spid="_x0000_s53252"/>
                </a:ext>
                <a:ext uri="{FF2B5EF4-FFF2-40B4-BE49-F238E27FC236}">
                  <a16:creationId xmlns:a16="http://schemas.microsoft.com/office/drawing/2014/main" id="{00000000-0008-0000-2300-000004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53253" name="Button 5" hidden="1">
              <a:extLst>
                <a:ext uri="{63B3BB69-23CF-44E3-9099-C40C66FF867C}">
                  <a14:compatExt spid="_x0000_s53253"/>
                </a:ext>
                <a:ext uri="{FF2B5EF4-FFF2-40B4-BE49-F238E27FC236}">
                  <a16:creationId xmlns:a16="http://schemas.microsoft.com/office/drawing/2014/main" id="{00000000-0008-0000-2300-000005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53254" name="Button 6" hidden="1">
              <a:extLst>
                <a:ext uri="{63B3BB69-23CF-44E3-9099-C40C66FF867C}">
                  <a14:compatExt spid="_x0000_s53254"/>
                </a:ext>
                <a:ext uri="{FF2B5EF4-FFF2-40B4-BE49-F238E27FC236}">
                  <a16:creationId xmlns:a16="http://schemas.microsoft.com/office/drawing/2014/main" id="{00000000-0008-0000-2300-000006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54273" name="Drop Down 1" hidden="1">
              <a:extLst>
                <a:ext uri="{63B3BB69-23CF-44E3-9099-C40C66FF867C}">
                  <a14:compatExt spid="_x0000_s54273"/>
                </a:ext>
                <a:ext uri="{FF2B5EF4-FFF2-40B4-BE49-F238E27FC236}">
                  <a16:creationId xmlns:a16="http://schemas.microsoft.com/office/drawing/2014/main" id="{00000000-0008-0000-2400-000001D4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54274" name="Button 2" hidden="1">
              <a:extLst>
                <a:ext uri="{63B3BB69-23CF-44E3-9099-C40C66FF867C}">
                  <a14:compatExt spid="_x0000_s54274"/>
                </a:ext>
                <a:ext uri="{FF2B5EF4-FFF2-40B4-BE49-F238E27FC236}">
                  <a16:creationId xmlns:a16="http://schemas.microsoft.com/office/drawing/2014/main" id="{00000000-0008-0000-24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54275" name="Button 3" hidden="1">
              <a:extLst>
                <a:ext uri="{63B3BB69-23CF-44E3-9099-C40C66FF867C}">
                  <a14:compatExt spid="_x0000_s54275"/>
                </a:ext>
                <a:ext uri="{FF2B5EF4-FFF2-40B4-BE49-F238E27FC236}">
                  <a16:creationId xmlns:a16="http://schemas.microsoft.com/office/drawing/2014/main" id="{00000000-0008-0000-2400-000003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54276" name="Button 4" hidden="1">
              <a:extLst>
                <a:ext uri="{63B3BB69-23CF-44E3-9099-C40C66FF867C}">
                  <a14:compatExt spid="_x0000_s54276"/>
                </a:ext>
                <a:ext uri="{FF2B5EF4-FFF2-40B4-BE49-F238E27FC236}">
                  <a16:creationId xmlns:a16="http://schemas.microsoft.com/office/drawing/2014/main" id="{00000000-0008-0000-2400-000004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54277" name="Button 5" hidden="1">
              <a:extLst>
                <a:ext uri="{63B3BB69-23CF-44E3-9099-C40C66FF867C}">
                  <a14:compatExt spid="_x0000_s54277"/>
                </a:ext>
                <a:ext uri="{FF2B5EF4-FFF2-40B4-BE49-F238E27FC236}">
                  <a16:creationId xmlns:a16="http://schemas.microsoft.com/office/drawing/2014/main" id="{00000000-0008-0000-2400-000005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54278" name="Button 6" hidden="1">
              <a:extLst>
                <a:ext uri="{63B3BB69-23CF-44E3-9099-C40C66FF867C}">
                  <a14:compatExt spid="_x0000_s54278"/>
                </a:ext>
                <a:ext uri="{FF2B5EF4-FFF2-40B4-BE49-F238E27FC236}">
                  <a16:creationId xmlns:a16="http://schemas.microsoft.com/office/drawing/2014/main" id="{00000000-0008-0000-2400-000006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55297" name="Drop Down 1" hidden="1">
              <a:extLst>
                <a:ext uri="{63B3BB69-23CF-44E3-9099-C40C66FF867C}">
                  <a14:compatExt spid="_x0000_s55297"/>
                </a:ext>
                <a:ext uri="{FF2B5EF4-FFF2-40B4-BE49-F238E27FC236}">
                  <a16:creationId xmlns:a16="http://schemas.microsoft.com/office/drawing/2014/main" id="{00000000-0008-0000-2500-000001D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25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55299" name="Button 3" hidden="1">
              <a:extLst>
                <a:ext uri="{63B3BB69-23CF-44E3-9099-C40C66FF867C}">
                  <a14:compatExt spid="_x0000_s55299"/>
                </a:ext>
                <a:ext uri="{FF2B5EF4-FFF2-40B4-BE49-F238E27FC236}">
                  <a16:creationId xmlns:a16="http://schemas.microsoft.com/office/drawing/2014/main" id="{00000000-0008-0000-2500-000003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55300" name="Button 4" hidden="1">
              <a:extLst>
                <a:ext uri="{63B3BB69-23CF-44E3-9099-C40C66FF867C}">
                  <a14:compatExt spid="_x0000_s55300"/>
                </a:ext>
                <a:ext uri="{FF2B5EF4-FFF2-40B4-BE49-F238E27FC236}">
                  <a16:creationId xmlns:a16="http://schemas.microsoft.com/office/drawing/2014/main" id="{00000000-0008-0000-2500-000004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55301" name="Button 5" hidden="1">
              <a:extLst>
                <a:ext uri="{63B3BB69-23CF-44E3-9099-C40C66FF867C}">
                  <a14:compatExt spid="_x0000_s55301"/>
                </a:ext>
                <a:ext uri="{FF2B5EF4-FFF2-40B4-BE49-F238E27FC236}">
                  <a16:creationId xmlns:a16="http://schemas.microsoft.com/office/drawing/2014/main" id="{00000000-0008-0000-2500-000005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55302" name="Button 6" hidden="1">
              <a:extLst>
                <a:ext uri="{63B3BB69-23CF-44E3-9099-C40C66FF867C}">
                  <a14:compatExt spid="_x0000_s55302"/>
                </a:ext>
                <a:ext uri="{FF2B5EF4-FFF2-40B4-BE49-F238E27FC236}">
                  <a16:creationId xmlns:a16="http://schemas.microsoft.com/office/drawing/2014/main" id="{00000000-0008-0000-2500-000006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56321" name="Drop Down 1" hidden="1">
              <a:extLst>
                <a:ext uri="{63B3BB69-23CF-44E3-9099-C40C66FF867C}">
                  <a14:compatExt spid="_x0000_s56321"/>
                </a:ext>
                <a:ext uri="{FF2B5EF4-FFF2-40B4-BE49-F238E27FC236}">
                  <a16:creationId xmlns:a16="http://schemas.microsoft.com/office/drawing/2014/main" id="{00000000-0008-0000-2600-000001D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56322" name="Button 2" hidden="1">
              <a:extLst>
                <a:ext uri="{63B3BB69-23CF-44E3-9099-C40C66FF867C}">
                  <a14:compatExt spid="_x0000_s56322"/>
                </a:ext>
                <a:ext uri="{FF2B5EF4-FFF2-40B4-BE49-F238E27FC236}">
                  <a16:creationId xmlns:a16="http://schemas.microsoft.com/office/drawing/2014/main" id="{00000000-0008-0000-26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56323" name="Button 3" hidden="1">
              <a:extLst>
                <a:ext uri="{63B3BB69-23CF-44E3-9099-C40C66FF867C}">
                  <a14:compatExt spid="_x0000_s56323"/>
                </a:ext>
                <a:ext uri="{FF2B5EF4-FFF2-40B4-BE49-F238E27FC236}">
                  <a16:creationId xmlns:a16="http://schemas.microsoft.com/office/drawing/2014/main" id="{00000000-0008-0000-2600-000003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56324" name="Button 4" hidden="1">
              <a:extLst>
                <a:ext uri="{63B3BB69-23CF-44E3-9099-C40C66FF867C}">
                  <a14:compatExt spid="_x0000_s56324"/>
                </a:ext>
                <a:ext uri="{FF2B5EF4-FFF2-40B4-BE49-F238E27FC236}">
                  <a16:creationId xmlns:a16="http://schemas.microsoft.com/office/drawing/2014/main" id="{00000000-0008-0000-2600-000004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56325" name="Button 5" hidden="1">
              <a:extLst>
                <a:ext uri="{63B3BB69-23CF-44E3-9099-C40C66FF867C}">
                  <a14:compatExt spid="_x0000_s56325"/>
                </a:ext>
                <a:ext uri="{FF2B5EF4-FFF2-40B4-BE49-F238E27FC236}">
                  <a16:creationId xmlns:a16="http://schemas.microsoft.com/office/drawing/2014/main" id="{00000000-0008-0000-2600-000005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56326" name="Button 6" hidden="1">
              <a:extLst>
                <a:ext uri="{63B3BB69-23CF-44E3-9099-C40C66FF867C}">
                  <a14:compatExt spid="_x0000_s56326"/>
                </a:ext>
                <a:ext uri="{FF2B5EF4-FFF2-40B4-BE49-F238E27FC236}">
                  <a16:creationId xmlns:a16="http://schemas.microsoft.com/office/drawing/2014/main" id="{00000000-0008-0000-2600-000006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57345" name="Drop Down 1" hidden="1">
              <a:extLst>
                <a:ext uri="{63B3BB69-23CF-44E3-9099-C40C66FF867C}">
                  <a14:compatExt spid="_x0000_s57345"/>
                </a:ext>
                <a:ext uri="{FF2B5EF4-FFF2-40B4-BE49-F238E27FC236}">
                  <a16:creationId xmlns:a16="http://schemas.microsoft.com/office/drawing/2014/main" id="{00000000-0008-0000-2700-000001E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57346" name="Button 2" hidden="1">
              <a:extLst>
                <a:ext uri="{63B3BB69-23CF-44E3-9099-C40C66FF867C}">
                  <a14:compatExt spid="_x0000_s57346"/>
                </a:ext>
                <a:ext uri="{FF2B5EF4-FFF2-40B4-BE49-F238E27FC236}">
                  <a16:creationId xmlns:a16="http://schemas.microsoft.com/office/drawing/2014/main" id="{00000000-0008-0000-2700-000002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57347" name="Button 3" hidden="1">
              <a:extLst>
                <a:ext uri="{63B3BB69-23CF-44E3-9099-C40C66FF867C}">
                  <a14:compatExt spid="_x0000_s57347"/>
                </a:ext>
                <a:ext uri="{FF2B5EF4-FFF2-40B4-BE49-F238E27FC236}">
                  <a16:creationId xmlns:a16="http://schemas.microsoft.com/office/drawing/2014/main" id="{00000000-0008-0000-2700-000003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57348" name="Button 4" hidden="1">
              <a:extLst>
                <a:ext uri="{63B3BB69-23CF-44E3-9099-C40C66FF867C}">
                  <a14:compatExt spid="_x0000_s57348"/>
                </a:ext>
                <a:ext uri="{FF2B5EF4-FFF2-40B4-BE49-F238E27FC236}">
                  <a16:creationId xmlns:a16="http://schemas.microsoft.com/office/drawing/2014/main" id="{00000000-0008-0000-2700-000004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57349" name="Button 5" hidden="1">
              <a:extLst>
                <a:ext uri="{63B3BB69-23CF-44E3-9099-C40C66FF867C}">
                  <a14:compatExt spid="_x0000_s57349"/>
                </a:ext>
                <a:ext uri="{FF2B5EF4-FFF2-40B4-BE49-F238E27FC236}">
                  <a16:creationId xmlns:a16="http://schemas.microsoft.com/office/drawing/2014/main" id="{00000000-0008-0000-2700-000005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57350" name="Button 6" hidden="1">
              <a:extLst>
                <a:ext uri="{63B3BB69-23CF-44E3-9099-C40C66FF867C}">
                  <a14:compatExt spid="_x0000_s57350"/>
                </a:ext>
                <a:ext uri="{FF2B5EF4-FFF2-40B4-BE49-F238E27FC236}">
                  <a16:creationId xmlns:a16="http://schemas.microsoft.com/office/drawing/2014/main" id="{00000000-0008-0000-2700-000006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58369" name="Drop Down 1" hidden="1">
              <a:extLst>
                <a:ext uri="{63B3BB69-23CF-44E3-9099-C40C66FF867C}">
                  <a14:compatExt spid="_x0000_s58369"/>
                </a:ext>
                <a:ext uri="{FF2B5EF4-FFF2-40B4-BE49-F238E27FC236}">
                  <a16:creationId xmlns:a16="http://schemas.microsoft.com/office/drawing/2014/main" id="{00000000-0008-0000-2800-000001E4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58370" name="Button 2" hidden="1">
              <a:extLst>
                <a:ext uri="{63B3BB69-23CF-44E3-9099-C40C66FF867C}">
                  <a14:compatExt spid="_x0000_s58370"/>
                </a:ext>
                <a:ext uri="{FF2B5EF4-FFF2-40B4-BE49-F238E27FC236}">
                  <a16:creationId xmlns:a16="http://schemas.microsoft.com/office/drawing/2014/main" id="{00000000-0008-0000-2800-000002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58371" name="Button 3" hidden="1">
              <a:extLst>
                <a:ext uri="{63B3BB69-23CF-44E3-9099-C40C66FF867C}">
                  <a14:compatExt spid="_x0000_s58371"/>
                </a:ext>
                <a:ext uri="{FF2B5EF4-FFF2-40B4-BE49-F238E27FC236}">
                  <a16:creationId xmlns:a16="http://schemas.microsoft.com/office/drawing/2014/main" id="{00000000-0008-0000-2800-000003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58372" name="Button 4" hidden="1">
              <a:extLst>
                <a:ext uri="{63B3BB69-23CF-44E3-9099-C40C66FF867C}">
                  <a14:compatExt spid="_x0000_s58372"/>
                </a:ext>
                <a:ext uri="{FF2B5EF4-FFF2-40B4-BE49-F238E27FC236}">
                  <a16:creationId xmlns:a16="http://schemas.microsoft.com/office/drawing/2014/main" id="{00000000-0008-0000-2800-000004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58373" name="Button 5" hidden="1">
              <a:extLst>
                <a:ext uri="{63B3BB69-23CF-44E3-9099-C40C66FF867C}">
                  <a14:compatExt spid="_x0000_s58373"/>
                </a:ext>
                <a:ext uri="{FF2B5EF4-FFF2-40B4-BE49-F238E27FC236}">
                  <a16:creationId xmlns:a16="http://schemas.microsoft.com/office/drawing/2014/main" id="{00000000-0008-0000-2800-000005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58374" name="Button 6" hidden="1">
              <a:extLst>
                <a:ext uri="{63B3BB69-23CF-44E3-9099-C40C66FF867C}">
                  <a14:compatExt spid="_x0000_s58374"/>
                </a:ext>
                <a:ext uri="{FF2B5EF4-FFF2-40B4-BE49-F238E27FC236}">
                  <a16:creationId xmlns:a16="http://schemas.microsoft.com/office/drawing/2014/main" id="{00000000-0008-0000-2800-000006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59393" name="Drop Down 1" hidden="1">
              <a:extLst>
                <a:ext uri="{63B3BB69-23CF-44E3-9099-C40C66FF867C}">
                  <a14:compatExt spid="_x0000_s59393"/>
                </a:ext>
                <a:ext uri="{FF2B5EF4-FFF2-40B4-BE49-F238E27FC236}">
                  <a16:creationId xmlns:a16="http://schemas.microsoft.com/office/drawing/2014/main" id="{00000000-0008-0000-2900-000001E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2900-000002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2900-000003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2900-000004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59397" name="Button 5" hidden="1">
              <a:extLst>
                <a:ext uri="{63B3BB69-23CF-44E3-9099-C40C66FF867C}">
                  <a14:compatExt spid="_x0000_s59397"/>
                </a:ext>
                <a:ext uri="{FF2B5EF4-FFF2-40B4-BE49-F238E27FC236}">
                  <a16:creationId xmlns:a16="http://schemas.microsoft.com/office/drawing/2014/main" id="{00000000-0008-0000-2900-000005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59398" name="Button 6" hidden="1">
              <a:extLst>
                <a:ext uri="{63B3BB69-23CF-44E3-9099-C40C66FF867C}">
                  <a14:compatExt spid="_x0000_s59398"/>
                </a:ext>
                <a:ext uri="{FF2B5EF4-FFF2-40B4-BE49-F238E27FC236}">
                  <a16:creationId xmlns:a16="http://schemas.microsoft.com/office/drawing/2014/main" id="{00000000-0008-0000-2900-000006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60417" name="Drop Down 1" hidden="1">
              <a:extLst>
                <a:ext uri="{63B3BB69-23CF-44E3-9099-C40C66FF867C}">
                  <a14:compatExt spid="_x0000_s60417"/>
                </a:ext>
                <a:ext uri="{FF2B5EF4-FFF2-40B4-BE49-F238E27FC236}">
                  <a16:creationId xmlns:a16="http://schemas.microsoft.com/office/drawing/2014/main" id="{00000000-0008-0000-2A00-000001E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60418" name="Button 2" hidden="1">
              <a:extLst>
                <a:ext uri="{63B3BB69-23CF-44E3-9099-C40C66FF867C}">
                  <a14:compatExt spid="_x0000_s60418"/>
                </a:ext>
                <a:ext uri="{FF2B5EF4-FFF2-40B4-BE49-F238E27FC236}">
                  <a16:creationId xmlns:a16="http://schemas.microsoft.com/office/drawing/2014/main" id="{00000000-0008-0000-2A00-000002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60419" name="Button 3" hidden="1">
              <a:extLst>
                <a:ext uri="{63B3BB69-23CF-44E3-9099-C40C66FF867C}">
                  <a14:compatExt spid="_x0000_s60419"/>
                </a:ext>
                <a:ext uri="{FF2B5EF4-FFF2-40B4-BE49-F238E27FC236}">
                  <a16:creationId xmlns:a16="http://schemas.microsoft.com/office/drawing/2014/main" id="{00000000-0008-0000-2A00-000003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60420" name="Button 4" hidden="1">
              <a:extLst>
                <a:ext uri="{63B3BB69-23CF-44E3-9099-C40C66FF867C}">
                  <a14:compatExt spid="_x0000_s60420"/>
                </a:ext>
                <a:ext uri="{FF2B5EF4-FFF2-40B4-BE49-F238E27FC236}">
                  <a16:creationId xmlns:a16="http://schemas.microsoft.com/office/drawing/2014/main" id="{00000000-0008-0000-2A00-000004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60421" name="Button 5" hidden="1">
              <a:extLst>
                <a:ext uri="{63B3BB69-23CF-44E3-9099-C40C66FF867C}">
                  <a14:compatExt spid="_x0000_s60421"/>
                </a:ext>
                <a:ext uri="{FF2B5EF4-FFF2-40B4-BE49-F238E27FC236}">
                  <a16:creationId xmlns:a16="http://schemas.microsoft.com/office/drawing/2014/main" id="{00000000-0008-0000-2A00-000005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60422" name="Button 6" hidden="1">
              <a:extLst>
                <a:ext uri="{63B3BB69-23CF-44E3-9099-C40C66FF867C}">
                  <a14:compatExt spid="_x0000_s60422"/>
                </a:ext>
                <a:ext uri="{FF2B5EF4-FFF2-40B4-BE49-F238E27FC236}">
                  <a16:creationId xmlns:a16="http://schemas.microsoft.com/office/drawing/2014/main" id="{00000000-0008-0000-2A00-000006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61441" name="Drop Down 1" hidden="1">
              <a:extLst>
                <a:ext uri="{63B3BB69-23CF-44E3-9099-C40C66FF867C}">
                  <a14:compatExt spid="_x0000_s61441"/>
                </a:ext>
                <a:ext uri="{FF2B5EF4-FFF2-40B4-BE49-F238E27FC236}">
                  <a16:creationId xmlns:a16="http://schemas.microsoft.com/office/drawing/2014/main" id="{00000000-0008-0000-2B00-000001F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61442" name="Button 2" hidden="1">
              <a:extLst>
                <a:ext uri="{63B3BB69-23CF-44E3-9099-C40C66FF867C}">
                  <a14:compatExt spid="_x0000_s61442"/>
                </a:ext>
                <a:ext uri="{FF2B5EF4-FFF2-40B4-BE49-F238E27FC236}">
                  <a16:creationId xmlns:a16="http://schemas.microsoft.com/office/drawing/2014/main" id="{00000000-0008-0000-2B00-000002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61443" name="Button 3" hidden="1">
              <a:extLst>
                <a:ext uri="{63B3BB69-23CF-44E3-9099-C40C66FF867C}">
                  <a14:compatExt spid="_x0000_s61443"/>
                </a:ext>
                <a:ext uri="{FF2B5EF4-FFF2-40B4-BE49-F238E27FC236}">
                  <a16:creationId xmlns:a16="http://schemas.microsoft.com/office/drawing/2014/main" id="{00000000-0008-0000-2B00-000003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61444" name="Button 4" hidden="1">
              <a:extLst>
                <a:ext uri="{63B3BB69-23CF-44E3-9099-C40C66FF867C}">
                  <a14:compatExt spid="_x0000_s61444"/>
                </a:ext>
                <a:ext uri="{FF2B5EF4-FFF2-40B4-BE49-F238E27FC236}">
                  <a16:creationId xmlns:a16="http://schemas.microsoft.com/office/drawing/2014/main" id="{00000000-0008-0000-2B00-000004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61445" name="Button 5" hidden="1">
              <a:extLst>
                <a:ext uri="{63B3BB69-23CF-44E3-9099-C40C66FF867C}">
                  <a14:compatExt spid="_x0000_s61445"/>
                </a:ext>
                <a:ext uri="{FF2B5EF4-FFF2-40B4-BE49-F238E27FC236}">
                  <a16:creationId xmlns:a16="http://schemas.microsoft.com/office/drawing/2014/main" id="{00000000-0008-0000-2B00-000005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61446" name="Button 6" hidden="1">
              <a:extLst>
                <a:ext uri="{63B3BB69-23CF-44E3-9099-C40C66FF867C}">
                  <a14:compatExt spid="_x0000_s61446"/>
                </a:ext>
                <a:ext uri="{FF2B5EF4-FFF2-40B4-BE49-F238E27FC236}">
                  <a16:creationId xmlns:a16="http://schemas.microsoft.com/office/drawing/2014/main" id="{00000000-0008-0000-2B00-000006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62465" name="Drop Down 1" hidden="1">
              <a:extLst>
                <a:ext uri="{63B3BB69-23CF-44E3-9099-C40C66FF867C}">
                  <a14:compatExt spid="_x0000_s62465"/>
                </a:ext>
                <a:ext uri="{FF2B5EF4-FFF2-40B4-BE49-F238E27FC236}">
                  <a16:creationId xmlns:a16="http://schemas.microsoft.com/office/drawing/2014/main" id="{00000000-0008-0000-2C00-000001F4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62466" name="Button 2" hidden="1">
              <a:extLst>
                <a:ext uri="{63B3BB69-23CF-44E3-9099-C40C66FF867C}">
                  <a14:compatExt spid="_x0000_s62466"/>
                </a:ext>
                <a:ext uri="{FF2B5EF4-FFF2-40B4-BE49-F238E27FC236}">
                  <a16:creationId xmlns:a16="http://schemas.microsoft.com/office/drawing/2014/main" id="{00000000-0008-0000-2C00-000002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62467" name="Button 3" hidden="1">
              <a:extLst>
                <a:ext uri="{63B3BB69-23CF-44E3-9099-C40C66FF867C}">
                  <a14:compatExt spid="_x0000_s62467"/>
                </a:ext>
                <a:ext uri="{FF2B5EF4-FFF2-40B4-BE49-F238E27FC236}">
                  <a16:creationId xmlns:a16="http://schemas.microsoft.com/office/drawing/2014/main" id="{00000000-0008-0000-2C00-000003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62468" name="Button 4" hidden="1">
              <a:extLst>
                <a:ext uri="{63B3BB69-23CF-44E3-9099-C40C66FF867C}">
                  <a14:compatExt spid="_x0000_s62468"/>
                </a:ext>
                <a:ext uri="{FF2B5EF4-FFF2-40B4-BE49-F238E27FC236}">
                  <a16:creationId xmlns:a16="http://schemas.microsoft.com/office/drawing/2014/main" id="{00000000-0008-0000-2C00-000004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62469" name="Button 5" hidden="1">
              <a:extLst>
                <a:ext uri="{63B3BB69-23CF-44E3-9099-C40C66FF867C}">
                  <a14:compatExt spid="_x0000_s62469"/>
                </a:ext>
                <a:ext uri="{FF2B5EF4-FFF2-40B4-BE49-F238E27FC236}">
                  <a16:creationId xmlns:a16="http://schemas.microsoft.com/office/drawing/2014/main" id="{00000000-0008-0000-2C00-000005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62470" name="Button 6" hidden="1">
              <a:extLst>
                <a:ext uri="{63B3BB69-23CF-44E3-9099-C40C66FF867C}">
                  <a14:compatExt spid="_x0000_s62470"/>
                </a:ext>
                <a:ext uri="{FF2B5EF4-FFF2-40B4-BE49-F238E27FC236}">
                  <a16:creationId xmlns:a16="http://schemas.microsoft.com/office/drawing/2014/main" id="{00000000-0008-0000-2C00-000006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63489" name="Drop Down 1" hidden="1">
              <a:extLst>
                <a:ext uri="{63B3BB69-23CF-44E3-9099-C40C66FF867C}">
                  <a14:compatExt spid="_x0000_s63489"/>
                </a:ext>
                <a:ext uri="{FF2B5EF4-FFF2-40B4-BE49-F238E27FC236}">
                  <a16:creationId xmlns:a16="http://schemas.microsoft.com/office/drawing/2014/main" id="{00000000-0008-0000-2D00-000001F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63490" name="Button 2" hidden="1">
              <a:extLst>
                <a:ext uri="{63B3BB69-23CF-44E3-9099-C40C66FF867C}">
                  <a14:compatExt spid="_x0000_s63490"/>
                </a:ext>
                <a:ext uri="{FF2B5EF4-FFF2-40B4-BE49-F238E27FC236}">
                  <a16:creationId xmlns:a16="http://schemas.microsoft.com/office/drawing/2014/main" id="{00000000-0008-0000-2D00-000002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63491" name="Button 3" hidden="1">
              <a:extLst>
                <a:ext uri="{63B3BB69-23CF-44E3-9099-C40C66FF867C}">
                  <a14:compatExt spid="_x0000_s63491"/>
                </a:ext>
                <a:ext uri="{FF2B5EF4-FFF2-40B4-BE49-F238E27FC236}">
                  <a16:creationId xmlns:a16="http://schemas.microsoft.com/office/drawing/2014/main" id="{00000000-0008-0000-2D00-000003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63492" name="Button 4" hidden="1">
              <a:extLst>
                <a:ext uri="{63B3BB69-23CF-44E3-9099-C40C66FF867C}">
                  <a14:compatExt spid="_x0000_s63492"/>
                </a:ext>
                <a:ext uri="{FF2B5EF4-FFF2-40B4-BE49-F238E27FC236}">
                  <a16:creationId xmlns:a16="http://schemas.microsoft.com/office/drawing/2014/main" id="{00000000-0008-0000-2D00-000004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63493" name="Button 5" hidden="1">
              <a:extLst>
                <a:ext uri="{63B3BB69-23CF-44E3-9099-C40C66FF867C}">
                  <a14:compatExt spid="_x0000_s63493"/>
                </a:ext>
                <a:ext uri="{FF2B5EF4-FFF2-40B4-BE49-F238E27FC236}">
                  <a16:creationId xmlns:a16="http://schemas.microsoft.com/office/drawing/2014/main" id="{00000000-0008-0000-2D00-000005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63494" name="Button 6" hidden="1">
              <a:extLst>
                <a:ext uri="{63B3BB69-23CF-44E3-9099-C40C66FF867C}">
                  <a14:compatExt spid="_x0000_s63494"/>
                </a:ext>
                <a:ext uri="{FF2B5EF4-FFF2-40B4-BE49-F238E27FC236}">
                  <a16:creationId xmlns:a16="http://schemas.microsoft.com/office/drawing/2014/main" id="{00000000-0008-0000-2D00-000006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12</xdr:row>
          <xdr:rowOff>19050</xdr:rowOff>
        </xdr:to>
        <xdr:sp macro="" textlink="">
          <xdr:nvSpPr>
            <xdr:cNvPr id="69633" name="Drop Down 1" hidden="1">
              <a:extLst>
                <a:ext uri="{63B3BB69-23CF-44E3-9099-C40C66FF867C}">
                  <a14:compatExt spid="_x0000_s69633"/>
                </a:ext>
                <a:ext uri="{FF2B5EF4-FFF2-40B4-BE49-F238E27FC236}">
                  <a16:creationId xmlns:a16="http://schemas.microsoft.com/office/drawing/2014/main" id="{00000000-0008-0000-2E00-0000011001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69634" name="Button 2" hidden="1">
              <a:extLst>
                <a:ext uri="{63B3BB69-23CF-44E3-9099-C40C66FF867C}">
                  <a14:compatExt spid="_x0000_s69634"/>
                </a:ext>
                <a:ext uri="{FF2B5EF4-FFF2-40B4-BE49-F238E27FC236}">
                  <a16:creationId xmlns:a16="http://schemas.microsoft.com/office/drawing/2014/main" id="{00000000-0008-0000-2E00-00000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2E00-000003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69636" name="Button 4" hidden="1">
              <a:extLst>
                <a:ext uri="{63B3BB69-23CF-44E3-9099-C40C66FF867C}">
                  <a14:compatExt spid="_x0000_s69636"/>
                </a:ext>
                <a:ext uri="{FF2B5EF4-FFF2-40B4-BE49-F238E27FC236}">
                  <a16:creationId xmlns:a16="http://schemas.microsoft.com/office/drawing/2014/main" id="{00000000-0008-0000-2E00-000004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69637" name="Button 5" hidden="1">
              <a:extLst>
                <a:ext uri="{63B3BB69-23CF-44E3-9099-C40C66FF867C}">
                  <a14:compatExt spid="_x0000_s69637"/>
                </a:ext>
                <a:ext uri="{FF2B5EF4-FFF2-40B4-BE49-F238E27FC236}">
                  <a16:creationId xmlns:a16="http://schemas.microsoft.com/office/drawing/2014/main" id="{00000000-0008-0000-2E00-000005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69638" name="Button 6" hidden="1">
              <a:extLst>
                <a:ext uri="{63B3BB69-23CF-44E3-9099-C40C66FF867C}">
                  <a14:compatExt spid="_x0000_s69638"/>
                </a:ext>
                <a:ext uri="{FF2B5EF4-FFF2-40B4-BE49-F238E27FC236}">
                  <a16:creationId xmlns:a16="http://schemas.microsoft.com/office/drawing/2014/main" id="{00000000-0008-0000-2E00-000006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12289" name="Drop Down 1" hidden="1">
              <a:extLst>
                <a:ext uri="{63B3BB69-23CF-44E3-9099-C40C66FF867C}">
                  <a14:compatExt spid="_x0000_s12289"/>
                </a:ext>
                <a:ext uri="{FF2B5EF4-FFF2-40B4-BE49-F238E27FC236}">
                  <a16:creationId xmlns:a16="http://schemas.microsoft.com/office/drawing/2014/main" id="{00000000-0008-0000-2F00-0000013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2F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2F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2F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12293" name="Button 5" hidden="1">
              <a:extLst>
                <a:ext uri="{63B3BB69-23CF-44E3-9099-C40C66FF867C}">
                  <a14:compatExt spid="_x0000_s12293"/>
                </a:ext>
                <a:ext uri="{FF2B5EF4-FFF2-40B4-BE49-F238E27FC236}">
                  <a16:creationId xmlns:a16="http://schemas.microsoft.com/office/drawing/2014/main" id="{00000000-0008-0000-2F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2F00-000006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28575</xdr:colOff>
          <xdr:row>1</xdr:row>
          <xdr:rowOff>228600</xdr:rowOff>
        </xdr:from>
        <xdr:to>
          <xdr:col>10</xdr:col>
          <xdr:colOff>0</xdr:colOff>
          <xdr:row>3</xdr:row>
          <xdr:rowOff>0</xdr:rowOff>
        </xdr:to>
        <xdr:sp macro="" textlink="">
          <xdr:nvSpPr>
            <xdr:cNvPr id="14337" name="btnPath" hidden="1">
              <a:extLst>
                <a:ext uri="{63B3BB69-23CF-44E3-9099-C40C66FF867C}">
                  <a14:compatExt spid="_x0000_s14337"/>
                </a:ext>
                <a:ext uri="{FF2B5EF4-FFF2-40B4-BE49-F238E27FC236}">
                  <a16:creationId xmlns:a16="http://schemas.microsoft.com/office/drawing/2014/main" id="{00000000-0008-0000-30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3</xdr:row>
          <xdr:rowOff>28575</xdr:rowOff>
        </xdr:from>
        <xdr:to>
          <xdr:col>8</xdr:col>
          <xdr:colOff>952500</xdr:colOff>
          <xdr:row>4</xdr:row>
          <xdr:rowOff>95250</xdr:rowOff>
        </xdr:to>
        <xdr:sp macro="" textlink="">
          <xdr:nvSpPr>
            <xdr:cNvPr id="14338" name="btnCreate" hidden="1">
              <a:extLst>
                <a:ext uri="{63B3BB69-23CF-44E3-9099-C40C66FF867C}">
                  <a14:compatExt spid="_x0000_s14338"/>
                </a:ext>
                <a:ext uri="{FF2B5EF4-FFF2-40B4-BE49-F238E27FC236}">
                  <a16:creationId xmlns:a16="http://schemas.microsoft.com/office/drawing/2014/main" id="{00000000-0008-0000-30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180975</xdr:colOff>
          <xdr:row>11</xdr:row>
          <xdr:rowOff>9525</xdr:rowOff>
        </xdr:from>
        <xdr:to>
          <xdr:col>8</xdr:col>
          <xdr:colOff>561975</xdr:colOff>
          <xdr:row>11</xdr:row>
          <xdr:rowOff>190500</xdr:rowOff>
        </xdr:to>
        <xdr:sp macro="" textlink="">
          <xdr:nvSpPr>
            <xdr:cNvPr id="15361" name="Drop Down 1" hidden="1">
              <a:extLst>
                <a:ext uri="{63B3BB69-23CF-44E3-9099-C40C66FF867C}">
                  <a14:compatExt spid="_x0000_s15361"/>
                </a:ext>
                <a:ext uri="{FF2B5EF4-FFF2-40B4-BE49-F238E27FC236}">
                  <a16:creationId xmlns:a16="http://schemas.microsoft.com/office/drawing/2014/main" id="{00000000-0008-0000-3100-0000013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11</xdr:row>
          <xdr:rowOff>9525</xdr:rowOff>
        </xdr:from>
        <xdr:to>
          <xdr:col>12</xdr:col>
          <xdr:colOff>428625</xdr:colOff>
          <xdr:row>11</xdr:row>
          <xdr:rowOff>180975</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31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219075</xdr:colOff>
          <xdr:row>12</xdr:row>
          <xdr:rowOff>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31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主キー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11</xdr:row>
          <xdr:rowOff>9525</xdr:rowOff>
        </xdr:from>
        <xdr:to>
          <xdr:col>12</xdr:col>
          <xdr:colOff>28575</xdr:colOff>
          <xdr:row>11</xdr:row>
          <xdr:rowOff>180975</xdr:rowOff>
        </xdr:to>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31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ja-JP" altLang="en-US" sz="800" b="0" i="0" u="none" strike="noStrike" baseline="0">
                  <a:solidFill>
                    <a:srgbClr val="000000"/>
                  </a:solidFill>
                  <a:latin typeface="Times New Roman"/>
                  <a:cs typeface="Times New Roman"/>
                </a:rPr>
                <a:t>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11</xdr:row>
          <xdr:rowOff>9525</xdr:rowOff>
        </xdr:from>
        <xdr:to>
          <xdr:col>3</xdr:col>
          <xdr:colOff>114300</xdr:colOff>
          <xdr:row>11</xdr:row>
          <xdr:rowOff>180975</xdr:rowOff>
        </xdr:to>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31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008000"/>
                  </a:solidFill>
                  <a:latin typeface="ＭＳ Ｐゴシック"/>
                  <a:ea typeface="ＭＳ Ｐゴシック"/>
                </a:rPr>
                <a:t>行挿入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11</xdr:row>
          <xdr:rowOff>9525</xdr:rowOff>
        </xdr:from>
        <xdr:to>
          <xdr:col>4</xdr:col>
          <xdr:colOff>190500</xdr:colOff>
          <xdr:row>11</xdr:row>
          <xdr:rowOff>180975</xdr:rowOff>
        </xdr:to>
        <xdr:sp macro="" textlink="">
          <xdr:nvSpPr>
            <xdr:cNvPr id="15366" name="Button 6" hidden="1">
              <a:extLst>
                <a:ext uri="{63B3BB69-23CF-44E3-9099-C40C66FF867C}">
                  <a14:compatExt spid="_x0000_s15366"/>
                </a:ext>
                <a:ext uri="{FF2B5EF4-FFF2-40B4-BE49-F238E27FC236}">
                  <a16:creationId xmlns:a16="http://schemas.microsoft.com/office/drawing/2014/main" id="{00000000-0008-0000-3100-000006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ja-JP" altLang="en-US" sz="1000" b="0" i="0" u="none" strike="noStrike" baseline="0">
                  <a:solidFill>
                    <a:srgbClr val="FF0000"/>
                  </a:solidFill>
                  <a:latin typeface="ＭＳ Ｐゴシック"/>
                  <a:ea typeface="ＭＳ Ｐゴシック"/>
                </a:rPr>
                <a:t>行削除</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3.vml"/><Relationship Id="rId7"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ctrlProp" Target="../ctrlProps/ctrlProp8.xml"/><Relationship Id="rId10" Type="http://schemas.openxmlformats.org/officeDocument/2006/relationships/comments" Target="../comments3.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4.vml"/><Relationship Id="rId7" Type="http://schemas.openxmlformats.org/officeDocument/2006/relationships/ctrlProp" Target="../ctrlProps/ctrlProp16.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15.xml"/><Relationship Id="rId5" Type="http://schemas.openxmlformats.org/officeDocument/2006/relationships/ctrlProp" Target="../ctrlProps/ctrlProp14.xml"/><Relationship Id="rId10" Type="http://schemas.openxmlformats.org/officeDocument/2006/relationships/comments" Target="../comments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5.vml"/><Relationship Id="rId7" Type="http://schemas.openxmlformats.org/officeDocument/2006/relationships/ctrlProp" Target="../ctrlProps/ctrlProp22.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21.xml"/><Relationship Id="rId5" Type="http://schemas.openxmlformats.org/officeDocument/2006/relationships/ctrlProp" Target="../ctrlProps/ctrlProp20.xml"/><Relationship Id="rId10" Type="http://schemas.openxmlformats.org/officeDocument/2006/relationships/comments" Target="../comments5.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6.vml"/><Relationship Id="rId7" Type="http://schemas.openxmlformats.org/officeDocument/2006/relationships/ctrlProp" Target="../ctrlProps/ctrlProp28.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27.xml"/><Relationship Id="rId5" Type="http://schemas.openxmlformats.org/officeDocument/2006/relationships/ctrlProp" Target="../ctrlProps/ctrlProp26.xml"/><Relationship Id="rId10" Type="http://schemas.openxmlformats.org/officeDocument/2006/relationships/comments" Target="../comments6.xml"/><Relationship Id="rId4" Type="http://schemas.openxmlformats.org/officeDocument/2006/relationships/ctrlProp" Target="../ctrlProps/ctrlProp25.xml"/><Relationship Id="rId9" Type="http://schemas.openxmlformats.org/officeDocument/2006/relationships/ctrlProp" Target="../ctrlProps/ctrlProp30.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5.xml"/><Relationship Id="rId3" Type="http://schemas.openxmlformats.org/officeDocument/2006/relationships/vmlDrawing" Target="../drawings/vmlDrawing7.vml"/><Relationship Id="rId7" Type="http://schemas.openxmlformats.org/officeDocument/2006/relationships/ctrlProp" Target="../ctrlProps/ctrlProp34.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33.xml"/><Relationship Id="rId5" Type="http://schemas.openxmlformats.org/officeDocument/2006/relationships/ctrlProp" Target="../ctrlProps/ctrlProp32.xml"/><Relationship Id="rId10" Type="http://schemas.openxmlformats.org/officeDocument/2006/relationships/comments" Target="../comments7.xml"/><Relationship Id="rId4" Type="http://schemas.openxmlformats.org/officeDocument/2006/relationships/ctrlProp" Target="../ctrlProps/ctrlProp31.xml"/><Relationship Id="rId9" Type="http://schemas.openxmlformats.org/officeDocument/2006/relationships/ctrlProp" Target="../ctrlProps/ctrlProp3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1.xml"/><Relationship Id="rId3" Type="http://schemas.openxmlformats.org/officeDocument/2006/relationships/vmlDrawing" Target="../drawings/vmlDrawing8.vml"/><Relationship Id="rId7" Type="http://schemas.openxmlformats.org/officeDocument/2006/relationships/ctrlProp" Target="../ctrlProps/ctrlProp40.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39.xml"/><Relationship Id="rId5" Type="http://schemas.openxmlformats.org/officeDocument/2006/relationships/ctrlProp" Target="../ctrlProps/ctrlProp38.xml"/><Relationship Id="rId10" Type="http://schemas.openxmlformats.org/officeDocument/2006/relationships/comments" Target="../comments8.xml"/><Relationship Id="rId4" Type="http://schemas.openxmlformats.org/officeDocument/2006/relationships/ctrlProp" Target="../ctrlProps/ctrlProp37.xml"/><Relationship Id="rId9" Type="http://schemas.openxmlformats.org/officeDocument/2006/relationships/ctrlProp" Target="../ctrlProps/ctrlProp42.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47.xml"/><Relationship Id="rId3" Type="http://schemas.openxmlformats.org/officeDocument/2006/relationships/vmlDrawing" Target="../drawings/vmlDrawing9.vml"/><Relationship Id="rId7" Type="http://schemas.openxmlformats.org/officeDocument/2006/relationships/ctrlProp" Target="../ctrlProps/ctrlProp46.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45.xml"/><Relationship Id="rId5" Type="http://schemas.openxmlformats.org/officeDocument/2006/relationships/ctrlProp" Target="../ctrlProps/ctrlProp44.xml"/><Relationship Id="rId10" Type="http://schemas.openxmlformats.org/officeDocument/2006/relationships/comments" Target="../comments9.xml"/><Relationship Id="rId4" Type="http://schemas.openxmlformats.org/officeDocument/2006/relationships/ctrlProp" Target="../ctrlProps/ctrlProp43.xml"/><Relationship Id="rId9" Type="http://schemas.openxmlformats.org/officeDocument/2006/relationships/ctrlProp" Target="../ctrlProps/ctrlProp48.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53.xml"/><Relationship Id="rId3" Type="http://schemas.openxmlformats.org/officeDocument/2006/relationships/vmlDrawing" Target="../drawings/vmlDrawing10.vml"/><Relationship Id="rId7" Type="http://schemas.openxmlformats.org/officeDocument/2006/relationships/ctrlProp" Target="../ctrlProps/ctrlProp52.x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trlProp" Target="../ctrlProps/ctrlProp51.xml"/><Relationship Id="rId5" Type="http://schemas.openxmlformats.org/officeDocument/2006/relationships/ctrlProp" Target="../ctrlProps/ctrlProp50.xml"/><Relationship Id="rId10" Type="http://schemas.openxmlformats.org/officeDocument/2006/relationships/comments" Target="../comments10.xml"/><Relationship Id="rId4" Type="http://schemas.openxmlformats.org/officeDocument/2006/relationships/ctrlProp" Target="../ctrlProps/ctrlProp49.xml"/><Relationship Id="rId9" Type="http://schemas.openxmlformats.org/officeDocument/2006/relationships/ctrlProp" Target="../ctrlProps/ctrlProp54.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59.xml"/><Relationship Id="rId3" Type="http://schemas.openxmlformats.org/officeDocument/2006/relationships/vmlDrawing" Target="../drawings/vmlDrawing11.vml"/><Relationship Id="rId7" Type="http://schemas.openxmlformats.org/officeDocument/2006/relationships/ctrlProp" Target="../ctrlProps/ctrlProp58.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trlProp" Target="../ctrlProps/ctrlProp57.xml"/><Relationship Id="rId5" Type="http://schemas.openxmlformats.org/officeDocument/2006/relationships/ctrlProp" Target="../ctrlProps/ctrlProp56.xml"/><Relationship Id="rId10" Type="http://schemas.openxmlformats.org/officeDocument/2006/relationships/comments" Target="../comments11.xml"/><Relationship Id="rId4" Type="http://schemas.openxmlformats.org/officeDocument/2006/relationships/ctrlProp" Target="../ctrlProps/ctrlProp55.xml"/><Relationship Id="rId9" Type="http://schemas.openxmlformats.org/officeDocument/2006/relationships/ctrlProp" Target="../ctrlProps/ctrlProp60.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65.xml"/><Relationship Id="rId3" Type="http://schemas.openxmlformats.org/officeDocument/2006/relationships/vmlDrawing" Target="../drawings/vmlDrawing12.vml"/><Relationship Id="rId7" Type="http://schemas.openxmlformats.org/officeDocument/2006/relationships/ctrlProp" Target="../ctrlProps/ctrlProp64.x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trlProp" Target="../ctrlProps/ctrlProp63.xml"/><Relationship Id="rId5" Type="http://schemas.openxmlformats.org/officeDocument/2006/relationships/ctrlProp" Target="../ctrlProps/ctrlProp62.xml"/><Relationship Id="rId10" Type="http://schemas.openxmlformats.org/officeDocument/2006/relationships/comments" Target="../comments12.xml"/><Relationship Id="rId4" Type="http://schemas.openxmlformats.org/officeDocument/2006/relationships/ctrlProp" Target="../ctrlProps/ctrlProp61.xml"/><Relationship Id="rId9" Type="http://schemas.openxmlformats.org/officeDocument/2006/relationships/ctrlProp" Target="../ctrlProps/ctrlProp66.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71.xml"/><Relationship Id="rId3" Type="http://schemas.openxmlformats.org/officeDocument/2006/relationships/vmlDrawing" Target="../drawings/vmlDrawing13.vml"/><Relationship Id="rId7" Type="http://schemas.openxmlformats.org/officeDocument/2006/relationships/ctrlProp" Target="../ctrlProps/ctrlProp70.x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trlProp" Target="../ctrlProps/ctrlProp69.xml"/><Relationship Id="rId5" Type="http://schemas.openxmlformats.org/officeDocument/2006/relationships/ctrlProp" Target="../ctrlProps/ctrlProp68.xml"/><Relationship Id="rId10" Type="http://schemas.openxmlformats.org/officeDocument/2006/relationships/comments" Target="../comments13.xml"/><Relationship Id="rId4" Type="http://schemas.openxmlformats.org/officeDocument/2006/relationships/ctrlProp" Target="../ctrlProps/ctrlProp67.xml"/><Relationship Id="rId9" Type="http://schemas.openxmlformats.org/officeDocument/2006/relationships/ctrlProp" Target="../ctrlProps/ctrlProp72.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77.xml"/><Relationship Id="rId3" Type="http://schemas.openxmlformats.org/officeDocument/2006/relationships/vmlDrawing" Target="../drawings/vmlDrawing14.vml"/><Relationship Id="rId7" Type="http://schemas.openxmlformats.org/officeDocument/2006/relationships/ctrlProp" Target="../ctrlProps/ctrlProp76.x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trlProp" Target="../ctrlProps/ctrlProp75.xml"/><Relationship Id="rId5" Type="http://schemas.openxmlformats.org/officeDocument/2006/relationships/ctrlProp" Target="../ctrlProps/ctrlProp74.xml"/><Relationship Id="rId10" Type="http://schemas.openxmlformats.org/officeDocument/2006/relationships/comments" Target="../comments14.xml"/><Relationship Id="rId4" Type="http://schemas.openxmlformats.org/officeDocument/2006/relationships/ctrlProp" Target="../ctrlProps/ctrlProp73.xml"/><Relationship Id="rId9" Type="http://schemas.openxmlformats.org/officeDocument/2006/relationships/ctrlProp" Target="../ctrlProps/ctrlProp78.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83.xml"/><Relationship Id="rId3" Type="http://schemas.openxmlformats.org/officeDocument/2006/relationships/vmlDrawing" Target="../drawings/vmlDrawing15.vml"/><Relationship Id="rId7" Type="http://schemas.openxmlformats.org/officeDocument/2006/relationships/ctrlProp" Target="../ctrlProps/ctrlProp82.xml"/><Relationship Id="rId2" Type="http://schemas.openxmlformats.org/officeDocument/2006/relationships/drawing" Target="../drawings/drawing14.xml"/><Relationship Id="rId1" Type="http://schemas.openxmlformats.org/officeDocument/2006/relationships/printerSettings" Target="../printerSettings/printerSettings15.bin"/><Relationship Id="rId6" Type="http://schemas.openxmlformats.org/officeDocument/2006/relationships/ctrlProp" Target="../ctrlProps/ctrlProp81.xml"/><Relationship Id="rId5" Type="http://schemas.openxmlformats.org/officeDocument/2006/relationships/ctrlProp" Target="../ctrlProps/ctrlProp80.xml"/><Relationship Id="rId10" Type="http://schemas.openxmlformats.org/officeDocument/2006/relationships/comments" Target="../comments15.xml"/><Relationship Id="rId4" Type="http://schemas.openxmlformats.org/officeDocument/2006/relationships/ctrlProp" Target="../ctrlProps/ctrlProp79.xml"/><Relationship Id="rId9" Type="http://schemas.openxmlformats.org/officeDocument/2006/relationships/ctrlProp" Target="../ctrlProps/ctrlProp84.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89.xml"/><Relationship Id="rId3" Type="http://schemas.openxmlformats.org/officeDocument/2006/relationships/vmlDrawing" Target="../drawings/vmlDrawing16.vml"/><Relationship Id="rId7" Type="http://schemas.openxmlformats.org/officeDocument/2006/relationships/ctrlProp" Target="../ctrlProps/ctrlProp88.xml"/><Relationship Id="rId2" Type="http://schemas.openxmlformats.org/officeDocument/2006/relationships/drawing" Target="../drawings/drawing15.xml"/><Relationship Id="rId1" Type="http://schemas.openxmlformats.org/officeDocument/2006/relationships/printerSettings" Target="../printerSettings/printerSettings16.bin"/><Relationship Id="rId6" Type="http://schemas.openxmlformats.org/officeDocument/2006/relationships/ctrlProp" Target="../ctrlProps/ctrlProp87.xml"/><Relationship Id="rId5" Type="http://schemas.openxmlformats.org/officeDocument/2006/relationships/ctrlProp" Target="../ctrlProps/ctrlProp86.xml"/><Relationship Id="rId10" Type="http://schemas.openxmlformats.org/officeDocument/2006/relationships/comments" Target="../comments16.xml"/><Relationship Id="rId4" Type="http://schemas.openxmlformats.org/officeDocument/2006/relationships/ctrlProp" Target="../ctrlProps/ctrlProp85.xml"/><Relationship Id="rId9" Type="http://schemas.openxmlformats.org/officeDocument/2006/relationships/ctrlProp" Target="../ctrlProps/ctrlProp90.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95.xml"/><Relationship Id="rId3" Type="http://schemas.openxmlformats.org/officeDocument/2006/relationships/vmlDrawing" Target="../drawings/vmlDrawing17.vml"/><Relationship Id="rId7" Type="http://schemas.openxmlformats.org/officeDocument/2006/relationships/ctrlProp" Target="../ctrlProps/ctrlProp94.xml"/><Relationship Id="rId2" Type="http://schemas.openxmlformats.org/officeDocument/2006/relationships/drawing" Target="../drawings/drawing16.xml"/><Relationship Id="rId1" Type="http://schemas.openxmlformats.org/officeDocument/2006/relationships/printerSettings" Target="../printerSettings/printerSettings17.bin"/><Relationship Id="rId6" Type="http://schemas.openxmlformats.org/officeDocument/2006/relationships/ctrlProp" Target="../ctrlProps/ctrlProp93.xml"/><Relationship Id="rId5" Type="http://schemas.openxmlformats.org/officeDocument/2006/relationships/ctrlProp" Target="../ctrlProps/ctrlProp92.xml"/><Relationship Id="rId10" Type="http://schemas.openxmlformats.org/officeDocument/2006/relationships/comments" Target="../comments17.xml"/><Relationship Id="rId4" Type="http://schemas.openxmlformats.org/officeDocument/2006/relationships/ctrlProp" Target="../ctrlProps/ctrlProp91.xml"/><Relationship Id="rId9" Type="http://schemas.openxmlformats.org/officeDocument/2006/relationships/ctrlProp" Target="../ctrlProps/ctrlProp96.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101.xml"/><Relationship Id="rId3" Type="http://schemas.openxmlformats.org/officeDocument/2006/relationships/vmlDrawing" Target="../drawings/vmlDrawing18.vml"/><Relationship Id="rId7" Type="http://schemas.openxmlformats.org/officeDocument/2006/relationships/ctrlProp" Target="../ctrlProps/ctrlProp100.x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trlProp" Target="../ctrlProps/ctrlProp99.xml"/><Relationship Id="rId5" Type="http://schemas.openxmlformats.org/officeDocument/2006/relationships/ctrlProp" Target="../ctrlProps/ctrlProp98.xml"/><Relationship Id="rId10" Type="http://schemas.openxmlformats.org/officeDocument/2006/relationships/comments" Target="../comments18.xml"/><Relationship Id="rId4" Type="http://schemas.openxmlformats.org/officeDocument/2006/relationships/ctrlProp" Target="../ctrlProps/ctrlProp97.xml"/><Relationship Id="rId9" Type="http://schemas.openxmlformats.org/officeDocument/2006/relationships/ctrlProp" Target="../ctrlProps/ctrlProp102.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107.xml"/><Relationship Id="rId3" Type="http://schemas.openxmlformats.org/officeDocument/2006/relationships/vmlDrawing" Target="../drawings/vmlDrawing19.vml"/><Relationship Id="rId7" Type="http://schemas.openxmlformats.org/officeDocument/2006/relationships/ctrlProp" Target="../ctrlProps/ctrlProp106.x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trlProp" Target="../ctrlProps/ctrlProp105.xml"/><Relationship Id="rId5" Type="http://schemas.openxmlformats.org/officeDocument/2006/relationships/ctrlProp" Target="../ctrlProps/ctrlProp104.xml"/><Relationship Id="rId10" Type="http://schemas.openxmlformats.org/officeDocument/2006/relationships/comments" Target="../comments19.xml"/><Relationship Id="rId4" Type="http://schemas.openxmlformats.org/officeDocument/2006/relationships/ctrlProp" Target="../ctrlProps/ctrlProp103.xml"/><Relationship Id="rId9" Type="http://schemas.openxmlformats.org/officeDocument/2006/relationships/ctrlProp" Target="../ctrlProps/ctrlProp108.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113.xml"/><Relationship Id="rId3" Type="http://schemas.openxmlformats.org/officeDocument/2006/relationships/vmlDrawing" Target="../drawings/vmlDrawing20.vml"/><Relationship Id="rId7" Type="http://schemas.openxmlformats.org/officeDocument/2006/relationships/ctrlProp" Target="../ctrlProps/ctrlProp112.xml"/><Relationship Id="rId2" Type="http://schemas.openxmlformats.org/officeDocument/2006/relationships/drawing" Target="../drawings/drawing19.xml"/><Relationship Id="rId1" Type="http://schemas.openxmlformats.org/officeDocument/2006/relationships/printerSettings" Target="../printerSettings/printerSettings20.bin"/><Relationship Id="rId6" Type="http://schemas.openxmlformats.org/officeDocument/2006/relationships/ctrlProp" Target="../ctrlProps/ctrlProp111.xml"/><Relationship Id="rId5" Type="http://schemas.openxmlformats.org/officeDocument/2006/relationships/ctrlProp" Target="../ctrlProps/ctrlProp110.xml"/><Relationship Id="rId10" Type="http://schemas.openxmlformats.org/officeDocument/2006/relationships/comments" Target="../comments20.xml"/><Relationship Id="rId4" Type="http://schemas.openxmlformats.org/officeDocument/2006/relationships/ctrlProp" Target="../ctrlProps/ctrlProp109.xml"/><Relationship Id="rId9" Type="http://schemas.openxmlformats.org/officeDocument/2006/relationships/ctrlProp" Target="../ctrlProps/ctrlProp114.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119.xml"/><Relationship Id="rId3" Type="http://schemas.openxmlformats.org/officeDocument/2006/relationships/vmlDrawing" Target="../drawings/vmlDrawing21.vml"/><Relationship Id="rId7" Type="http://schemas.openxmlformats.org/officeDocument/2006/relationships/ctrlProp" Target="../ctrlProps/ctrlProp118.xml"/><Relationship Id="rId2" Type="http://schemas.openxmlformats.org/officeDocument/2006/relationships/drawing" Target="../drawings/drawing20.xml"/><Relationship Id="rId1" Type="http://schemas.openxmlformats.org/officeDocument/2006/relationships/printerSettings" Target="../printerSettings/printerSettings21.bin"/><Relationship Id="rId6" Type="http://schemas.openxmlformats.org/officeDocument/2006/relationships/ctrlProp" Target="../ctrlProps/ctrlProp117.xml"/><Relationship Id="rId5" Type="http://schemas.openxmlformats.org/officeDocument/2006/relationships/ctrlProp" Target="../ctrlProps/ctrlProp116.xml"/><Relationship Id="rId10" Type="http://schemas.openxmlformats.org/officeDocument/2006/relationships/comments" Target="../comments21.xml"/><Relationship Id="rId4" Type="http://schemas.openxmlformats.org/officeDocument/2006/relationships/ctrlProp" Target="../ctrlProps/ctrlProp115.xml"/><Relationship Id="rId9" Type="http://schemas.openxmlformats.org/officeDocument/2006/relationships/ctrlProp" Target="../ctrlProps/ctrlProp120.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125.xml"/><Relationship Id="rId3" Type="http://schemas.openxmlformats.org/officeDocument/2006/relationships/vmlDrawing" Target="../drawings/vmlDrawing22.vml"/><Relationship Id="rId7" Type="http://schemas.openxmlformats.org/officeDocument/2006/relationships/ctrlProp" Target="../ctrlProps/ctrlProp124.xml"/><Relationship Id="rId2" Type="http://schemas.openxmlformats.org/officeDocument/2006/relationships/drawing" Target="../drawings/drawing21.xml"/><Relationship Id="rId1" Type="http://schemas.openxmlformats.org/officeDocument/2006/relationships/printerSettings" Target="../printerSettings/printerSettings22.bin"/><Relationship Id="rId6" Type="http://schemas.openxmlformats.org/officeDocument/2006/relationships/ctrlProp" Target="../ctrlProps/ctrlProp123.xml"/><Relationship Id="rId5" Type="http://schemas.openxmlformats.org/officeDocument/2006/relationships/ctrlProp" Target="../ctrlProps/ctrlProp122.xml"/><Relationship Id="rId10" Type="http://schemas.openxmlformats.org/officeDocument/2006/relationships/comments" Target="../comments22.xml"/><Relationship Id="rId4" Type="http://schemas.openxmlformats.org/officeDocument/2006/relationships/ctrlProp" Target="../ctrlProps/ctrlProp121.xml"/><Relationship Id="rId9" Type="http://schemas.openxmlformats.org/officeDocument/2006/relationships/ctrlProp" Target="../ctrlProps/ctrlProp126.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131.xml"/><Relationship Id="rId3" Type="http://schemas.openxmlformats.org/officeDocument/2006/relationships/vmlDrawing" Target="../drawings/vmlDrawing23.vml"/><Relationship Id="rId7" Type="http://schemas.openxmlformats.org/officeDocument/2006/relationships/ctrlProp" Target="../ctrlProps/ctrlProp130.xml"/><Relationship Id="rId2" Type="http://schemas.openxmlformats.org/officeDocument/2006/relationships/drawing" Target="../drawings/drawing22.xml"/><Relationship Id="rId1" Type="http://schemas.openxmlformats.org/officeDocument/2006/relationships/printerSettings" Target="../printerSettings/printerSettings23.bin"/><Relationship Id="rId6" Type="http://schemas.openxmlformats.org/officeDocument/2006/relationships/ctrlProp" Target="../ctrlProps/ctrlProp129.xml"/><Relationship Id="rId5" Type="http://schemas.openxmlformats.org/officeDocument/2006/relationships/ctrlProp" Target="../ctrlProps/ctrlProp128.xml"/><Relationship Id="rId10" Type="http://schemas.openxmlformats.org/officeDocument/2006/relationships/comments" Target="../comments23.xml"/><Relationship Id="rId4" Type="http://schemas.openxmlformats.org/officeDocument/2006/relationships/ctrlProp" Target="../ctrlProps/ctrlProp127.xml"/><Relationship Id="rId9" Type="http://schemas.openxmlformats.org/officeDocument/2006/relationships/ctrlProp" Target="../ctrlProps/ctrlProp132.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137.xml"/><Relationship Id="rId3" Type="http://schemas.openxmlformats.org/officeDocument/2006/relationships/vmlDrawing" Target="../drawings/vmlDrawing24.vml"/><Relationship Id="rId7" Type="http://schemas.openxmlformats.org/officeDocument/2006/relationships/ctrlProp" Target="../ctrlProps/ctrlProp136.xml"/><Relationship Id="rId2" Type="http://schemas.openxmlformats.org/officeDocument/2006/relationships/drawing" Target="../drawings/drawing23.xml"/><Relationship Id="rId1" Type="http://schemas.openxmlformats.org/officeDocument/2006/relationships/printerSettings" Target="../printerSettings/printerSettings24.bin"/><Relationship Id="rId6" Type="http://schemas.openxmlformats.org/officeDocument/2006/relationships/ctrlProp" Target="../ctrlProps/ctrlProp135.xml"/><Relationship Id="rId5" Type="http://schemas.openxmlformats.org/officeDocument/2006/relationships/ctrlProp" Target="../ctrlProps/ctrlProp134.xml"/><Relationship Id="rId10" Type="http://schemas.openxmlformats.org/officeDocument/2006/relationships/comments" Target="../comments24.xml"/><Relationship Id="rId4" Type="http://schemas.openxmlformats.org/officeDocument/2006/relationships/ctrlProp" Target="../ctrlProps/ctrlProp133.xml"/><Relationship Id="rId9" Type="http://schemas.openxmlformats.org/officeDocument/2006/relationships/ctrlProp" Target="../ctrlProps/ctrlProp138.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143.xml"/><Relationship Id="rId3" Type="http://schemas.openxmlformats.org/officeDocument/2006/relationships/vmlDrawing" Target="../drawings/vmlDrawing25.vml"/><Relationship Id="rId7" Type="http://schemas.openxmlformats.org/officeDocument/2006/relationships/ctrlProp" Target="../ctrlProps/ctrlProp142.xml"/><Relationship Id="rId2" Type="http://schemas.openxmlformats.org/officeDocument/2006/relationships/drawing" Target="../drawings/drawing24.xml"/><Relationship Id="rId1" Type="http://schemas.openxmlformats.org/officeDocument/2006/relationships/printerSettings" Target="../printerSettings/printerSettings25.bin"/><Relationship Id="rId6" Type="http://schemas.openxmlformats.org/officeDocument/2006/relationships/ctrlProp" Target="../ctrlProps/ctrlProp141.xml"/><Relationship Id="rId5" Type="http://schemas.openxmlformats.org/officeDocument/2006/relationships/ctrlProp" Target="../ctrlProps/ctrlProp140.xml"/><Relationship Id="rId10" Type="http://schemas.openxmlformats.org/officeDocument/2006/relationships/comments" Target="../comments25.xml"/><Relationship Id="rId4" Type="http://schemas.openxmlformats.org/officeDocument/2006/relationships/ctrlProp" Target="../ctrlProps/ctrlProp139.xml"/><Relationship Id="rId9" Type="http://schemas.openxmlformats.org/officeDocument/2006/relationships/ctrlProp" Target="../ctrlProps/ctrlProp144.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149.xml"/><Relationship Id="rId3" Type="http://schemas.openxmlformats.org/officeDocument/2006/relationships/vmlDrawing" Target="../drawings/vmlDrawing26.vml"/><Relationship Id="rId7" Type="http://schemas.openxmlformats.org/officeDocument/2006/relationships/ctrlProp" Target="../ctrlProps/ctrlProp148.xml"/><Relationship Id="rId2" Type="http://schemas.openxmlformats.org/officeDocument/2006/relationships/drawing" Target="../drawings/drawing25.xml"/><Relationship Id="rId1" Type="http://schemas.openxmlformats.org/officeDocument/2006/relationships/printerSettings" Target="../printerSettings/printerSettings26.bin"/><Relationship Id="rId6" Type="http://schemas.openxmlformats.org/officeDocument/2006/relationships/ctrlProp" Target="../ctrlProps/ctrlProp147.xml"/><Relationship Id="rId5" Type="http://schemas.openxmlformats.org/officeDocument/2006/relationships/ctrlProp" Target="../ctrlProps/ctrlProp146.xml"/><Relationship Id="rId10" Type="http://schemas.openxmlformats.org/officeDocument/2006/relationships/comments" Target="../comments26.xml"/><Relationship Id="rId4" Type="http://schemas.openxmlformats.org/officeDocument/2006/relationships/ctrlProp" Target="../ctrlProps/ctrlProp145.xml"/><Relationship Id="rId9" Type="http://schemas.openxmlformats.org/officeDocument/2006/relationships/ctrlProp" Target="../ctrlProps/ctrlProp150.xml"/></Relationships>
</file>

<file path=xl/worksheets/_rels/sheet28.xml.rels><?xml version="1.0" encoding="UTF-8" standalone="yes"?>
<Relationships xmlns="http://schemas.openxmlformats.org/package/2006/relationships"><Relationship Id="rId8" Type="http://schemas.openxmlformats.org/officeDocument/2006/relationships/ctrlProp" Target="../ctrlProps/ctrlProp155.xml"/><Relationship Id="rId3" Type="http://schemas.openxmlformats.org/officeDocument/2006/relationships/vmlDrawing" Target="../drawings/vmlDrawing27.vml"/><Relationship Id="rId7" Type="http://schemas.openxmlformats.org/officeDocument/2006/relationships/ctrlProp" Target="../ctrlProps/ctrlProp154.xml"/><Relationship Id="rId2" Type="http://schemas.openxmlformats.org/officeDocument/2006/relationships/drawing" Target="../drawings/drawing26.xml"/><Relationship Id="rId1" Type="http://schemas.openxmlformats.org/officeDocument/2006/relationships/printerSettings" Target="../printerSettings/printerSettings27.bin"/><Relationship Id="rId6" Type="http://schemas.openxmlformats.org/officeDocument/2006/relationships/ctrlProp" Target="../ctrlProps/ctrlProp153.xml"/><Relationship Id="rId5" Type="http://schemas.openxmlformats.org/officeDocument/2006/relationships/ctrlProp" Target="../ctrlProps/ctrlProp152.xml"/><Relationship Id="rId10" Type="http://schemas.openxmlformats.org/officeDocument/2006/relationships/comments" Target="../comments27.xml"/><Relationship Id="rId4" Type="http://schemas.openxmlformats.org/officeDocument/2006/relationships/ctrlProp" Target="../ctrlProps/ctrlProp151.xml"/><Relationship Id="rId9" Type="http://schemas.openxmlformats.org/officeDocument/2006/relationships/ctrlProp" Target="../ctrlProps/ctrlProp156.xml"/></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161.xml"/><Relationship Id="rId3" Type="http://schemas.openxmlformats.org/officeDocument/2006/relationships/vmlDrawing" Target="../drawings/vmlDrawing28.vml"/><Relationship Id="rId7" Type="http://schemas.openxmlformats.org/officeDocument/2006/relationships/ctrlProp" Target="../ctrlProps/ctrlProp160.xml"/><Relationship Id="rId2" Type="http://schemas.openxmlformats.org/officeDocument/2006/relationships/drawing" Target="../drawings/drawing27.xml"/><Relationship Id="rId1" Type="http://schemas.openxmlformats.org/officeDocument/2006/relationships/printerSettings" Target="../printerSettings/printerSettings28.bin"/><Relationship Id="rId6" Type="http://schemas.openxmlformats.org/officeDocument/2006/relationships/ctrlProp" Target="../ctrlProps/ctrlProp159.xml"/><Relationship Id="rId5" Type="http://schemas.openxmlformats.org/officeDocument/2006/relationships/ctrlProp" Target="../ctrlProps/ctrlProp158.xml"/><Relationship Id="rId10" Type="http://schemas.openxmlformats.org/officeDocument/2006/relationships/comments" Target="../comments28.xml"/><Relationship Id="rId4" Type="http://schemas.openxmlformats.org/officeDocument/2006/relationships/ctrlProp" Target="../ctrlProps/ctrlProp157.xml"/><Relationship Id="rId9" Type="http://schemas.openxmlformats.org/officeDocument/2006/relationships/ctrlProp" Target="../ctrlProps/ctrlProp162.xml"/></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167.xml"/><Relationship Id="rId3" Type="http://schemas.openxmlformats.org/officeDocument/2006/relationships/vmlDrawing" Target="../drawings/vmlDrawing29.vml"/><Relationship Id="rId7" Type="http://schemas.openxmlformats.org/officeDocument/2006/relationships/ctrlProp" Target="../ctrlProps/ctrlProp166.xml"/><Relationship Id="rId2" Type="http://schemas.openxmlformats.org/officeDocument/2006/relationships/drawing" Target="../drawings/drawing28.xml"/><Relationship Id="rId1" Type="http://schemas.openxmlformats.org/officeDocument/2006/relationships/printerSettings" Target="../printerSettings/printerSettings29.bin"/><Relationship Id="rId6" Type="http://schemas.openxmlformats.org/officeDocument/2006/relationships/ctrlProp" Target="../ctrlProps/ctrlProp165.xml"/><Relationship Id="rId5" Type="http://schemas.openxmlformats.org/officeDocument/2006/relationships/ctrlProp" Target="../ctrlProps/ctrlProp164.xml"/><Relationship Id="rId10" Type="http://schemas.openxmlformats.org/officeDocument/2006/relationships/comments" Target="../comments29.xml"/><Relationship Id="rId4" Type="http://schemas.openxmlformats.org/officeDocument/2006/relationships/ctrlProp" Target="../ctrlProps/ctrlProp163.xml"/><Relationship Id="rId9" Type="http://schemas.openxmlformats.org/officeDocument/2006/relationships/ctrlProp" Target="../ctrlProps/ctrlProp168.xml"/></Relationships>
</file>

<file path=xl/worksheets/_rels/sheet31.xml.rels><?xml version="1.0" encoding="UTF-8" standalone="yes"?>
<Relationships xmlns="http://schemas.openxmlformats.org/package/2006/relationships"><Relationship Id="rId8" Type="http://schemas.openxmlformats.org/officeDocument/2006/relationships/ctrlProp" Target="../ctrlProps/ctrlProp173.xml"/><Relationship Id="rId3" Type="http://schemas.openxmlformats.org/officeDocument/2006/relationships/vmlDrawing" Target="../drawings/vmlDrawing30.vml"/><Relationship Id="rId7" Type="http://schemas.openxmlformats.org/officeDocument/2006/relationships/ctrlProp" Target="../ctrlProps/ctrlProp172.xml"/><Relationship Id="rId2" Type="http://schemas.openxmlformats.org/officeDocument/2006/relationships/drawing" Target="../drawings/drawing29.xml"/><Relationship Id="rId1" Type="http://schemas.openxmlformats.org/officeDocument/2006/relationships/printerSettings" Target="../printerSettings/printerSettings30.bin"/><Relationship Id="rId6" Type="http://schemas.openxmlformats.org/officeDocument/2006/relationships/ctrlProp" Target="../ctrlProps/ctrlProp171.xml"/><Relationship Id="rId5" Type="http://schemas.openxmlformats.org/officeDocument/2006/relationships/ctrlProp" Target="../ctrlProps/ctrlProp170.xml"/><Relationship Id="rId10" Type="http://schemas.openxmlformats.org/officeDocument/2006/relationships/comments" Target="../comments30.xml"/><Relationship Id="rId4" Type="http://schemas.openxmlformats.org/officeDocument/2006/relationships/ctrlProp" Target="../ctrlProps/ctrlProp169.xml"/><Relationship Id="rId9" Type="http://schemas.openxmlformats.org/officeDocument/2006/relationships/ctrlProp" Target="../ctrlProps/ctrlProp174.xml"/></Relationships>
</file>

<file path=xl/worksheets/_rels/sheet32.xml.rels><?xml version="1.0" encoding="UTF-8" standalone="yes"?>
<Relationships xmlns="http://schemas.openxmlformats.org/package/2006/relationships"><Relationship Id="rId8" Type="http://schemas.openxmlformats.org/officeDocument/2006/relationships/ctrlProp" Target="../ctrlProps/ctrlProp179.xml"/><Relationship Id="rId3" Type="http://schemas.openxmlformats.org/officeDocument/2006/relationships/vmlDrawing" Target="../drawings/vmlDrawing31.vml"/><Relationship Id="rId7" Type="http://schemas.openxmlformats.org/officeDocument/2006/relationships/ctrlProp" Target="../ctrlProps/ctrlProp178.xml"/><Relationship Id="rId2" Type="http://schemas.openxmlformats.org/officeDocument/2006/relationships/drawing" Target="../drawings/drawing30.xml"/><Relationship Id="rId1" Type="http://schemas.openxmlformats.org/officeDocument/2006/relationships/printerSettings" Target="../printerSettings/printerSettings31.bin"/><Relationship Id="rId6" Type="http://schemas.openxmlformats.org/officeDocument/2006/relationships/ctrlProp" Target="../ctrlProps/ctrlProp177.xml"/><Relationship Id="rId5" Type="http://schemas.openxmlformats.org/officeDocument/2006/relationships/ctrlProp" Target="../ctrlProps/ctrlProp176.xml"/><Relationship Id="rId10" Type="http://schemas.openxmlformats.org/officeDocument/2006/relationships/comments" Target="../comments31.xml"/><Relationship Id="rId4" Type="http://schemas.openxmlformats.org/officeDocument/2006/relationships/ctrlProp" Target="../ctrlProps/ctrlProp175.xml"/><Relationship Id="rId9" Type="http://schemas.openxmlformats.org/officeDocument/2006/relationships/ctrlProp" Target="../ctrlProps/ctrlProp180.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185.xml"/><Relationship Id="rId3" Type="http://schemas.openxmlformats.org/officeDocument/2006/relationships/vmlDrawing" Target="../drawings/vmlDrawing32.vml"/><Relationship Id="rId7" Type="http://schemas.openxmlformats.org/officeDocument/2006/relationships/ctrlProp" Target="../ctrlProps/ctrlProp184.xml"/><Relationship Id="rId2" Type="http://schemas.openxmlformats.org/officeDocument/2006/relationships/drawing" Target="../drawings/drawing31.xml"/><Relationship Id="rId1" Type="http://schemas.openxmlformats.org/officeDocument/2006/relationships/printerSettings" Target="../printerSettings/printerSettings32.bin"/><Relationship Id="rId6" Type="http://schemas.openxmlformats.org/officeDocument/2006/relationships/ctrlProp" Target="../ctrlProps/ctrlProp183.xml"/><Relationship Id="rId5" Type="http://schemas.openxmlformats.org/officeDocument/2006/relationships/ctrlProp" Target="../ctrlProps/ctrlProp182.xml"/><Relationship Id="rId10" Type="http://schemas.openxmlformats.org/officeDocument/2006/relationships/comments" Target="../comments32.xml"/><Relationship Id="rId4" Type="http://schemas.openxmlformats.org/officeDocument/2006/relationships/ctrlProp" Target="../ctrlProps/ctrlProp181.xml"/><Relationship Id="rId9" Type="http://schemas.openxmlformats.org/officeDocument/2006/relationships/ctrlProp" Target="../ctrlProps/ctrlProp186.xml"/></Relationships>
</file>

<file path=xl/worksheets/_rels/sheet34.xml.rels><?xml version="1.0" encoding="UTF-8" standalone="yes"?>
<Relationships xmlns="http://schemas.openxmlformats.org/package/2006/relationships"><Relationship Id="rId8" Type="http://schemas.openxmlformats.org/officeDocument/2006/relationships/ctrlProp" Target="../ctrlProps/ctrlProp191.xml"/><Relationship Id="rId3" Type="http://schemas.openxmlformats.org/officeDocument/2006/relationships/vmlDrawing" Target="../drawings/vmlDrawing33.vml"/><Relationship Id="rId7" Type="http://schemas.openxmlformats.org/officeDocument/2006/relationships/ctrlProp" Target="../ctrlProps/ctrlProp190.xml"/><Relationship Id="rId2" Type="http://schemas.openxmlformats.org/officeDocument/2006/relationships/drawing" Target="../drawings/drawing32.xml"/><Relationship Id="rId1" Type="http://schemas.openxmlformats.org/officeDocument/2006/relationships/printerSettings" Target="../printerSettings/printerSettings33.bin"/><Relationship Id="rId6" Type="http://schemas.openxmlformats.org/officeDocument/2006/relationships/ctrlProp" Target="../ctrlProps/ctrlProp189.xml"/><Relationship Id="rId5" Type="http://schemas.openxmlformats.org/officeDocument/2006/relationships/ctrlProp" Target="../ctrlProps/ctrlProp188.xml"/><Relationship Id="rId10" Type="http://schemas.openxmlformats.org/officeDocument/2006/relationships/comments" Target="../comments33.xml"/><Relationship Id="rId4" Type="http://schemas.openxmlformats.org/officeDocument/2006/relationships/ctrlProp" Target="../ctrlProps/ctrlProp187.xml"/><Relationship Id="rId9" Type="http://schemas.openxmlformats.org/officeDocument/2006/relationships/ctrlProp" Target="../ctrlProps/ctrlProp192.xml"/></Relationships>
</file>

<file path=xl/worksheets/_rels/sheet35.xml.rels><?xml version="1.0" encoding="UTF-8" standalone="yes"?>
<Relationships xmlns="http://schemas.openxmlformats.org/package/2006/relationships"><Relationship Id="rId8" Type="http://schemas.openxmlformats.org/officeDocument/2006/relationships/ctrlProp" Target="../ctrlProps/ctrlProp197.xml"/><Relationship Id="rId3" Type="http://schemas.openxmlformats.org/officeDocument/2006/relationships/vmlDrawing" Target="../drawings/vmlDrawing34.vml"/><Relationship Id="rId7" Type="http://schemas.openxmlformats.org/officeDocument/2006/relationships/ctrlProp" Target="../ctrlProps/ctrlProp196.xml"/><Relationship Id="rId2" Type="http://schemas.openxmlformats.org/officeDocument/2006/relationships/drawing" Target="../drawings/drawing33.xml"/><Relationship Id="rId1" Type="http://schemas.openxmlformats.org/officeDocument/2006/relationships/printerSettings" Target="../printerSettings/printerSettings34.bin"/><Relationship Id="rId6" Type="http://schemas.openxmlformats.org/officeDocument/2006/relationships/ctrlProp" Target="../ctrlProps/ctrlProp195.xml"/><Relationship Id="rId5" Type="http://schemas.openxmlformats.org/officeDocument/2006/relationships/ctrlProp" Target="../ctrlProps/ctrlProp194.xml"/><Relationship Id="rId10" Type="http://schemas.openxmlformats.org/officeDocument/2006/relationships/comments" Target="../comments34.xml"/><Relationship Id="rId4" Type="http://schemas.openxmlformats.org/officeDocument/2006/relationships/ctrlProp" Target="../ctrlProps/ctrlProp193.xml"/><Relationship Id="rId9" Type="http://schemas.openxmlformats.org/officeDocument/2006/relationships/ctrlProp" Target="../ctrlProps/ctrlProp198.xml"/></Relationships>
</file>

<file path=xl/worksheets/_rels/sheet36.xml.rels><?xml version="1.0" encoding="UTF-8" standalone="yes"?>
<Relationships xmlns="http://schemas.openxmlformats.org/package/2006/relationships"><Relationship Id="rId8" Type="http://schemas.openxmlformats.org/officeDocument/2006/relationships/ctrlProp" Target="../ctrlProps/ctrlProp203.xml"/><Relationship Id="rId3" Type="http://schemas.openxmlformats.org/officeDocument/2006/relationships/vmlDrawing" Target="../drawings/vmlDrawing35.vml"/><Relationship Id="rId7" Type="http://schemas.openxmlformats.org/officeDocument/2006/relationships/ctrlProp" Target="../ctrlProps/ctrlProp202.xml"/><Relationship Id="rId2" Type="http://schemas.openxmlformats.org/officeDocument/2006/relationships/drawing" Target="../drawings/drawing34.xml"/><Relationship Id="rId1" Type="http://schemas.openxmlformats.org/officeDocument/2006/relationships/printerSettings" Target="../printerSettings/printerSettings35.bin"/><Relationship Id="rId6" Type="http://schemas.openxmlformats.org/officeDocument/2006/relationships/ctrlProp" Target="../ctrlProps/ctrlProp201.xml"/><Relationship Id="rId5" Type="http://schemas.openxmlformats.org/officeDocument/2006/relationships/ctrlProp" Target="../ctrlProps/ctrlProp200.xml"/><Relationship Id="rId10" Type="http://schemas.openxmlformats.org/officeDocument/2006/relationships/comments" Target="../comments35.xml"/><Relationship Id="rId4" Type="http://schemas.openxmlformats.org/officeDocument/2006/relationships/ctrlProp" Target="../ctrlProps/ctrlProp199.xml"/><Relationship Id="rId9" Type="http://schemas.openxmlformats.org/officeDocument/2006/relationships/ctrlProp" Target="../ctrlProps/ctrlProp204.xml"/></Relationships>
</file>

<file path=xl/worksheets/_rels/sheet37.xml.rels><?xml version="1.0" encoding="UTF-8" standalone="yes"?>
<Relationships xmlns="http://schemas.openxmlformats.org/package/2006/relationships"><Relationship Id="rId8" Type="http://schemas.openxmlformats.org/officeDocument/2006/relationships/ctrlProp" Target="../ctrlProps/ctrlProp209.xml"/><Relationship Id="rId3" Type="http://schemas.openxmlformats.org/officeDocument/2006/relationships/vmlDrawing" Target="../drawings/vmlDrawing36.vml"/><Relationship Id="rId7" Type="http://schemas.openxmlformats.org/officeDocument/2006/relationships/ctrlProp" Target="../ctrlProps/ctrlProp208.xml"/><Relationship Id="rId2" Type="http://schemas.openxmlformats.org/officeDocument/2006/relationships/drawing" Target="../drawings/drawing35.xml"/><Relationship Id="rId1" Type="http://schemas.openxmlformats.org/officeDocument/2006/relationships/printerSettings" Target="../printerSettings/printerSettings36.bin"/><Relationship Id="rId6" Type="http://schemas.openxmlformats.org/officeDocument/2006/relationships/ctrlProp" Target="../ctrlProps/ctrlProp207.xml"/><Relationship Id="rId5" Type="http://schemas.openxmlformats.org/officeDocument/2006/relationships/ctrlProp" Target="../ctrlProps/ctrlProp206.xml"/><Relationship Id="rId10" Type="http://schemas.openxmlformats.org/officeDocument/2006/relationships/comments" Target="../comments36.xml"/><Relationship Id="rId4" Type="http://schemas.openxmlformats.org/officeDocument/2006/relationships/ctrlProp" Target="../ctrlProps/ctrlProp205.xml"/><Relationship Id="rId9" Type="http://schemas.openxmlformats.org/officeDocument/2006/relationships/ctrlProp" Target="../ctrlProps/ctrlProp210.xml"/></Relationships>
</file>

<file path=xl/worksheets/_rels/sheet38.xml.rels><?xml version="1.0" encoding="UTF-8" standalone="yes"?>
<Relationships xmlns="http://schemas.openxmlformats.org/package/2006/relationships"><Relationship Id="rId8" Type="http://schemas.openxmlformats.org/officeDocument/2006/relationships/ctrlProp" Target="../ctrlProps/ctrlProp215.xml"/><Relationship Id="rId3" Type="http://schemas.openxmlformats.org/officeDocument/2006/relationships/vmlDrawing" Target="../drawings/vmlDrawing37.vml"/><Relationship Id="rId7" Type="http://schemas.openxmlformats.org/officeDocument/2006/relationships/ctrlProp" Target="../ctrlProps/ctrlProp214.xml"/><Relationship Id="rId2" Type="http://schemas.openxmlformats.org/officeDocument/2006/relationships/drawing" Target="../drawings/drawing36.xml"/><Relationship Id="rId1" Type="http://schemas.openxmlformats.org/officeDocument/2006/relationships/printerSettings" Target="../printerSettings/printerSettings37.bin"/><Relationship Id="rId6" Type="http://schemas.openxmlformats.org/officeDocument/2006/relationships/ctrlProp" Target="../ctrlProps/ctrlProp213.xml"/><Relationship Id="rId5" Type="http://schemas.openxmlformats.org/officeDocument/2006/relationships/ctrlProp" Target="../ctrlProps/ctrlProp212.xml"/><Relationship Id="rId10" Type="http://schemas.openxmlformats.org/officeDocument/2006/relationships/comments" Target="../comments37.xml"/><Relationship Id="rId4" Type="http://schemas.openxmlformats.org/officeDocument/2006/relationships/ctrlProp" Target="../ctrlProps/ctrlProp211.xml"/><Relationship Id="rId9" Type="http://schemas.openxmlformats.org/officeDocument/2006/relationships/ctrlProp" Target="../ctrlProps/ctrlProp216.xml"/></Relationships>
</file>

<file path=xl/worksheets/_rels/sheet39.xml.rels><?xml version="1.0" encoding="UTF-8" standalone="yes"?>
<Relationships xmlns="http://schemas.openxmlformats.org/package/2006/relationships"><Relationship Id="rId8" Type="http://schemas.openxmlformats.org/officeDocument/2006/relationships/ctrlProp" Target="../ctrlProps/ctrlProp221.xml"/><Relationship Id="rId3" Type="http://schemas.openxmlformats.org/officeDocument/2006/relationships/vmlDrawing" Target="../drawings/vmlDrawing38.vml"/><Relationship Id="rId7" Type="http://schemas.openxmlformats.org/officeDocument/2006/relationships/ctrlProp" Target="../ctrlProps/ctrlProp220.xml"/><Relationship Id="rId2" Type="http://schemas.openxmlformats.org/officeDocument/2006/relationships/drawing" Target="../drawings/drawing37.xml"/><Relationship Id="rId1" Type="http://schemas.openxmlformats.org/officeDocument/2006/relationships/printerSettings" Target="../printerSettings/printerSettings38.bin"/><Relationship Id="rId6" Type="http://schemas.openxmlformats.org/officeDocument/2006/relationships/ctrlProp" Target="../ctrlProps/ctrlProp219.xml"/><Relationship Id="rId5" Type="http://schemas.openxmlformats.org/officeDocument/2006/relationships/ctrlProp" Target="../ctrlProps/ctrlProp218.xml"/><Relationship Id="rId10" Type="http://schemas.openxmlformats.org/officeDocument/2006/relationships/comments" Target="../comments38.xml"/><Relationship Id="rId4" Type="http://schemas.openxmlformats.org/officeDocument/2006/relationships/ctrlProp" Target="../ctrlProps/ctrlProp217.xml"/><Relationship Id="rId9" Type="http://schemas.openxmlformats.org/officeDocument/2006/relationships/ctrlProp" Target="../ctrlProps/ctrlProp222.xml"/></Relationships>
</file>

<file path=xl/worksheets/_rels/sheet40.xml.rels><?xml version="1.0" encoding="UTF-8" standalone="yes"?>
<Relationships xmlns="http://schemas.openxmlformats.org/package/2006/relationships"><Relationship Id="rId8" Type="http://schemas.openxmlformats.org/officeDocument/2006/relationships/ctrlProp" Target="../ctrlProps/ctrlProp227.xml"/><Relationship Id="rId3" Type="http://schemas.openxmlformats.org/officeDocument/2006/relationships/vmlDrawing" Target="../drawings/vmlDrawing39.vml"/><Relationship Id="rId7" Type="http://schemas.openxmlformats.org/officeDocument/2006/relationships/ctrlProp" Target="../ctrlProps/ctrlProp226.xml"/><Relationship Id="rId2" Type="http://schemas.openxmlformats.org/officeDocument/2006/relationships/drawing" Target="../drawings/drawing38.xml"/><Relationship Id="rId1" Type="http://schemas.openxmlformats.org/officeDocument/2006/relationships/printerSettings" Target="../printerSettings/printerSettings39.bin"/><Relationship Id="rId6" Type="http://schemas.openxmlformats.org/officeDocument/2006/relationships/ctrlProp" Target="../ctrlProps/ctrlProp225.xml"/><Relationship Id="rId5" Type="http://schemas.openxmlformats.org/officeDocument/2006/relationships/ctrlProp" Target="../ctrlProps/ctrlProp224.xml"/><Relationship Id="rId10" Type="http://schemas.openxmlformats.org/officeDocument/2006/relationships/comments" Target="../comments39.xml"/><Relationship Id="rId4" Type="http://schemas.openxmlformats.org/officeDocument/2006/relationships/ctrlProp" Target="../ctrlProps/ctrlProp223.xml"/><Relationship Id="rId9" Type="http://schemas.openxmlformats.org/officeDocument/2006/relationships/ctrlProp" Target="../ctrlProps/ctrlProp228.xml"/></Relationships>
</file>

<file path=xl/worksheets/_rels/sheet41.xml.rels><?xml version="1.0" encoding="UTF-8" standalone="yes"?>
<Relationships xmlns="http://schemas.openxmlformats.org/package/2006/relationships"><Relationship Id="rId8" Type="http://schemas.openxmlformats.org/officeDocument/2006/relationships/ctrlProp" Target="../ctrlProps/ctrlProp233.xml"/><Relationship Id="rId3" Type="http://schemas.openxmlformats.org/officeDocument/2006/relationships/vmlDrawing" Target="../drawings/vmlDrawing40.vml"/><Relationship Id="rId7" Type="http://schemas.openxmlformats.org/officeDocument/2006/relationships/ctrlProp" Target="../ctrlProps/ctrlProp232.xml"/><Relationship Id="rId2" Type="http://schemas.openxmlformats.org/officeDocument/2006/relationships/drawing" Target="../drawings/drawing39.xml"/><Relationship Id="rId1" Type="http://schemas.openxmlformats.org/officeDocument/2006/relationships/printerSettings" Target="../printerSettings/printerSettings40.bin"/><Relationship Id="rId6" Type="http://schemas.openxmlformats.org/officeDocument/2006/relationships/ctrlProp" Target="../ctrlProps/ctrlProp231.xml"/><Relationship Id="rId5" Type="http://schemas.openxmlformats.org/officeDocument/2006/relationships/ctrlProp" Target="../ctrlProps/ctrlProp230.xml"/><Relationship Id="rId10" Type="http://schemas.openxmlformats.org/officeDocument/2006/relationships/comments" Target="../comments40.xml"/><Relationship Id="rId4" Type="http://schemas.openxmlformats.org/officeDocument/2006/relationships/ctrlProp" Target="../ctrlProps/ctrlProp229.xml"/><Relationship Id="rId9" Type="http://schemas.openxmlformats.org/officeDocument/2006/relationships/ctrlProp" Target="../ctrlProps/ctrlProp234.xml"/></Relationships>
</file>

<file path=xl/worksheets/_rels/sheet42.xml.rels><?xml version="1.0" encoding="UTF-8" standalone="yes"?>
<Relationships xmlns="http://schemas.openxmlformats.org/package/2006/relationships"><Relationship Id="rId8" Type="http://schemas.openxmlformats.org/officeDocument/2006/relationships/ctrlProp" Target="../ctrlProps/ctrlProp239.xml"/><Relationship Id="rId3" Type="http://schemas.openxmlformats.org/officeDocument/2006/relationships/vmlDrawing" Target="../drawings/vmlDrawing41.vml"/><Relationship Id="rId7" Type="http://schemas.openxmlformats.org/officeDocument/2006/relationships/ctrlProp" Target="../ctrlProps/ctrlProp238.xml"/><Relationship Id="rId2" Type="http://schemas.openxmlformats.org/officeDocument/2006/relationships/drawing" Target="../drawings/drawing40.xml"/><Relationship Id="rId1" Type="http://schemas.openxmlformats.org/officeDocument/2006/relationships/printerSettings" Target="../printerSettings/printerSettings41.bin"/><Relationship Id="rId6" Type="http://schemas.openxmlformats.org/officeDocument/2006/relationships/ctrlProp" Target="../ctrlProps/ctrlProp237.xml"/><Relationship Id="rId5" Type="http://schemas.openxmlformats.org/officeDocument/2006/relationships/ctrlProp" Target="../ctrlProps/ctrlProp236.xml"/><Relationship Id="rId10" Type="http://schemas.openxmlformats.org/officeDocument/2006/relationships/comments" Target="../comments41.xml"/><Relationship Id="rId4" Type="http://schemas.openxmlformats.org/officeDocument/2006/relationships/ctrlProp" Target="../ctrlProps/ctrlProp235.xml"/><Relationship Id="rId9" Type="http://schemas.openxmlformats.org/officeDocument/2006/relationships/ctrlProp" Target="../ctrlProps/ctrlProp240.xml"/></Relationships>
</file>

<file path=xl/worksheets/_rels/sheet43.xml.rels><?xml version="1.0" encoding="UTF-8" standalone="yes"?>
<Relationships xmlns="http://schemas.openxmlformats.org/package/2006/relationships"><Relationship Id="rId8" Type="http://schemas.openxmlformats.org/officeDocument/2006/relationships/ctrlProp" Target="../ctrlProps/ctrlProp245.xml"/><Relationship Id="rId3" Type="http://schemas.openxmlformats.org/officeDocument/2006/relationships/vmlDrawing" Target="../drawings/vmlDrawing42.vml"/><Relationship Id="rId7" Type="http://schemas.openxmlformats.org/officeDocument/2006/relationships/ctrlProp" Target="../ctrlProps/ctrlProp244.xml"/><Relationship Id="rId2" Type="http://schemas.openxmlformats.org/officeDocument/2006/relationships/drawing" Target="../drawings/drawing41.xml"/><Relationship Id="rId1" Type="http://schemas.openxmlformats.org/officeDocument/2006/relationships/printerSettings" Target="../printerSettings/printerSettings42.bin"/><Relationship Id="rId6" Type="http://schemas.openxmlformats.org/officeDocument/2006/relationships/ctrlProp" Target="../ctrlProps/ctrlProp243.xml"/><Relationship Id="rId5" Type="http://schemas.openxmlformats.org/officeDocument/2006/relationships/ctrlProp" Target="../ctrlProps/ctrlProp242.xml"/><Relationship Id="rId10" Type="http://schemas.openxmlformats.org/officeDocument/2006/relationships/comments" Target="../comments42.xml"/><Relationship Id="rId4" Type="http://schemas.openxmlformats.org/officeDocument/2006/relationships/ctrlProp" Target="../ctrlProps/ctrlProp241.xml"/><Relationship Id="rId9" Type="http://schemas.openxmlformats.org/officeDocument/2006/relationships/ctrlProp" Target="../ctrlProps/ctrlProp246.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251.xml"/><Relationship Id="rId3" Type="http://schemas.openxmlformats.org/officeDocument/2006/relationships/vmlDrawing" Target="../drawings/vmlDrawing43.vml"/><Relationship Id="rId7" Type="http://schemas.openxmlformats.org/officeDocument/2006/relationships/ctrlProp" Target="../ctrlProps/ctrlProp250.xml"/><Relationship Id="rId2" Type="http://schemas.openxmlformats.org/officeDocument/2006/relationships/drawing" Target="../drawings/drawing42.xml"/><Relationship Id="rId1" Type="http://schemas.openxmlformats.org/officeDocument/2006/relationships/printerSettings" Target="../printerSettings/printerSettings43.bin"/><Relationship Id="rId6" Type="http://schemas.openxmlformats.org/officeDocument/2006/relationships/ctrlProp" Target="../ctrlProps/ctrlProp249.xml"/><Relationship Id="rId5" Type="http://schemas.openxmlformats.org/officeDocument/2006/relationships/ctrlProp" Target="../ctrlProps/ctrlProp248.xml"/><Relationship Id="rId10" Type="http://schemas.openxmlformats.org/officeDocument/2006/relationships/comments" Target="../comments43.xml"/><Relationship Id="rId4" Type="http://schemas.openxmlformats.org/officeDocument/2006/relationships/ctrlProp" Target="../ctrlProps/ctrlProp247.xml"/><Relationship Id="rId9" Type="http://schemas.openxmlformats.org/officeDocument/2006/relationships/ctrlProp" Target="../ctrlProps/ctrlProp252.xml"/></Relationships>
</file>

<file path=xl/worksheets/_rels/sheet45.xml.rels><?xml version="1.0" encoding="UTF-8" standalone="yes"?>
<Relationships xmlns="http://schemas.openxmlformats.org/package/2006/relationships"><Relationship Id="rId8" Type="http://schemas.openxmlformats.org/officeDocument/2006/relationships/ctrlProp" Target="../ctrlProps/ctrlProp257.xml"/><Relationship Id="rId3" Type="http://schemas.openxmlformats.org/officeDocument/2006/relationships/vmlDrawing" Target="../drawings/vmlDrawing44.vml"/><Relationship Id="rId7" Type="http://schemas.openxmlformats.org/officeDocument/2006/relationships/ctrlProp" Target="../ctrlProps/ctrlProp256.xml"/><Relationship Id="rId2" Type="http://schemas.openxmlformats.org/officeDocument/2006/relationships/drawing" Target="../drawings/drawing43.xml"/><Relationship Id="rId1" Type="http://schemas.openxmlformats.org/officeDocument/2006/relationships/printerSettings" Target="../printerSettings/printerSettings44.bin"/><Relationship Id="rId6" Type="http://schemas.openxmlformats.org/officeDocument/2006/relationships/ctrlProp" Target="../ctrlProps/ctrlProp255.xml"/><Relationship Id="rId5" Type="http://schemas.openxmlformats.org/officeDocument/2006/relationships/ctrlProp" Target="../ctrlProps/ctrlProp254.xml"/><Relationship Id="rId10" Type="http://schemas.openxmlformats.org/officeDocument/2006/relationships/comments" Target="../comments44.xml"/><Relationship Id="rId4" Type="http://schemas.openxmlformats.org/officeDocument/2006/relationships/ctrlProp" Target="../ctrlProps/ctrlProp253.xml"/><Relationship Id="rId9" Type="http://schemas.openxmlformats.org/officeDocument/2006/relationships/ctrlProp" Target="../ctrlProps/ctrlProp258.xml"/></Relationships>
</file>

<file path=xl/worksheets/_rels/sheet46.xml.rels><?xml version="1.0" encoding="UTF-8" standalone="yes"?>
<Relationships xmlns="http://schemas.openxmlformats.org/package/2006/relationships"><Relationship Id="rId8" Type="http://schemas.openxmlformats.org/officeDocument/2006/relationships/ctrlProp" Target="../ctrlProps/ctrlProp263.xml"/><Relationship Id="rId3" Type="http://schemas.openxmlformats.org/officeDocument/2006/relationships/vmlDrawing" Target="../drawings/vmlDrawing45.vml"/><Relationship Id="rId7" Type="http://schemas.openxmlformats.org/officeDocument/2006/relationships/ctrlProp" Target="../ctrlProps/ctrlProp262.xml"/><Relationship Id="rId2" Type="http://schemas.openxmlformats.org/officeDocument/2006/relationships/drawing" Target="../drawings/drawing44.xml"/><Relationship Id="rId1" Type="http://schemas.openxmlformats.org/officeDocument/2006/relationships/printerSettings" Target="../printerSettings/printerSettings45.bin"/><Relationship Id="rId6" Type="http://schemas.openxmlformats.org/officeDocument/2006/relationships/ctrlProp" Target="../ctrlProps/ctrlProp261.xml"/><Relationship Id="rId5" Type="http://schemas.openxmlformats.org/officeDocument/2006/relationships/ctrlProp" Target="../ctrlProps/ctrlProp260.xml"/><Relationship Id="rId10" Type="http://schemas.openxmlformats.org/officeDocument/2006/relationships/comments" Target="../comments45.xml"/><Relationship Id="rId4" Type="http://schemas.openxmlformats.org/officeDocument/2006/relationships/ctrlProp" Target="../ctrlProps/ctrlProp259.xml"/><Relationship Id="rId9" Type="http://schemas.openxmlformats.org/officeDocument/2006/relationships/ctrlProp" Target="../ctrlProps/ctrlProp264.xml"/></Relationships>
</file>

<file path=xl/worksheets/_rels/sheet47.xml.rels><?xml version="1.0" encoding="UTF-8" standalone="yes"?>
<Relationships xmlns="http://schemas.openxmlformats.org/package/2006/relationships"><Relationship Id="rId8" Type="http://schemas.openxmlformats.org/officeDocument/2006/relationships/ctrlProp" Target="../ctrlProps/ctrlProp269.xml"/><Relationship Id="rId3" Type="http://schemas.openxmlformats.org/officeDocument/2006/relationships/vmlDrawing" Target="../drawings/vmlDrawing46.vml"/><Relationship Id="rId7" Type="http://schemas.openxmlformats.org/officeDocument/2006/relationships/ctrlProp" Target="../ctrlProps/ctrlProp268.xml"/><Relationship Id="rId2" Type="http://schemas.openxmlformats.org/officeDocument/2006/relationships/drawing" Target="../drawings/drawing45.xml"/><Relationship Id="rId1" Type="http://schemas.openxmlformats.org/officeDocument/2006/relationships/printerSettings" Target="../printerSettings/printerSettings46.bin"/><Relationship Id="rId6" Type="http://schemas.openxmlformats.org/officeDocument/2006/relationships/ctrlProp" Target="../ctrlProps/ctrlProp267.xml"/><Relationship Id="rId5" Type="http://schemas.openxmlformats.org/officeDocument/2006/relationships/ctrlProp" Target="../ctrlProps/ctrlProp266.xml"/><Relationship Id="rId10" Type="http://schemas.openxmlformats.org/officeDocument/2006/relationships/comments" Target="../comments46.xml"/><Relationship Id="rId4" Type="http://schemas.openxmlformats.org/officeDocument/2006/relationships/ctrlProp" Target="../ctrlProps/ctrlProp265.xml"/><Relationship Id="rId9" Type="http://schemas.openxmlformats.org/officeDocument/2006/relationships/ctrlProp" Target="../ctrlProps/ctrlProp270.xml"/></Relationships>
</file>

<file path=xl/worksheets/_rels/sheet48.xml.rels><?xml version="1.0" encoding="UTF-8" standalone="yes"?>
<Relationships xmlns="http://schemas.openxmlformats.org/package/2006/relationships"><Relationship Id="rId8" Type="http://schemas.openxmlformats.org/officeDocument/2006/relationships/ctrlProp" Target="../ctrlProps/ctrlProp276.xml"/><Relationship Id="rId3" Type="http://schemas.openxmlformats.org/officeDocument/2006/relationships/ctrlProp" Target="../ctrlProps/ctrlProp271.xml"/><Relationship Id="rId7" Type="http://schemas.openxmlformats.org/officeDocument/2006/relationships/ctrlProp" Target="../ctrlProps/ctrlProp275.xml"/><Relationship Id="rId2" Type="http://schemas.openxmlformats.org/officeDocument/2006/relationships/vmlDrawing" Target="../drawings/vmlDrawing47.vml"/><Relationship Id="rId1" Type="http://schemas.openxmlformats.org/officeDocument/2006/relationships/drawing" Target="../drawings/drawing46.xml"/><Relationship Id="rId6" Type="http://schemas.openxmlformats.org/officeDocument/2006/relationships/ctrlProp" Target="../ctrlProps/ctrlProp274.xml"/><Relationship Id="rId5" Type="http://schemas.openxmlformats.org/officeDocument/2006/relationships/ctrlProp" Target="../ctrlProps/ctrlProp273.xml"/><Relationship Id="rId4" Type="http://schemas.openxmlformats.org/officeDocument/2006/relationships/ctrlProp" Target="../ctrlProps/ctrlProp272.xml"/><Relationship Id="rId9" Type="http://schemas.openxmlformats.org/officeDocument/2006/relationships/comments" Target="../comments47.xml"/></Relationships>
</file>

<file path=xl/worksheets/_rels/sheet49.xml.rels><?xml version="1.0" encoding="UTF-8" standalone="yes"?>
<Relationships xmlns="http://schemas.openxmlformats.org/package/2006/relationships"><Relationship Id="rId8" Type="http://schemas.openxmlformats.org/officeDocument/2006/relationships/ctrlProp" Target="../ctrlProps/ctrlProp281.xml"/><Relationship Id="rId3" Type="http://schemas.openxmlformats.org/officeDocument/2006/relationships/vmlDrawing" Target="../drawings/vmlDrawing48.vml"/><Relationship Id="rId7" Type="http://schemas.openxmlformats.org/officeDocument/2006/relationships/ctrlProp" Target="../ctrlProps/ctrlProp280.xml"/><Relationship Id="rId2" Type="http://schemas.openxmlformats.org/officeDocument/2006/relationships/drawing" Target="../drawings/drawing47.xml"/><Relationship Id="rId1" Type="http://schemas.openxmlformats.org/officeDocument/2006/relationships/printerSettings" Target="../printerSettings/printerSettings47.bin"/><Relationship Id="rId6" Type="http://schemas.openxmlformats.org/officeDocument/2006/relationships/ctrlProp" Target="../ctrlProps/ctrlProp279.xml"/><Relationship Id="rId5" Type="http://schemas.openxmlformats.org/officeDocument/2006/relationships/ctrlProp" Target="../ctrlProps/ctrlProp278.xml"/><Relationship Id="rId10" Type="http://schemas.openxmlformats.org/officeDocument/2006/relationships/comments" Target="../comments48.xml"/><Relationship Id="rId4" Type="http://schemas.openxmlformats.org/officeDocument/2006/relationships/ctrlProp" Target="../ctrlProps/ctrlProp277.xml"/><Relationship Id="rId9" Type="http://schemas.openxmlformats.org/officeDocument/2006/relationships/ctrlProp" Target="../ctrlProps/ctrlProp282.xml"/></Relationships>
</file>

<file path=xl/worksheets/_rels/sheet50.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49.vml"/><Relationship Id="rId1" Type="http://schemas.openxmlformats.org/officeDocument/2006/relationships/drawing" Target="../drawings/drawing48.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51.xml.rels><?xml version="1.0" encoding="UTF-8" standalone="yes"?>
<Relationships xmlns="http://schemas.openxmlformats.org/package/2006/relationships"><Relationship Id="rId8" Type="http://schemas.openxmlformats.org/officeDocument/2006/relationships/ctrlProp" Target="../ctrlProps/ctrlProp287.xml"/><Relationship Id="rId3" Type="http://schemas.openxmlformats.org/officeDocument/2006/relationships/vmlDrawing" Target="../drawings/vmlDrawing50.vml"/><Relationship Id="rId7" Type="http://schemas.openxmlformats.org/officeDocument/2006/relationships/ctrlProp" Target="../ctrlProps/ctrlProp286.xml"/><Relationship Id="rId2" Type="http://schemas.openxmlformats.org/officeDocument/2006/relationships/drawing" Target="../drawings/drawing49.xml"/><Relationship Id="rId1" Type="http://schemas.openxmlformats.org/officeDocument/2006/relationships/printerSettings" Target="../printerSettings/printerSettings48.bin"/><Relationship Id="rId6" Type="http://schemas.openxmlformats.org/officeDocument/2006/relationships/ctrlProp" Target="../ctrlProps/ctrlProp285.xml"/><Relationship Id="rId5" Type="http://schemas.openxmlformats.org/officeDocument/2006/relationships/ctrlProp" Target="../ctrlProps/ctrlProp284.xml"/><Relationship Id="rId10" Type="http://schemas.openxmlformats.org/officeDocument/2006/relationships/comments" Target="../comments49.xml"/><Relationship Id="rId4" Type="http://schemas.openxmlformats.org/officeDocument/2006/relationships/ctrlProp" Target="../ctrlProps/ctrlProp283.xml"/><Relationship Id="rId9" Type="http://schemas.openxmlformats.org/officeDocument/2006/relationships/ctrlProp" Target="../ctrlProps/ctrlProp288.xml"/></Relationships>
</file>

<file path=xl/worksheets/_rels/sheet52.xml.rels><?xml version="1.0" encoding="UTF-8" standalone="yes"?>
<Relationships xmlns="http://schemas.openxmlformats.org/package/2006/relationships"><Relationship Id="rId3" Type="http://schemas.openxmlformats.org/officeDocument/2006/relationships/comments" Target="../comments50.xml"/><Relationship Id="rId2" Type="http://schemas.openxmlformats.org/officeDocument/2006/relationships/vmlDrawing" Target="../drawings/vmlDrawing51.vml"/><Relationship Id="rId1" Type="http://schemas.openxmlformats.org/officeDocument/2006/relationships/printerSettings" Target="../printerSettings/printerSettings49.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A1:M55"/>
  <sheetViews>
    <sheetView showGridLines="0" zoomScaleNormal="100" workbookViewId="0">
      <pane ySplit="9" topLeftCell="A34" activePane="bottomLeft" state="frozen"/>
      <selection activeCell="A14" sqref="A14"/>
      <selection pane="bottomLeft" activeCell="C43" sqref="C43"/>
    </sheetView>
  </sheetViews>
  <sheetFormatPr defaultColWidth="9" defaultRowHeight="12"/>
  <cols>
    <col min="1" max="1" width="5" style="4" customWidth="1"/>
    <col min="2" max="3" width="28.75" style="4" customWidth="1"/>
    <col min="4" max="4" width="13.75" style="4" customWidth="1"/>
    <col min="5" max="6" width="10" style="4" customWidth="1"/>
    <col min="7" max="7" width="10" style="16" customWidth="1"/>
    <col min="8" max="8" width="0.125" style="58" customWidth="1"/>
    <col min="9" max="9" width="35" style="4" customWidth="1"/>
    <col min="10" max="10" width="8.625" style="4" customWidth="1"/>
    <col min="11" max="11" width="10.125" style="4" customWidth="1"/>
    <col min="12" max="12" width="8.625" style="4" customWidth="1"/>
    <col min="13" max="13" width="43.375" style="4" customWidth="1"/>
    <col min="14" max="16384" width="9" style="4"/>
  </cols>
  <sheetData>
    <row r="1" spans="1:13" ht="17.25" customHeight="1" thickBot="1">
      <c r="A1" s="1"/>
      <c r="B1" s="1"/>
      <c r="C1" s="1"/>
      <c r="D1" s="2"/>
      <c r="E1" s="33" t="s">
        <v>0</v>
      </c>
      <c r="F1" s="155" t="s">
        <v>1</v>
      </c>
      <c r="G1" s="49" t="s">
        <v>2</v>
      </c>
      <c r="H1" s="154"/>
    </row>
    <row r="2" spans="1:13" ht="14.45" customHeight="1">
      <c r="A2" s="186" t="s">
        <v>126</v>
      </c>
      <c r="B2" s="186"/>
      <c r="C2" s="186"/>
      <c r="D2" s="187"/>
      <c r="E2" s="8"/>
      <c r="F2" s="156"/>
      <c r="G2" s="170"/>
      <c r="H2" s="52"/>
    </row>
    <row r="3" spans="1:13" ht="14.25" customHeight="1">
      <c r="A3" s="35"/>
      <c r="B3" s="5"/>
      <c r="C3" s="5"/>
      <c r="D3" s="9"/>
      <c r="E3" s="176" t="s">
        <v>1032</v>
      </c>
      <c r="F3" s="157" t="s">
        <v>1032</v>
      </c>
      <c r="G3" s="157" t="s">
        <v>1032</v>
      </c>
      <c r="H3" s="52"/>
    </row>
    <row r="4" spans="1:13" ht="14.45" customHeight="1">
      <c r="A4" s="188" t="s">
        <v>3</v>
      </c>
      <c r="B4" s="188"/>
      <c r="C4" s="188"/>
      <c r="D4" s="189"/>
      <c r="E4" s="177" t="s">
        <v>1035</v>
      </c>
      <c r="F4" s="158" t="s">
        <v>1034</v>
      </c>
      <c r="G4" s="158" t="s">
        <v>1033</v>
      </c>
      <c r="H4" s="52"/>
    </row>
    <row r="5" spans="1:13" ht="14.45" customHeight="1" thickBot="1">
      <c r="A5" s="11"/>
      <c r="B5" s="153"/>
      <c r="C5" s="153"/>
      <c r="D5" s="9"/>
      <c r="E5" s="14"/>
      <c r="F5" s="14"/>
      <c r="G5" s="171"/>
      <c r="H5" s="53"/>
    </row>
    <row r="6" spans="1:13" ht="14.45" customHeight="1">
      <c r="A6" s="160" t="s">
        <v>4</v>
      </c>
      <c r="B6" s="60"/>
      <c r="C6" s="190" t="s">
        <v>65</v>
      </c>
      <c r="D6" s="190"/>
      <c r="E6" s="190"/>
      <c r="F6" s="190"/>
      <c r="G6" s="191"/>
      <c r="H6" s="151"/>
      <c r="I6" s="151"/>
    </row>
    <row r="7" spans="1:13" ht="15.75" customHeight="1" thickBot="1">
      <c r="A7" s="161" t="s">
        <v>125</v>
      </c>
      <c r="B7" s="103"/>
      <c r="C7" s="192"/>
      <c r="D7" s="192"/>
      <c r="E7" s="192"/>
      <c r="F7" s="192"/>
      <c r="G7" s="193"/>
      <c r="H7" s="151"/>
      <c r="I7" s="151"/>
    </row>
    <row r="8" spans="1:13" ht="7.5" customHeight="1" thickBot="1">
      <c r="A8" s="151"/>
      <c r="B8" s="151"/>
      <c r="C8" s="151"/>
      <c r="D8" s="151"/>
      <c r="E8" s="151"/>
      <c r="F8" s="151"/>
      <c r="G8" s="151"/>
      <c r="H8" s="151"/>
      <c r="I8" s="151"/>
      <c r="J8" s="151"/>
      <c r="K8" s="151"/>
      <c r="L8" s="151"/>
      <c r="M8" s="151"/>
    </row>
    <row r="9" spans="1:13" ht="32.25" customHeight="1">
      <c r="A9" s="163" t="s">
        <v>127</v>
      </c>
      <c r="B9" s="101" t="s">
        <v>122</v>
      </c>
      <c r="C9" s="60" t="s">
        <v>123</v>
      </c>
      <c r="D9" s="60" t="s">
        <v>124</v>
      </c>
      <c r="E9" s="194" t="s">
        <v>128</v>
      </c>
      <c r="F9" s="195"/>
      <c r="G9" s="195"/>
      <c r="H9" s="195"/>
      <c r="I9" s="196"/>
    </row>
    <row r="10" spans="1:13" ht="15.75" customHeight="1">
      <c r="A10" s="162">
        <f t="shared" ref="A10:A54" si="0">ROW()-9</f>
        <v>1</v>
      </c>
      <c r="B10" s="145" t="s">
        <v>183</v>
      </c>
      <c r="C10" s="175" t="s">
        <v>1024</v>
      </c>
      <c r="D10" s="166" t="s">
        <v>184</v>
      </c>
      <c r="E10" s="183" t="s">
        <v>185</v>
      </c>
      <c r="F10" s="184"/>
      <c r="G10" s="184"/>
      <c r="H10" s="184"/>
      <c r="I10" s="185"/>
    </row>
    <row r="11" spans="1:13" ht="15">
      <c r="A11" s="162">
        <f t="shared" si="0"/>
        <v>2</v>
      </c>
      <c r="B11" s="145" t="s">
        <v>261</v>
      </c>
      <c r="C11" s="175" t="s">
        <v>262</v>
      </c>
      <c r="D11" s="166" t="s">
        <v>184</v>
      </c>
      <c r="E11" s="183" t="s">
        <v>263</v>
      </c>
      <c r="F11" s="184"/>
      <c r="G11" s="184"/>
      <c r="H11" s="184"/>
      <c r="I11" s="185"/>
    </row>
    <row r="12" spans="1:13" ht="15">
      <c r="A12" s="162">
        <f t="shared" si="0"/>
        <v>3</v>
      </c>
      <c r="B12" s="145" t="s">
        <v>297</v>
      </c>
      <c r="C12" s="175" t="s">
        <v>298</v>
      </c>
      <c r="D12" s="166" t="s">
        <v>184</v>
      </c>
      <c r="E12" s="183" t="s">
        <v>299</v>
      </c>
      <c r="F12" s="184"/>
      <c r="G12" s="184"/>
      <c r="H12" s="184"/>
      <c r="I12" s="185"/>
    </row>
    <row r="13" spans="1:13" ht="15">
      <c r="A13" s="162">
        <f t="shared" si="0"/>
        <v>4</v>
      </c>
      <c r="B13" s="145" t="s">
        <v>322</v>
      </c>
      <c r="C13" s="175" t="s">
        <v>323</v>
      </c>
      <c r="D13" s="166" t="s">
        <v>184</v>
      </c>
      <c r="E13" s="183" t="s">
        <v>324</v>
      </c>
      <c r="F13" s="184"/>
      <c r="G13" s="184"/>
      <c r="H13" s="184"/>
      <c r="I13" s="185"/>
    </row>
    <row r="14" spans="1:13" ht="15">
      <c r="A14" s="162">
        <f t="shared" si="0"/>
        <v>5</v>
      </c>
      <c r="B14" s="145" t="s">
        <v>349</v>
      </c>
      <c r="C14" s="175" t="s">
        <v>350</v>
      </c>
      <c r="D14" s="166" t="s">
        <v>184</v>
      </c>
      <c r="E14" s="183" t="s">
        <v>351</v>
      </c>
      <c r="F14" s="184"/>
      <c r="G14" s="184"/>
      <c r="H14" s="184"/>
      <c r="I14" s="185"/>
    </row>
    <row r="15" spans="1:13" ht="15">
      <c r="A15" s="162">
        <f t="shared" si="0"/>
        <v>6</v>
      </c>
      <c r="B15" s="145" t="s">
        <v>368</v>
      </c>
      <c r="C15" s="175" t="s">
        <v>369</v>
      </c>
      <c r="D15" s="166" t="s">
        <v>370</v>
      </c>
      <c r="E15" s="183" t="s">
        <v>371</v>
      </c>
      <c r="F15" s="184"/>
      <c r="G15" s="184"/>
      <c r="H15" s="184"/>
      <c r="I15" s="185"/>
    </row>
    <row r="16" spans="1:13" ht="15">
      <c r="A16" s="162">
        <f t="shared" si="0"/>
        <v>7</v>
      </c>
      <c r="B16" s="145" t="s">
        <v>408</v>
      </c>
      <c r="C16" s="175" t="s">
        <v>409</v>
      </c>
      <c r="D16" s="166" t="s">
        <v>370</v>
      </c>
      <c r="E16" s="183" t="s">
        <v>410</v>
      </c>
      <c r="F16" s="184"/>
      <c r="G16" s="184"/>
      <c r="H16" s="184"/>
      <c r="I16" s="185"/>
    </row>
    <row r="17" spans="1:9" ht="15">
      <c r="A17" s="162">
        <f t="shared" si="0"/>
        <v>8</v>
      </c>
      <c r="B17" s="145" t="s">
        <v>423</v>
      </c>
      <c r="C17" s="175" t="s">
        <v>424</v>
      </c>
      <c r="D17" s="166" t="s">
        <v>370</v>
      </c>
      <c r="E17" s="183" t="s">
        <v>425</v>
      </c>
      <c r="F17" s="184"/>
      <c r="G17" s="184"/>
      <c r="H17" s="184"/>
      <c r="I17" s="185"/>
    </row>
    <row r="18" spans="1:9" ht="15">
      <c r="A18" s="162">
        <f t="shared" si="0"/>
        <v>9</v>
      </c>
      <c r="B18" s="145" t="s">
        <v>438</v>
      </c>
      <c r="C18" s="175" t="s">
        <v>439</v>
      </c>
      <c r="D18" s="166" t="s">
        <v>370</v>
      </c>
      <c r="E18" s="183" t="s">
        <v>440</v>
      </c>
      <c r="F18" s="184"/>
      <c r="G18" s="184"/>
      <c r="H18" s="184"/>
      <c r="I18" s="185"/>
    </row>
    <row r="19" spans="1:9" ht="15">
      <c r="A19" s="162">
        <f t="shared" si="0"/>
        <v>10</v>
      </c>
      <c r="B19" s="145" t="s">
        <v>448</v>
      </c>
      <c r="C19" s="175" t="s">
        <v>449</v>
      </c>
      <c r="D19" s="166" t="s">
        <v>370</v>
      </c>
      <c r="E19" s="183" t="s">
        <v>450</v>
      </c>
      <c r="F19" s="184"/>
      <c r="G19" s="184"/>
      <c r="H19" s="184"/>
      <c r="I19" s="185"/>
    </row>
    <row r="20" spans="1:9" ht="15">
      <c r="A20" s="162">
        <f t="shared" si="0"/>
        <v>11</v>
      </c>
      <c r="B20" s="145" t="s">
        <v>479</v>
      </c>
      <c r="C20" s="175" t="s">
        <v>480</v>
      </c>
      <c r="D20" s="166" t="s">
        <v>370</v>
      </c>
      <c r="E20" s="183" t="s">
        <v>481</v>
      </c>
      <c r="F20" s="184"/>
      <c r="G20" s="184"/>
      <c r="H20" s="184"/>
      <c r="I20" s="185"/>
    </row>
    <row r="21" spans="1:9" ht="15">
      <c r="A21" s="162">
        <f t="shared" si="0"/>
        <v>12</v>
      </c>
      <c r="B21" s="145" t="s">
        <v>487</v>
      </c>
      <c r="C21" s="175" t="s">
        <v>488</v>
      </c>
      <c r="D21" s="166" t="s">
        <v>489</v>
      </c>
      <c r="E21" s="183" t="s">
        <v>490</v>
      </c>
      <c r="F21" s="184"/>
      <c r="G21" s="184"/>
      <c r="H21" s="184"/>
      <c r="I21" s="185"/>
    </row>
    <row r="22" spans="1:9" ht="15">
      <c r="A22" s="162">
        <f t="shared" si="0"/>
        <v>13</v>
      </c>
      <c r="B22" s="145" t="s">
        <v>503</v>
      </c>
      <c r="C22" s="175" t="s">
        <v>504</v>
      </c>
      <c r="D22" s="166" t="s">
        <v>489</v>
      </c>
      <c r="E22" s="183" t="s">
        <v>505</v>
      </c>
      <c r="F22" s="184"/>
      <c r="G22" s="184"/>
      <c r="H22" s="184"/>
      <c r="I22" s="185"/>
    </row>
    <row r="23" spans="1:9" ht="15">
      <c r="A23" s="162">
        <f t="shared" si="0"/>
        <v>14</v>
      </c>
      <c r="B23" s="145" t="s">
        <v>509</v>
      </c>
      <c r="C23" s="175" t="s">
        <v>510</v>
      </c>
      <c r="D23" s="166" t="s">
        <v>511</v>
      </c>
      <c r="E23" s="183" t="s">
        <v>512</v>
      </c>
      <c r="F23" s="184"/>
      <c r="G23" s="184"/>
      <c r="H23" s="184"/>
      <c r="I23" s="185"/>
    </row>
    <row r="24" spans="1:9" ht="15">
      <c r="A24" s="162">
        <f t="shared" si="0"/>
        <v>15</v>
      </c>
      <c r="B24" s="145" t="s">
        <v>525</v>
      </c>
      <c r="C24" s="175" t="s">
        <v>526</v>
      </c>
      <c r="D24" s="166" t="s">
        <v>511</v>
      </c>
      <c r="E24" s="183" t="s">
        <v>527</v>
      </c>
      <c r="F24" s="184"/>
      <c r="G24" s="184"/>
      <c r="H24" s="184"/>
      <c r="I24" s="185"/>
    </row>
    <row r="25" spans="1:9" ht="15">
      <c r="A25" s="162">
        <f t="shared" si="0"/>
        <v>16</v>
      </c>
      <c r="B25" s="145" t="s">
        <v>540</v>
      </c>
      <c r="C25" s="175" t="s">
        <v>541</v>
      </c>
      <c r="D25" s="166" t="s">
        <v>542</v>
      </c>
      <c r="E25" s="183" t="s">
        <v>543</v>
      </c>
      <c r="F25" s="184"/>
      <c r="G25" s="184"/>
      <c r="H25" s="184"/>
      <c r="I25" s="185"/>
    </row>
    <row r="26" spans="1:9" ht="15">
      <c r="A26" s="162">
        <f t="shared" si="0"/>
        <v>17</v>
      </c>
      <c r="B26" s="145" t="s">
        <v>556</v>
      </c>
      <c r="C26" s="175" t="s">
        <v>557</v>
      </c>
      <c r="D26" s="166" t="s">
        <v>542</v>
      </c>
      <c r="E26" s="183" t="s">
        <v>558</v>
      </c>
      <c r="F26" s="184"/>
      <c r="G26" s="184"/>
      <c r="H26" s="184"/>
      <c r="I26" s="185"/>
    </row>
    <row r="27" spans="1:9" ht="15">
      <c r="A27" s="162">
        <f t="shared" si="0"/>
        <v>18</v>
      </c>
      <c r="B27" s="145" t="s">
        <v>583</v>
      </c>
      <c r="C27" s="175" t="s">
        <v>584</v>
      </c>
      <c r="D27" s="166" t="s">
        <v>585</v>
      </c>
      <c r="E27" s="183" t="s">
        <v>586</v>
      </c>
      <c r="F27" s="184"/>
      <c r="G27" s="184"/>
      <c r="H27" s="184"/>
      <c r="I27" s="185"/>
    </row>
    <row r="28" spans="1:9" ht="15">
      <c r="A28" s="162">
        <f t="shared" si="0"/>
        <v>19</v>
      </c>
      <c r="B28" s="145" t="s">
        <v>599</v>
      </c>
      <c r="C28" s="175" t="s">
        <v>600</v>
      </c>
      <c r="D28" s="166" t="s">
        <v>585</v>
      </c>
      <c r="E28" s="183" t="s">
        <v>601</v>
      </c>
      <c r="F28" s="184"/>
      <c r="G28" s="184"/>
      <c r="H28" s="184"/>
      <c r="I28" s="185"/>
    </row>
    <row r="29" spans="1:9" ht="15">
      <c r="A29" s="162">
        <f t="shared" si="0"/>
        <v>20</v>
      </c>
      <c r="B29" s="145" t="s">
        <v>617</v>
      </c>
      <c r="C29" s="175" t="s">
        <v>618</v>
      </c>
      <c r="D29" s="166" t="s">
        <v>585</v>
      </c>
      <c r="E29" s="183" t="s">
        <v>619</v>
      </c>
      <c r="F29" s="184"/>
      <c r="G29" s="184"/>
      <c r="H29" s="184"/>
      <c r="I29" s="185"/>
    </row>
    <row r="30" spans="1:9" ht="15">
      <c r="A30" s="162">
        <f t="shared" si="0"/>
        <v>21</v>
      </c>
      <c r="B30" s="145" t="s">
        <v>623</v>
      </c>
      <c r="C30" s="175" t="s">
        <v>624</v>
      </c>
      <c r="D30" s="166" t="s">
        <v>625</v>
      </c>
      <c r="E30" s="183" t="s">
        <v>626</v>
      </c>
      <c r="F30" s="184"/>
      <c r="G30" s="184"/>
      <c r="H30" s="184"/>
      <c r="I30" s="185"/>
    </row>
    <row r="31" spans="1:9" ht="15">
      <c r="A31" s="162">
        <f t="shared" si="0"/>
        <v>22</v>
      </c>
      <c r="B31" s="145" t="s">
        <v>747</v>
      </c>
      <c r="C31" s="175" t="s">
        <v>748</v>
      </c>
      <c r="D31" s="166" t="s">
        <v>625</v>
      </c>
      <c r="E31" s="183" t="s">
        <v>749</v>
      </c>
      <c r="F31" s="184"/>
      <c r="G31" s="184"/>
      <c r="H31" s="184"/>
      <c r="I31" s="185"/>
    </row>
    <row r="32" spans="1:9" ht="15">
      <c r="A32" s="162">
        <f t="shared" si="0"/>
        <v>23</v>
      </c>
      <c r="B32" s="145" t="s">
        <v>774</v>
      </c>
      <c r="C32" s="175" t="s">
        <v>775</v>
      </c>
      <c r="D32" s="166" t="s">
        <v>625</v>
      </c>
      <c r="E32" s="183" t="s">
        <v>776</v>
      </c>
      <c r="F32" s="184"/>
      <c r="G32" s="184"/>
      <c r="H32" s="184"/>
      <c r="I32" s="185"/>
    </row>
    <row r="33" spans="1:9" ht="15">
      <c r="A33" s="162">
        <f t="shared" si="0"/>
        <v>24</v>
      </c>
      <c r="B33" s="145" t="s">
        <v>782</v>
      </c>
      <c r="C33" s="175" t="s">
        <v>783</v>
      </c>
      <c r="D33" s="166" t="s">
        <v>625</v>
      </c>
      <c r="E33" s="183" t="s">
        <v>784</v>
      </c>
      <c r="F33" s="184"/>
      <c r="G33" s="184"/>
      <c r="H33" s="184"/>
      <c r="I33" s="185"/>
    </row>
    <row r="34" spans="1:9" ht="15">
      <c r="A34" s="162">
        <f t="shared" si="0"/>
        <v>25</v>
      </c>
      <c r="B34" s="145" t="s">
        <v>790</v>
      </c>
      <c r="C34" s="175" t="s">
        <v>791</v>
      </c>
      <c r="D34" s="166" t="s">
        <v>625</v>
      </c>
      <c r="E34" s="183" t="s">
        <v>792</v>
      </c>
      <c r="F34" s="184"/>
      <c r="G34" s="184"/>
      <c r="H34" s="184"/>
      <c r="I34" s="185"/>
    </row>
    <row r="35" spans="1:9" ht="15">
      <c r="A35" s="162">
        <f t="shared" si="0"/>
        <v>26</v>
      </c>
      <c r="B35" s="145" t="s">
        <v>802</v>
      </c>
      <c r="C35" s="175" t="s">
        <v>803</v>
      </c>
      <c r="D35" s="166" t="s">
        <v>625</v>
      </c>
      <c r="E35" s="183" t="s">
        <v>804</v>
      </c>
      <c r="F35" s="184"/>
      <c r="G35" s="184"/>
      <c r="H35" s="184"/>
      <c r="I35" s="185"/>
    </row>
    <row r="36" spans="1:9" ht="15">
      <c r="A36" s="162">
        <f t="shared" si="0"/>
        <v>27</v>
      </c>
      <c r="B36" s="145" t="s">
        <v>813</v>
      </c>
      <c r="C36" s="175" t="s">
        <v>814</v>
      </c>
      <c r="D36" s="166" t="s">
        <v>625</v>
      </c>
      <c r="E36" s="183" t="s">
        <v>815</v>
      </c>
      <c r="F36" s="184"/>
      <c r="G36" s="184"/>
      <c r="H36" s="184"/>
      <c r="I36" s="185"/>
    </row>
    <row r="37" spans="1:9" ht="15">
      <c r="A37" s="162">
        <f t="shared" si="0"/>
        <v>28</v>
      </c>
      <c r="B37" s="145" t="s">
        <v>826</v>
      </c>
      <c r="C37" s="175" t="s">
        <v>827</v>
      </c>
      <c r="D37" s="166" t="s">
        <v>625</v>
      </c>
      <c r="E37" s="183" t="s">
        <v>828</v>
      </c>
      <c r="F37" s="184"/>
      <c r="G37" s="184"/>
      <c r="H37" s="184"/>
      <c r="I37" s="185"/>
    </row>
    <row r="38" spans="1:9" ht="15">
      <c r="A38" s="162">
        <f t="shared" si="0"/>
        <v>29</v>
      </c>
      <c r="B38" s="145" t="s">
        <v>835</v>
      </c>
      <c r="C38" s="175" t="s">
        <v>836</v>
      </c>
      <c r="D38" s="166" t="s">
        <v>625</v>
      </c>
      <c r="E38" s="183" t="s">
        <v>837</v>
      </c>
      <c r="F38" s="184"/>
      <c r="G38" s="184"/>
      <c r="H38" s="184"/>
      <c r="I38" s="185"/>
    </row>
    <row r="39" spans="1:9" ht="15">
      <c r="A39" s="162">
        <f t="shared" si="0"/>
        <v>30</v>
      </c>
      <c r="B39" s="145" t="s">
        <v>843</v>
      </c>
      <c r="C39" s="175" t="s">
        <v>844</v>
      </c>
      <c r="D39" s="166" t="s">
        <v>625</v>
      </c>
      <c r="E39" s="183" t="s">
        <v>828</v>
      </c>
      <c r="F39" s="184"/>
      <c r="G39" s="184"/>
      <c r="H39" s="184"/>
      <c r="I39" s="185"/>
    </row>
    <row r="40" spans="1:9" ht="15">
      <c r="A40" s="162">
        <f t="shared" si="0"/>
        <v>31</v>
      </c>
      <c r="B40" s="145" t="s">
        <v>846</v>
      </c>
      <c r="C40" s="175" t="s">
        <v>847</v>
      </c>
      <c r="D40" s="166" t="s">
        <v>625</v>
      </c>
      <c r="E40" s="183" t="s">
        <v>848</v>
      </c>
      <c r="F40" s="184"/>
      <c r="G40" s="184"/>
      <c r="H40" s="184"/>
      <c r="I40" s="185"/>
    </row>
    <row r="41" spans="1:9" ht="15">
      <c r="A41" s="162">
        <f t="shared" si="0"/>
        <v>32</v>
      </c>
      <c r="B41" s="145" t="s">
        <v>873</v>
      </c>
      <c r="C41" s="175" t="s">
        <v>874</v>
      </c>
      <c r="D41" s="166" t="s">
        <v>625</v>
      </c>
      <c r="E41" s="183" t="s">
        <v>875</v>
      </c>
      <c r="F41" s="184"/>
      <c r="G41" s="184"/>
      <c r="H41" s="184"/>
      <c r="I41" s="185"/>
    </row>
    <row r="42" spans="1:9" ht="15">
      <c r="A42" s="162">
        <f t="shared" si="0"/>
        <v>33</v>
      </c>
      <c r="B42" s="145" t="s">
        <v>890</v>
      </c>
      <c r="C42" s="175" t="s">
        <v>891</v>
      </c>
      <c r="D42" s="166" t="s">
        <v>625</v>
      </c>
      <c r="E42" s="183" t="s">
        <v>892</v>
      </c>
      <c r="F42" s="184"/>
      <c r="G42" s="184"/>
      <c r="H42" s="184"/>
      <c r="I42" s="185"/>
    </row>
    <row r="43" spans="1:9" ht="15">
      <c r="A43" s="162">
        <f t="shared" si="0"/>
        <v>34</v>
      </c>
      <c r="B43" s="145" t="s">
        <v>900</v>
      </c>
      <c r="C43" s="175" t="s">
        <v>1064</v>
      </c>
      <c r="D43" s="166" t="s">
        <v>625</v>
      </c>
      <c r="E43" s="183" t="s">
        <v>901</v>
      </c>
      <c r="F43" s="184"/>
      <c r="G43" s="184"/>
      <c r="H43" s="184"/>
      <c r="I43" s="185"/>
    </row>
    <row r="44" spans="1:9" ht="15">
      <c r="A44" s="162">
        <f t="shared" si="0"/>
        <v>35</v>
      </c>
      <c r="B44" s="145" t="s">
        <v>915</v>
      </c>
      <c r="C44" s="175" t="s">
        <v>916</v>
      </c>
      <c r="D44" s="166" t="s">
        <v>625</v>
      </c>
      <c r="E44" s="183" t="s">
        <v>917</v>
      </c>
      <c r="F44" s="184"/>
      <c r="G44" s="184"/>
      <c r="H44" s="184"/>
      <c r="I44" s="185"/>
    </row>
    <row r="45" spans="1:9" ht="15">
      <c r="A45" s="162">
        <f t="shared" si="0"/>
        <v>36</v>
      </c>
      <c r="B45" s="145" t="s">
        <v>937</v>
      </c>
      <c r="C45" s="175" t="s">
        <v>938</v>
      </c>
      <c r="D45" s="166" t="s">
        <v>625</v>
      </c>
      <c r="E45" s="183" t="s">
        <v>939</v>
      </c>
      <c r="F45" s="184"/>
      <c r="G45" s="184"/>
      <c r="H45" s="184"/>
      <c r="I45" s="185"/>
    </row>
    <row r="46" spans="1:9" ht="15">
      <c r="A46" s="162">
        <f t="shared" si="0"/>
        <v>37</v>
      </c>
      <c r="B46" s="145" t="s">
        <v>1039</v>
      </c>
      <c r="C46" s="175" t="s">
        <v>1038</v>
      </c>
      <c r="D46" s="166" t="s">
        <v>625</v>
      </c>
      <c r="E46" s="183" t="s">
        <v>942</v>
      </c>
      <c r="F46" s="184"/>
      <c r="G46" s="184"/>
      <c r="H46" s="184"/>
      <c r="I46" s="185"/>
    </row>
    <row r="47" spans="1:9" ht="15">
      <c r="A47" s="162">
        <f t="shared" si="0"/>
        <v>38</v>
      </c>
      <c r="B47" s="145" t="s">
        <v>949</v>
      </c>
      <c r="C47" s="175" t="s">
        <v>1037</v>
      </c>
      <c r="D47" s="166" t="s">
        <v>625</v>
      </c>
      <c r="E47" s="183" t="s">
        <v>950</v>
      </c>
      <c r="F47" s="184"/>
      <c r="G47" s="184"/>
      <c r="H47" s="184"/>
      <c r="I47" s="185"/>
    </row>
    <row r="48" spans="1:9" ht="15">
      <c r="A48" s="162">
        <f t="shared" si="0"/>
        <v>39</v>
      </c>
      <c r="B48" s="145" t="s">
        <v>1040</v>
      </c>
      <c r="C48" s="175" t="s">
        <v>961</v>
      </c>
      <c r="D48" s="166" t="s">
        <v>625</v>
      </c>
      <c r="E48" s="183" t="s">
        <v>962</v>
      </c>
      <c r="F48" s="184"/>
      <c r="G48" s="184"/>
      <c r="H48" s="184"/>
      <c r="I48" s="185"/>
    </row>
    <row r="49" spans="1:9" ht="15">
      <c r="A49" s="162">
        <f t="shared" si="0"/>
        <v>40</v>
      </c>
      <c r="B49" s="145" t="s">
        <v>967</v>
      </c>
      <c r="C49" s="175" t="s">
        <v>968</v>
      </c>
      <c r="D49" s="166" t="s">
        <v>625</v>
      </c>
      <c r="E49" s="183" t="s">
        <v>969</v>
      </c>
      <c r="F49" s="184"/>
      <c r="G49" s="184"/>
      <c r="H49" s="184"/>
      <c r="I49" s="185"/>
    </row>
    <row r="50" spans="1:9" ht="15">
      <c r="A50" s="162">
        <f t="shared" si="0"/>
        <v>41</v>
      </c>
      <c r="B50" s="145" t="s">
        <v>973</v>
      </c>
      <c r="C50" s="175" t="s">
        <v>974</v>
      </c>
      <c r="D50" s="166" t="s">
        <v>625</v>
      </c>
      <c r="E50" s="183" t="s">
        <v>975</v>
      </c>
      <c r="F50" s="184"/>
      <c r="G50" s="184"/>
      <c r="H50" s="184"/>
      <c r="I50" s="185"/>
    </row>
    <row r="51" spans="1:9" ht="15">
      <c r="A51" s="162">
        <f t="shared" si="0"/>
        <v>42</v>
      </c>
      <c r="B51" s="145" t="s">
        <v>981</v>
      </c>
      <c r="C51" s="175" t="s">
        <v>982</v>
      </c>
      <c r="D51" s="166" t="s">
        <v>625</v>
      </c>
      <c r="E51" s="183" t="s">
        <v>983</v>
      </c>
      <c r="F51" s="184"/>
      <c r="G51" s="184"/>
      <c r="H51" s="184"/>
      <c r="I51" s="185"/>
    </row>
    <row r="52" spans="1:9" ht="15">
      <c r="A52" s="162">
        <f t="shared" si="0"/>
        <v>43</v>
      </c>
      <c r="B52" s="145" t="s">
        <v>992</v>
      </c>
      <c r="C52" s="175" t="s">
        <v>993</v>
      </c>
      <c r="D52" s="166" t="s">
        <v>625</v>
      </c>
      <c r="E52" s="183" t="s">
        <v>994</v>
      </c>
      <c r="F52" s="184"/>
      <c r="G52" s="184"/>
      <c r="H52" s="184"/>
      <c r="I52" s="185"/>
    </row>
    <row r="53" spans="1:9" ht="15">
      <c r="A53" s="162">
        <f t="shared" si="0"/>
        <v>44</v>
      </c>
      <c r="B53" s="145" t="s">
        <v>1004</v>
      </c>
      <c r="C53" s="175" t="s">
        <v>1005</v>
      </c>
      <c r="D53" s="166" t="s">
        <v>625</v>
      </c>
      <c r="E53" s="183" t="s">
        <v>1006</v>
      </c>
      <c r="F53" s="184"/>
      <c r="G53" s="184"/>
      <c r="H53" s="184"/>
      <c r="I53" s="185"/>
    </row>
    <row r="54" spans="1:9" ht="15">
      <c r="A54" s="162">
        <f t="shared" si="0"/>
        <v>45</v>
      </c>
      <c r="B54" s="145" t="s">
        <v>1014</v>
      </c>
      <c r="C54" s="175" t="s">
        <v>1015</v>
      </c>
      <c r="D54" s="166" t="s">
        <v>625</v>
      </c>
      <c r="E54" s="183" t="s">
        <v>1016</v>
      </c>
      <c r="F54" s="184"/>
      <c r="G54" s="184"/>
      <c r="H54" s="184"/>
      <c r="I54" s="185"/>
    </row>
    <row r="55" spans="1:9" ht="15">
      <c r="A55" s="162"/>
      <c r="B55" s="145"/>
      <c r="C55" s="175"/>
      <c r="D55" s="166"/>
      <c r="E55" s="183"/>
      <c r="F55" s="184"/>
      <c r="G55" s="184"/>
      <c r="H55" s="184"/>
      <c r="I55" s="185"/>
    </row>
  </sheetData>
  <mergeCells count="51">
    <mergeCell ref="E10:I10"/>
    <mergeCell ref="E55:I55"/>
    <mergeCell ref="A2:D2"/>
    <mergeCell ref="A4:D4"/>
    <mergeCell ref="C6:G6"/>
    <mergeCell ref="C7:G7"/>
    <mergeCell ref="E9:I9"/>
    <mergeCell ref="E22:I22"/>
    <mergeCell ref="E11:I11"/>
    <mergeCell ref="E12:I12"/>
    <mergeCell ref="E13:I13"/>
    <mergeCell ref="E14:I14"/>
    <mergeCell ref="E15:I15"/>
    <mergeCell ref="E16:I16"/>
    <mergeCell ref="E17:I17"/>
    <mergeCell ref="E18:I18"/>
    <mergeCell ref="E19:I19"/>
    <mergeCell ref="E20:I20"/>
    <mergeCell ref="E21:I21"/>
    <mergeCell ref="E34:I34"/>
    <mergeCell ref="E23:I23"/>
    <mergeCell ref="E24:I24"/>
    <mergeCell ref="E25:I25"/>
    <mergeCell ref="E26:I26"/>
    <mergeCell ref="E27:I27"/>
    <mergeCell ref="E28:I28"/>
    <mergeCell ref="E29:I29"/>
    <mergeCell ref="E30:I30"/>
    <mergeCell ref="E31:I31"/>
    <mergeCell ref="E32:I32"/>
    <mergeCell ref="E33:I33"/>
    <mergeCell ref="E46:I46"/>
    <mergeCell ref="E35:I35"/>
    <mergeCell ref="E36:I36"/>
    <mergeCell ref="E37:I37"/>
    <mergeCell ref="E38:I38"/>
    <mergeCell ref="E39:I39"/>
    <mergeCell ref="E40:I40"/>
    <mergeCell ref="E41:I41"/>
    <mergeCell ref="E42:I42"/>
    <mergeCell ref="E43:I43"/>
    <mergeCell ref="E44:I44"/>
    <mergeCell ref="E45:I45"/>
    <mergeCell ref="E53:I53"/>
    <mergeCell ref="E54:I54"/>
    <mergeCell ref="E47:I47"/>
    <mergeCell ref="E48:I48"/>
    <mergeCell ref="E49:I49"/>
    <mergeCell ref="E50:I50"/>
    <mergeCell ref="E51:I51"/>
    <mergeCell ref="E52:I52"/>
  </mergeCells>
  <phoneticPr fontId="25"/>
  <hyperlinks>
    <hyperlink ref="C10" location="作業計画データ!Print_Area" display="作業計画データ"/>
    <hyperlink ref="C11" location="作業計画準備データ!Print_Titles" display="作業計画準備データ"/>
    <hyperlink ref="C12" location="実績数量!A1" display="実績数量"/>
    <hyperlink ref="C13" location="作業指示明細データ!A1" display="作業指示明細データ"/>
    <hyperlink ref="C14" location="投入指示データ!A1" display="投入指示データ"/>
    <hyperlink ref="C15" location="実績管理データ!A1" display="実績管理データ"/>
    <hyperlink ref="C16" location="実績登録データ!A1" display="実績登録データ"/>
    <hyperlink ref="C17" location="測定結果データ!A1" display="測定結果データ"/>
    <hyperlink ref="C18" location="個体ＮＯ管理データ!A1" display="個体ＮＯ管理データ"/>
    <hyperlink ref="C19" location="付帯作業データ!A1" display="付帯作業データ"/>
    <hyperlink ref="C20" location="投入順序実績!A1" display="投入順序実績"/>
    <hyperlink ref="C21" location="梱包指示データ!A1" display="梱包指示データ"/>
    <hyperlink ref="C22" location="梱包実績データ!A1" display="梱包実績データ"/>
    <hyperlink ref="C23" location="在庫データ!A1" display="在庫データ"/>
    <hyperlink ref="C24" location="受払データ!A1" display="受払データ"/>
    <hyperlink ref="C25" location="順列納入指示データ!A1" display="順列納入指示データ"/>
    <hyperlink ref="C26" location="非順列納入指示データ!A1" display="非順列納入指示データ"/>
    <hyperlink ref="C27" location="シミュレーションヘッダ!A1" display="シミュレーションヘッダ"/>
    <hyperlink ref="C28" location="シミュレーションデータ!A1" display="シミュレーションデータ"/>
    <hyperlink ref="C29" location="シミュレーション組立順序!A1" display="シミュレーション組立順序"/>
    <hyperlink ref="C30" location="生産品名マスタ!A1" display="生産品名マスタ"/>
    <hyperlink ref="C31" location="組立品構成マスタ!A1" display="組立品構成マスタ"/>
    <hyperlink ref="C32" location="資材マスタ!A1" display="資材マスタ"/>
    <hyperlink ref="C33" location="使用資材!A1" display="使用資材"/>
    <hyperlink ref="C34" location="生産製品マスタ!A1" display="生産製品マスタ"/>
    <hyperlink ref="C35" location="車種マスタ!A1" display="車種マスタ"/>
    <hyperlink ref="C36" location="設備マスタ!A1" display="設備マスタ"/>
    <hyperlink ref="C37" location="工程マスタ!A1" display="工程マスタ"/>
    <hyperlink ref="C38" location="標準通過工程マスタ!A1" display="標準通過工程マスタ"/>
    <hyperlink ref="C39" location="工程グループマスタ!A1" display="工程グループマスタ"/>
    <hyperlink ref="C40" location="区分標準通過工程!A1" display="区分標準通過工程"/>
    <hyperlink ref="C41" location="通過工程間チェック!A1" display="通過工程間チェック"/>
    <hyperlink ref="C42" location="投入指示作成!A1" display="投入指示作成"/>
    <hyperlink ref="C43" location="不良現象マスタ!A1" display="不良現象マスタ"/>
    <hyperlink ref="C44" location="コードマスタ!A1" display="コードマスタ"/>
    <hyperlink ref="C45" location="社員マスタ!A1" display="社員マスタ"/>
    <hyperlink ref="C46" location="稼働日マスタ!A1" display="稼働日マスタ"/>
    <hyperlink ref="C47" location="休憩時間マスタ!A1" display="休憩時間マスタ"/>
    <hyperlink ref="C48" location="事業所マスタ!A1" display="事業所マスタ"/>
    <hyperlink ref="C49" location="品種マスタ!A1" display="品種マスタ"/>
    <hyperlink ref="C50" location="パスワードマスタ!A1" display="パスワードマスタ"/>
    <hyperlink ref="C51" location="ＩＰアドレス管理マスタ!A1" display="ＩＰアドレス管理マスタ"/>
    <hyperlink ref="C52" location="採番マスタ!A1" display="採番マスタ"/>
    <hyperlink ref="C53" location="読込ラベルグループマスタ!A1" display="読込ラベルグループマスタ"/>
    <hyperlink ref="C54" location="ラベル定義マスタ!A1" display="ラベル定義マスタ"/>
  </hyperlinks>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33"/>
  <sheetViews>
    <sheetView workbookViewId="0">
      <selection activeCell="B9" sqref="B9"/>
    </sheetView>
  </sheetViews>
  <sheetFormatPr defaultColWidth="8.75" defaultRowHeight="18.75"/>
  <cols>
    <col min="1" max="1" width="9.125" style="133" customWidth="1"/>
    <col min="2" max="2" width="13.75" style="133" bestFit="1" customWidth="1"/>
    <col min="3" max="3" width="19" style="133" customWidth="1"/>
    <col min="4" max="4" width="15.875" style="133" bestFit="1" customWidth="1"/>
    <col min="5" max="5" width="15.125" style="133" bestFit="1" customWidth="1"/>
    <col min="6" max="6" width="91.5" style="133" bestFit="1" customWidth="1"/>
    <col min="7" max="16384" width="8.75" style="133"/>
  </cols>
  <sheetData>
    <row r="1" spans="1:6">
      <c r="A1" s="133" t="s">
        <v>1066</v>
      </c>
    </row>
    <row r="2" spans="1:6">
      <c r="A2" s="179" t="s">
        <v>1067</v>
      </c>
      <c r="B2" s="179" t="s">
        <v>1068</v>
      </c>
      <c r="C2" s="179" t="s">
        <v>1069</v>
      </c>
      <c r="D2" s="179" t="s">
        <v>1070</v>
      </c>
      <c r="E2" s="179" t="s">
        <v>1071</v>
      </c>
      <c r="F2" s="179" t="s">
        <v>1072</v>
      </c>
    </row>
    <row r="3" spans="1:6">
      <c r="A3" s="149" t="s">
        <v>1073</v>
      </c>
      <c r="B3" s="180">
        <v>43766</v>
      </c>
      <c r="C3" s="149" t="s">
        <v>1041</v>
      </c>
      <c r="D3" s="149"/>
      <c r="E3" s="149" t="s">
        <v>1077</v>
      </c>
      <c r="F3" s="149" t="s">
        <v>1078</v>
      </c>
    </row>
    <row r="4" spans="1:6">
      <c r="A4" s="149" t="s">
        <v>1073</v>
      </c>
      <c r="B4" s="180">
        <v>43766</v>
      </c>
      <c r="C4" s="149" t="s">
        <v>1074</v>
      </c>
      <c r="D4" s="149"/>
      <c r="E4" s="149" t="s">
        <v>1075</v>
      </c>
      <c r="F4" s="149" t="s">
        <v>1076</v>
      </c>
    </row>
    <row r="5" spans="1:6">
      <c r="A5" s="149" t="s">
        <v>1073</v>
      </c>
      <c r="B5" s="180">
        <v>43766</v>
      </c>
      <c r="C5" s="149" t="s">
        <v>1079</v>
      </c>
      <c r="D5" s="149" t="s">
        <v>1081</v>
      </c>
      <c r="E5" s="149" t="s">
        <v>1082</v>
      </c>
      <c r="F5" s="149" t="s">
        <v>1087</v>
      </c>
    </row>
    <row r="6" spans="1:6">
      <c r="A6" s="149" t="s">
        <v>1073</v>
      </c>
      <c r="B6" s="180">
        <v>43766</v>
      </c>
      <c r="C6" s="149" t="s">
        <v>1080</v>
      </c>
      <c r="D6" s="149" t="s">
        <v>1081</v>
      </c>
      <c r="E6" s="149" t="s">
        <v>1082</v>
      </c>
      <c r="F6" s="149" t="s">
        <v>1087</v>
      </c>
    </row>
    <row r="7" spans="1:6">
      <c r="A7" s="149" t="s">
        <v>1073</v>
      </c>
      <c r="B7" s="180">
        <v>43766</v>
      </c>
      <c r="C7" s="149" t="s">
        <v>1041</v>
      </c>
      <c r="D7" s="149" t="s">
        <v>1083</v>
      </c>
      <c r="E7" s="149" t="s">
        <v>1085</v>
      </c>
      <c r="F7" s="149" t="s">
        <v>1086</v>
      </c>
    </row>
    <row r="8" spans="1:6">
      <c r="A8" s="149" t="s">
        <v>1073</v>
      </c>
      <c r="B8" s="180">
        <v>43766</v>
      </c>
      <c r="C8" s="149" t="s">
        <v>1041</v>
      </c>
      <c r="D8" s="149" t="s">
        <v>1084</v>
      </c>
      <c r="E8" s="149" t="s">
        <v>1085</v>
      </c>
      <c r="F8" s="149" t="s">
        <v>1086</v>
      </c>
    </row>
    <row r="9" spans="1:6">
      <c r="A9" s="149" t="s">
        <v>1073</v>
      </c>
      <c r="B9" s="180">
        <v>43766</v>
      </c>
      <c r="C9" s="149" t="s">
        <v>1041</v>
      </c>
      <c r="D9" s="149"/>
      <c r="E9" s="149" t="s">
        <v>1088</v>
      </c>
      <c r="F9" s="149" t="s">
        <v>1089</v>
      </c>
    </row>
    <row r="10" spans="1:6">
      <c r="A10" s="149"/>
      <c r="B10" s="180"/>
      <c r="C10" s="149"/>
      <c r="D10" s="149"/>
      <c r="E10" s="149"/>
      <c r="F10" s="149"/>
    </row>
    <row r="11" spans="1:6">
      <c r="A11" s="149"/>
      <c r="B11" s="180"/>
      <c r="C11" s="149"/>
      <c r="D11" s="149"/>
      <c r="E11" s="149"/>
      <c r="F11" s="149"/>
    </row>
    <row r="12" spans="1:6">
      <c r="A12" s="149"/>
      <c r="B12" s="180"/>
      <c r="C12" s="149"/>
      <c r="D12" s="149"/>
      <c r="E12" s="149"/>
      <c r="F12" s="149"/>
    </row>
    <row r="13" spans="1:6">
      <c r="A13" s="149"/>
      <c r="B13" s="180"/>
      <c r="C13" s="149"/>
      <c r="D13" s="149"/>
      <c r="E13" s="149"/>
      <c r="F13" s="149"/>
    </row>
    <row r="14" spans="1:6">
      <c r="A14" s="149"/>
      <c r="B14" s="180"/>
      <c r="C14" s="149"/>
      <c r="D14" s="149"/>
      <c r="E14" s="149"/>
      <c r="F14" s="149"/>
    </row>
    <row r="15" spans="1:6">
      <c r="A15" s="149"/>
      <c r="B15" s="180"/>
      <c r="C15" s="149"/>
      <c r="D15" s="149"/>
      <c r="E15" s="149"/>
      <c r="F15" s="149"/>
    </row>
    <row r="16" spans="1:6">
      <c r="A16" s="149"/>
      <c r="B16" s="180"/>
      <c r="C16" s="149"/>
      <c r="D16" s="149"/>
      <c r="E16" s="149"/>
      <c r="F16" s="149"/>
    </row>
    <row r="17" spans="1:6">
      <c r="A17" s="149"/>
      <c r="B17" s="180"/>
      <c r="C17" s="149"/>
      <c r="D17" s="149"/>
      <c r="E17" s="149"/>
      <c r="F17" s="149"/>
    </row>
    <row r="18" spans="1:6">
      <c r="A18" s="149"/>
      <c r="B18" s="180"/>
      <c r="C18" s="149"/>
      <c r="D18" s="149"/>
      <c r="E18" s="149"/>
      <c r="F18" s="149"/>
    </row>
    <row r="19" spans="1:6">
      <c r="A19" s="149"/>
      <c r="B19" s="180"/>
      <c r="C19" s="149"/>
      <c r="D19" s="149"/>
      <c r="E19" s="149"/>
      <c r="F19" s="149"/>
    </row>
    <row r="20" spans="1:6">
      <c r="A20" s="149"/>
      <c r="B20" s="180"/>
      <c r="C20" s="149"/>
      <c r="D20" s="149"/>
      <c r="E20" s="149"/>
      <c r="F20" s="149"/>
    </row>
    <row r="21" spans="1:6">
      <c r="A21" s="149"/>
      <c r="B21" s="180"/>
      <c r="C21" s="149"/>
      <c r="D21" s="149"/>
      <c r="E21" s="149"/>
      <c r="F21" s="149"/>
    </row>
    <row r="22" spans="1:6">
      <c r="A22" s="149"/>
      <c r="B22" s="180"/>
      <c r="C22" s="149"/>
      <c r="D22" s="149"/>
      <c r="E22" s="149"/>
      <c r="F22" s="149"/>
    </row>
    <row r="23" spans="1:6">
      <c r="A23" s="149"/>
      <c r="B23" s="180"/>
      <c r="C23" s="149"/>
      <c r="D23" s="149"/>
      <c r="E23" s="149"/>
      <c r="F23" s="149"/>
    </row>
    <row r="24" spans="1:6">
      <c r="A24" s="149"/>
      <c r="B24" s="180"/>
      <c r="C24" s="149"/>
      <c r="D24" s="149"/>
      <c r="E24" s="149"/>
      <c r="F24" s="149"/>
    </row>
    <row r="25" spans="1:6">
      <c r="A25" s="149"/>
      <c r="B25" s="180"/>
      <c r="C25" s="149"/>
      <c r="D25" s="149"/>
      <c r="E25" s="149"/>
      <c r="F25" s="149"/>
    </row>
    <row r="26" spans="1:6">
      <c r="A26" s="149"/>
      <c r="B26" s="180"/>
      <c r="C26" s="149"/>
      <c r="D26" s="149"/>
      <c r="E26" s="149"/>
      <c r="F26" s="149"/>
    </row>
    <row r="27" spans="1:6">
      <c r="A27" s="149"/>
      <c r="B27" s="180"/>
      <c r="C27" s="149"/>
      <c r="D27" s="149"/>
      <c r="E27" s="149"/>
      <c r="F27" s="149"/>
    </row>
    <row r="28" spans="1:6">
      <c r="A28" s="149"/>
      <c r="B28" s="180"/>
      <c r="C28" s="149"/>
      <c r="D28" s="149"/>
      <c r="E28" s="149"/>
      <c r="F28" s="149"/>
    </row>
    <row r="29" spans="1:6">
      <c r="A29" s="149"/>
      <c r="B29" s="180"/>
      <c r="C29" s="149"/>
      <c r="D29" s="149"/>
      <c r="E29" s="149"/>
      <c r="F29" s="149"/>
    </row>
    <row r="30" spans="1:6">
      <c r="A30" s="149"/>
      <c r="B30" s="180"/>
      <c r="C30" s="149"/>
      <c r="D30" s="149"/>
      <c r="E30" s="149"/>
      <c r="F30" s="149"/>
    </row>
    <row r="31" spans="1:6">
      <c r="A31" s="149"/>
      <c r="B31" s="180"/>
      <c r="C31" s="149"/>
      <c r="D31" s="149"/>
      <c r="E31" s="149"/>
      <c r="F31" s="149"/>
    </row>
    <row r="32" spans="1:6">
      <c r="A32" s="149"/>
      <c r="B32" s="180"/>
      <c r="C32" s="149"/>
      <c r="D32" s="149"/>
      <c r="E32" s="149"/>
      <c r="F32" s="149"/>
    </row>
    <row r="33" spans="1:6">
      <c r="A33" s="149"/>
      <c r="B33" s="180"/>
      <c r="C33" s="149"/>
      <c r="D33" s="149"/>
      <c r="E33" s="149"/>
      <c r="F33" s="149"/>
    </row>
  </sheetData>
  <phoneticPr fontId="25"/>
  <dataValidations count="1">
    <dataValidation type="list" allowBlank="1" showInputMessage="1" showErrorMessage="1" sqref="E3:E33">
      <formula1>"カラム追加,カラム削除,カラム変更,テーブル名変更,テーブル追加,テーブル削除,テーブル変更,その他"</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A1:U52"/>
  <sheetViews>
    <sheetView showGridLines="0" zoomScaleNormal="100" workbookViewId="0">
      <pane ySplit="13" topLeftCell="A14" activePane="bottomLeft" state="frozen"/>
      <selection activeCell="D13" sqref="D13"/>
      <selection pane="bottomLeft" activeCell="J13" sqref="J13"/>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7" t="s">
        <v>27</v>
      </c>
      <c r="P1" s="248"/>
      <c r="Q1" s="248"/>
      <c r="R1" s="248"/>
      <c r="S1" s="248"/>
      <c r="T1" s="248"/>
      <c r="U1" s="249"/>
    </row>
    <row r="2" spans="1:21" ht="14.45" customHeight="1">
      <c r="A2" s="39"/>
      <c r="B2" s="100" t="s">
        <v>64</v>
      </c>
      <c r="C2" s="5"/>
      <c r="D2" s="5"/>
      <c r="E2" s="5"/>
      <c r="F2" s="5"/>
      <c r="G2" s="6"/>
      <c r="H2" s="7"/>
      <c r="I2" s="8"/>
      <c r="J2" s="250"/>
      <c r="K2" s="251"/>
      <c r="L2" s="250"/>
      <c r="M2" s="251"/>
      <c r="N2" s="52"/>
      <c r="O2" s="252" t="s">
        <v>185</v>
      </c>
      <c r="P2" s="253"/>
      <c r="Q2" s="253"/>
      <c r="R2" s="253"/>
      <c r="S2" s="253"/>
      <c r="T2" s="253"/>
      <c r="U2" s="254"/>
    </row>
    <row r="3" spans="1:21" ht="14.25" customHeight="1">
      <c r="A3" s="40"/>
      <c r="B3" s="35"/>
      <c r="C3" s="5"/>
      <c r="D3" s="5"/>
      <c r="E3" s="5"/>
      <c r="F3" s="5"/>
      <c r="G3" s="9"/>
      <c r="H3" s="10"/>
      <c r="I3" s="176" t="s">
        <v>1032</v>
      </c>
      <c r="J3" s="255" t="s">
        <v>1032</v>
      </c>
      <c r="K3" s="256"/>
      <c r="L3" s="255" t="s">
        <v>1032</v>
      </c>
      <c r="M3" s="256"/>
      <c r="N3" s="52"/>
      <c r="O3" s="257"/>
      <c r="P3" s="258"/>
      <c r="Q3" s="258"/>
      <c r="R3" s="258"/>
      <c r="S3" s="258"/>
      <c r="T3" s="258"/>
      <c r="U3" s="259"/>
    </row>
    <row r="4" spans="1:21" ht="14.45" customHeight="1">
      <c r="A4" s="41"/>
      <c r="B4" s="36" t="s">
        <v>3</v>
      </c>
      <c r="C4" s="5"/>
      <c r="D4" s="5"/>
      <c r="E4" s="5"/>
      <c r="F4" s="5"/>
      <c r="G4" s="6"/>
      <c r="H4" s="10"/>
      <c r="I4" s="177" t="s">
        <v>1035</v>
      </c>
      <c r="J4" s="240" t="s">
        <v>1034</v>
      </c>
      <c r="K4" s="241"/>
      <c r="L4" s="240" t="s">
        <v>1033</v>
      </c>
      <c r="M4" s="241"/>
      <c r="N4" s="52"/>
      <c r="O4" s="210"/>
      <c r="P4" s="211"/>
      <c r="Q4" s="211"/>
      <c r="R4" s="211"/>
      <c r="S4" s="211"/>
      <c r="T4" s="211"/>
      <c r="U4" s="212"/>
    </row>
    <row r="5" spans="1:21" ht="14.45" customHeight="1" thickBot="1">
      <c r="A5" s="42"/>
      <c r="B5" s="11"/>
      <c r="C5" s="11"/>
      <c r="D5" s="11"/>
      <c r="E5" s="11"/>
      <c r="F5" s="11"/>
      <c r="G5" s="12"/>
      <c r="H5" s="13"/>
      <c r="I5" s="14"/>
      <c r="J5" s="242"/>
      <c r="K5" s="243"/>
      <c r="L5" s="244"/>
      <c r="M5" s="245"/>
      <c r="N5" s="53"/>
      <c r="O5" s="246"/>
      <c r="P5" s="211"/>
      <c r="Q5" s="211"/>
      <c r="R5" s="211"/>
      <c r="S5" s="211"/>
      <c r="T5" s="211"/>
      <c r="U5" s="212"/>
    </row>
    <row r="6" spans="1:21" ht="14.45" customHeight="1">
      <c r="A6" s="43"/>
      <c r="B6" s="101" t="s">
        <v>4</v>
      </c>
      <c r="C6" s="20"/>
      <c r="D6" s="21"/>
      <c r="E6" s="222" t="s">
        <v>65</v>
      </c>
      <c r="F6" s="223"/>
      <c r="G6" s="223"/>
      <c r="H6" s="224"/>
      <c r="I6" s="60" t="s">
        <v>26</v>
      </c>
      <c r="J6" s="26"/>
      <c r="K6" s="225" t="s">
        <v>33</v>
      </c>
      <c r="L6" s="226"/>
      <c r="M6" s="227"/>
      <c r="N6" s="91" t="s">
        <v>5</v>
      </c>
      <c r="O6" s="210"/>
      <c r="P6" s="211"/>
      <c r="Q6" s="211"/>
      <c r="R6" s="211"/>
      <c r="S6" s="211"/>
      <c r="T6" s="211"/>
      <c r="U6" s="212"/>
    </row>
    <row r="7" spans="1:21" ht="15.75" customHeight="1">
      <c r="A7" s="44"/>
      <c r="B7" s="102" t="s">
        <v>6</v>
      </c>
      <c r="C7" s="22"/>
      <c r="D7" s="23"/>
      <c r="E7" s="228" t="s">
        <v>130</v>
      </c>
      <c r="F7" s="229"/>
      <c r="G7" s="229"/>
      <c r="H7" s="230"/>
      <c r="I7" s="61" t="s">
        <v>28</v>
      </c>
      <c r="J7" s="27"/>
      <c r="K7" s="231" t="s">
        <v>34</v>
      </c>
      <c r="L7" s="232"/>
      <c r="M7" s="233"/>
      <c r="N7" s="92">
        <f>COUNTIF(H14:H14,"LONG")+COUNTIF(H14:H14,"LONG RAW")</f>
        <v>0</v>
      </c>
      <c r="O7" s="210"/>
      <c r="P7" s="211"/>
      <c r="Q7" s="211"/>
      <c r="R7" s="211"/>
      <c r="S7" s="211"/>
      <c r="T7" s="211"/>
      <c r="U7" s="212"/>
    </row>
    <row r="8" spans="1:21" ht="14.45" customHeight="1">
      <c r="A8" s="45"/>
      <c r="B8" s="22" t="s">
        <v>7</v>
      </c>
      <c r="C8" s="22"/>
      <c r="D8" s="23"/>
      <c r="E8" s="228" t="s">
        <v>182</v>
      </c>
      <c r="F8" s="229"/>
      <c r="G8" s="229"/>
      <c r="H8" s="230"/>
      <c r="I8" s="62"/>
      <c r="J8" s="27"/>
      <c r="K8" s="234"/>
      <c r="L8" s="235"/>
      <c r="M8" s="236"/>
      <c r="N8" s="92"/>
      <c r="O8" s="210"/>
      <c r="P8" s="211"/>
      <c r="Q8" s="211"/>
      <c r="R8" s="211"/>
      <c r="S8" s="211"/>
      <c r="T8" s="211"/>
      <c r="U8" s="212"/>
    </row>
    <row r="9" spans="1:21" ht="14.45" customHeight="1">
      <c r="A9" s="45"/>
      <c r="B9" s="22" t="s">
        <v>8</v>
      </c>
      <c r="C9" s="22"/>
      <c r="D9" s="23"/>
      <c r="E9" s="237" t="s">
        <v>68</v>
      </c>
      <c r="F9" s="238"/>
      <c r="G9" s="238"/>
      <c r="H9" s="239"/>
      <c r="I9" s="61" t="s">
        <v>9</v>
      </c>
      <c r="J9" s="27"/>
      <c r="K9" s="86"/>
      <c r="L9" s="88">
        <f>SUM(N14:N53)</f>
        <v>187</v>
      </c>
      <c r="M9" s="82"/>
      <c r="N9" s="93">
        <f>SUMIF(M14:M14,"■",N14:N14)</f>
        <v>0</v>
      </c>
      <c r="O9" s="210"/>
      <c r="P9" s="211"/>
      <c r="Q9" s="211"/>
      <c r="R9" s="211"/>
      <c r="S9" s="211"/>
      <c r="T9" s="211"/>
      <c r="U9" s="212"/>
    </row>
    <row r="10" spans="1:21" ht="14.45" customHeight="1">
      <c r="A10" s="45"/>
      <c r="B10" s="22" t="s">
        <v>10</v>
      </c>
      <c r="C10" s="22"/>
      <c r="D10" s="23"/>
      <c r="E10" s="219" t="s">
        <v>68</v>
      </c>
      <c r="F10" s="220"/>
      <c r="G10" s="220"/>
      <c r="H10" s="221"/>
      <c r="I10" s="61" t="s">
        <v>11</v>
      </c>
      <c r="J10" s="27"/>
      <c r="K10" s="86"/>
      <c r="L10" s="89">
        <f>E11*L9/1000</f>
        <v>0</v>
      </c>
      <c r="M10" s="82"/>
      <c r="N10" s="55"/>
      <c r="O10" s="210"/>
      <c r="P10" s="211"/>
      <c r="Q10" s="211"/>
      <c r="R10" s="211"/>
      <c r="S10" s="211"/>
      <c r="T10" s="211"/>
      <c r="U10" s="212"/>
    </row>
    <row r="11" spans="1:21" ht="17.25" customHeight="1" thickBot="1">
      <c r="A11" s="46"/>
      <c r="B11" s="24" t="s">
        <v>29</v>
      </c>
      <c r="C11" s="24"/>
      <c r="D11" s="25"/>
      <c r="E11" s="207"/>
      <c r="F11" s="208"/>
      <c r="G11" s="208"/>
      <c r="H11" s="209"/>
      <c r="I11" s="103" t="s">
        <v>12</v>
      </c>
      <c r="J11" s="104"/>
      <c r="K11" s="87"/>
      <c r="L11" s="90"/>
      <c r="M11" s="83"/>
      <c r="N11" s="56"/>
      <c r="O11" s="210"/>
      <c r="P11" s="211"/>
      <c r="Q11" s="211"/>
      <c r="R11" s="211"/>
      <c r="S11" s="211"/>
      <c r="T11" s="211"/>
      <c r="U11" s="212"/>
    </row>
    <row r="12" spans="1:21" ht="15.75" customHeight="1" thickBot="1">
      <c r="A12" s="64"/>
      <c r="B12" s="65"/>
      <c r="C12" s="30"/>
      <c r="D12" s="30"/>
      <c r="E12" s="31"/>
      <c r="F12" s="32"/>
      <c r="G12" s="29"/>
      <c r="H12" s="28"/>
      <c r="I12" s="29"/>
      <c r="J12" s="30" t="s">
        <v>13</v>
      </c>
      <c r="K12" s="31"/>
      <c r="L12" s="66"/>
      <c r="M12" s="48"/>
      <c r="N12" s="57">
        <f>COUNTA(H14:H14)</f>
        <v>1</v>
      </c>
      <c r="O12" s="213"/>
      <c r="P12" s="214"/>
      <c r="Q12" s="214"/>
      <c r="R12" s="214"/>
      <c r="S12" s="214"/>
      <c r="T12" s="214"/>
      <c r="U12" s="21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16" t="s">
        <v>32</v>
      </c>
      <c r="Q13" s="217"/>
      <c r="R13" s="217"/>
      <c r="S13" s="217"/>
      <c r="T13" s="217"/>
      <c r="U13" s="218"/>
    </row>
    <row r="14" spans="1:21" ht="15.75" customHeight="1">
      <c r="A14" s="85" t="s">
        <v>188</v>
      </c>
      <c r="B14" s="37">
        <f t="shared" ref="B14:B44" si="0">ROW()-13</f>
        <v>1</v>
      </c>
      <c r="C14" s="145" t="s">
        <v>186</v>
      </c>
      <c r="D14" s="80"/>
      <c r="E14" s="81"/>
      <c r="F14" s="146" t="s">
        <v>1029</v>
      </c>
      <c r="G14" s="17"/>
      <c r="H14" s="18" t="s">
        <v>49</v>
      </c>
      <c r="I14" s="59"/>
      <c r="J14" s="19">
        <v>1</v>
      </c>
      <c r="K14" s="19"/>
      <c r="L14" s="50" t="s">
        <v>187</v>
      </c>
      <c r="M14" s="73" t="s">
        <v>21</v>
      </c>
      <c r="N14" s="54">
        <f t="shared" ref="N14:N51" si="1">IF(H14="NUMBER",IF(J14&gt;0,INT((J14+1)/2+0.9),0),IF(H14="DATE",7,IF(OR(H14="LONG",H14="LONG RAW"),100000,J14)))</f>
        <v>1</v>
      </c>
      <c r="O14" s="167"/>
      <c r="P14" s="203" t="s">
        <v>174</v>
      </c>
      <c r="Q14" s="204"/>
      <c r="R14" s="204"/>
      <c r="S14" s="204"/>
      <c r="T14" s="204"/>
      <c r="U14" s="205"/>
    </row>
    <row r="15" spans="1:21" ht="15.75" customHeight="1">
      <c r="A15" s="85" t="s">
        <v>188</v>
      </c>
      <c r="B15" s="37">
        <f t="shared" si="0"/>
        <v>2</v>
      </c>
      <c r="C15" s="145" t="s">
        <v>189</v>
      </c>
      <c r="D15" s="80"/>
      <c r="E15" s="81"/>
      <c r="F15" s="146" t="s">
        <v>190</v>
      </c>
      <c r="G15" s="17"/>
      <c r="H15" s="18" t="s">
        <v>49</v>
      </c>
      <c r="I15" s="59"/>
      <c r="J15" s="19">
        <v>7</v>
      </c>
      <c r="K15" s="19"/>
      <c r="L15" s="50" t="s">
        <v>187</v>
      </c>
      <c r="M15" s="73" t="s">
        <v>21</v>
      </c>
      <c r="N15" s="54">
        <f t="shared" si="1"/>
        <v>7</v>
      </c>
      <c r="O15" s="167"/>
      <c r="P15" s="203"/>
      <c r="Q15" s="204"/>
      <c r="R15" s="204"/>
      <c r="S15" s="204"/>
      <c r="T15" s="204"/>
      <c r="U15" s="205"/>
    </row>
    <row r="16" spans="1:21" ht="15.75" customHeight="1">
      <c r="A16" s="85"/>
      <c r="B16" s="37">
        <f t="shared" si="0"/>
        <v>3</v>
      </c>
      <c r="C16" s="145" t="s">
        <v>191</v>
      </c>
      <c r="D16" s="80"/>
      <c r="E16" s="81"/>
      <c r="F16" s="146" t="s">
        <v>192</v>
      </c>
      <c r="G16" s="17"/>
      <c r="H16" s="18" t="s">
        <v>49</v>
      </c>
      <c r="I16" s="59"/>
      <c r="J16" s="19">
        <v>3</v>
      </c>
      <c r="K16" s="19"/>
      <c r="L16" s="50"/>
      <c r="M16" s="73" t="s">
        <v>21</v>
      </c>
      <c r="N16" s="54">
        <f t="shared" si="1"/>
        <v>3</v>
      </c>
      <c r="O16" s="167"/>
      <c r="P16" s="203" t="s">
        <v>163</v>
      </c>
      <c r="Q16" s="204"/>
      <c r="R16" s="204"/>
      <c r="S16" s="204"/>
      <c r="T16" s="204"/>
      <c r="U16" s="205"/>
    </row>
    <row r="17" spans="1:21" ht="15.75" customHeight="1">
      <c r="A17" s="85"/>
      <c r="B17" s="37">
        <f t="shared" si="0"/>
        <v>4</v>
      </c>
      <c r="C17" s="145" t="s">
        <v>193</v>
      </c>
      <c r="D17" s="80"/>
      <c r="E17" s="81"/>
      <c r="F17" s="146" t="s">
        <v>194</v>
      </c>
      <c r="G17" s="17"/>
      <c r="H17" s="18" t="s">
        <v>49</v>
      </c>
      <c r="I17" s="59"/>
      <c r="J17" s="19">
        <v>12</v>
      </c>
      <c r="K17" s="19"/>
      <c r="L17" s="50"/>
      <c r="M17" s="73" t="s">
        <v>21</v>
      </c>
      <c r="N17" s="54">
        <f t="shared" si="1"/>
        <v>12</v>
      </c>
      <c r="O17" s="167"/>
      <c r="P17" s="203"/>
      <c r="Q17" s="204"/>
      <c r="R17" s="204"/>
      <c r="S17" s="204"/>
      <c r="T17" s="204"/>
      <c r="U17" s="205"/>
    </row>
    <row r="18" spans="1:21" ht="15.75" customHeight="1">
      <c r="A18" s="85"/>
      <c r="B18" s="37">
        <f t="shared" si="0"/>
        <v>5</v>
      </c>
      <c r="C18" s="145" t="s">
        <v>195</v>
      </c>
      <c r="D18" s="80"/>
      <c r="E18" s="81"/>
      <c r="F18" s="146" t="s">
        <v>1058</v>
      </c>
      <c r="G18" s="17"/>
      <c r="H18" s="18" t="s">
        <v>49</v>
      </c>
      <c r="I18" s="59"/>
      <c r="J18" s="19">
        <v>1</v>
      </c>
      <c r="K18" s="19"/>
      <c r="L18" s="50"/>
      <c r="M18" s="73" t="s">
        <v>21</v>
      </c>
      <c r="N18" s="54">
        <f t="shared" si="1"/>
        <v>1</v>
      </c>
      <c r="O18" s="167"/>
      <c r="P18" s="203" t="s">
        <v>174</v>
      </c>
      <c r="Q18" s="204"/>
      <c r="R18" s="204"/>
      <c r="S18" s="204"/>
      <c r="T18" s="204"/>
      <c r="U18" s="205"/>
    </row>
    <row r="19" spans="1:21" ht="15.75" customHeight="1">
      <c r="A19" s="85"/>
      <c r="B19" s="37">
        <f t="shared" si="0"/>
        <v>6</v>
      </c>
      <c r="C19" s="145" t="s">
        <v>196</v>
      </c>
      <c r="D19" s="80"/>
      <c r="E19" s="81"/>
      <c r="F19" s="146" t="s">
        <v>197</v>
      </c>
      <c r="G19" s="17"/>
      <c r="H19" s="18" t="s">
        <v>51</v>
      </c>
      <c r="I19" s="59"/>
      <c r="J19" s="19">
        <v>25</v>
      </c>
      <c r="K19" s="19"/>
      <c r="L19" s="50" t="s">
        <v>187</v>
      </c>
      <c r="M19" s="73" t="s">
        <v>21</v>
      </c>
      <c r="N19" s="54">
        <f t="shared" si="1"/>
        <v>25</v>
      </c>
      <c r="O19" s="167"/>
      <c r="P19" s="203"/>
      <c r="Q19" s="204"/>
      <c r="R19" s="204"/>
      <c r="S19" s="204"/>
      <c r="T19" s="204"/>
      <c r="U19" s="205"/>
    </row>
    <row r="20" spans="1:21" ht="15.75" customHeight="1">
      <c r="A20" s="85"/>
      <c r="B20" s="37">
        <f t="shared" si="0"/>
        <v>7</v>
      </c>
      <c r="C20" s="145" t="s">
        <v>198</v>
      </c>
      <c r="D20" s="80"/>
      <c r="E20" s="81"/>
      <c r="F20" s="146" t="s">
        <v>199</v>
      </c>
      <c r="G20" s="17"/>
      <c r="H20" s="18" t="s">
        <v>51</v>
      </c>
      <c r="I20" s="59"/>
      <c r="J20" s="19">
        <v>4</v>
      </c>
      <c r="K20" s="19"/>
      <c r="L20" s="50" t="s">
        <v>187</v>
      </c>
      <c r="M20" s="73" t="s">
        <v>21</v>
      </c>
      <c r="N20" s="54">
        <f t="shared" si="1"/>
        <v>4</v>
      </c>
      <c r="O20" s="167"/>
      <c r="P20" s="203" t="s">
        <v>200</v>
      </c>
      <c r="Q20" s="204"/>
      <c r="R20" s="204"/>
      <c r="S20" s="204"/>
      <c r="T20" s="204"/>
      <c r="U20" s="205"/>
    </row>
    <row r="21" spans="1:21" ht="74.45" customHeight="1">
      <c r="A21" s="85"/>
      <c r="B21" s="37">
        <f t="shared" si="0"/>
        <v>8</v>
      </c>
      <c r="C21" s="145" t="s">
        <v>201</v>
      </c>
      <c r="D21" s="80"/>
      <c r="E21" s="81"/>
      <c r="F21" s="146" t="s">
        <v>202</v>
      </c>
      <c r="G21" s="17"/>
      <c r="H21" s="18" t="s">
        <v>49</v>
      </c>
      <c r="I21" s="59"/>
      <c r="J21" s="19">
        <v>1</v>
      </c>
      <c r="K21" s="19"/>
      <c r="L21" s="50" t="s">
        <v>187</v>
      </c>
      <c r="M21" s="73" t="s">
        <v>21</v>
      </c>
      <c r="N21" s="54">
        <f t="shared" si="1"/>
        <v>1</v>
      </c>
      <c r="O21" s="167"/>
      <c r="P21" s="206" t="s">
        <v>203</v>
      </c>
      <c r="Q21" s="204"/>
      <c r="R21" s="204"/>
      <c r="S21" s="204"/>
      <c r="T21" s="204"/>
      <c r="U21" s="205"/>
    </row>
    <row r="22" spans="1:21" ht="27.6" customHeight="1">
      <c r="A22" s="85"/>
      <c r="B22" s="37">
        <f t="shared" si="0"/>
        <v>9</v>
      </c>
      <c r="C22" s="145" t="s">
        <v>204</v>
      </c>
      <c r="D22" s="80"/>
      <c r="E22" s="81"/>
      <c r="F22" s="146" t="s">
        <v>205</v>
      </c>
      <c r="G22" s="17"/>
      <c r="H22" s="18" t="s">
        <v>49</v>
      </c>
      <c r="I22" s="59"/>
      <c r="J22" s="19">
        <v>1</v>
      </c>
      <c r="K22" s="19"/>
      <c r="L22" s="50" t="s">
        <v>187</v>
      </c>
      <c r="M22" s="73" t="s">
        <v>21</v>
      </c>
      <c r="N22" s="54">
        <f t="shared" si="1"/>
        <v>1</v>
      </c>
      <c r="O22" s="167"/>
      <c r="P22" s="206" t="s">
        <v>206</v>
      </c>
      <c r="Q22" s="204"/>
      <c r="R22" s="204"/>
      <c r="S22" s="204"/>
      <c r="T22" s="204"/>
      <c r="U22" s="205"/>
    </row>
    <row r="23" spans="1:21" ht="15.75" customHeight="1">
      <c r="A23" s="85"/>
      <c r="B23" s="37">
        <f t="shared" si="0"/>
        <v>10</v>
      </c>
      <c r="C23" s="145" t="s">
        <v>207</v>
      </c>
      <c r="D23" s="80"/>
      <c r="E23" s="81"/>
      <c r="F23" s="146" t="s">
        <v>208</v>
      </c>
      <c r="G23" s="17"/>
      <c r="H23" s="18" t="s">
        <v>209</v>
      </c>
      <c r="I23" s="59"/>
      <c r="J23" s="19"/>
      <c r="K23" s="19"/>
      <c r="L23" s="50"/>
      <c r="M23" s="73" t="s">
        <v>21</v>
      </c>
      <c r="N23" s="54">
        <f t="shared" si="1"/>
        <v>0</v>
      </c>
      <c r="O23" s="167"/>
      <c r="P23" s="203"/>
      <c r="Q23" s="204"/>
      <c r="R23" s="204"/>
      <c r="S23" s="204"/>
      <c r="T23" s="204"/>
      <c r="U23" s="205"/>
    </row>
    <row r="24" spans="1:21" ht="27.6" customHeight="1">
      <c r="A24" s="85"/>
      <c r="B24" s="37">
        <f t="shared" si="0"/>
        <v>11</v>
      </c>
      <c r="C24" s="145" t="s">
        <v>210</v>
      </c>
      <c r="D24" s="80"/>
      <c r="E24" s="81"/>
      <c r="F24" s="146" t="s">
        <v>211</v>
      </c>
      <c r="G24" s="17"/>
      <c r="H24" s="18" t="s">
        <v>49</v>
      </c>
      <c r="I24" s="59"/>
      <c r="J24" s="19">
        <v>4</v>
      </c>
      <c r="K24" s="19"/>
      <c r="L24" s="50"/>
      <c r="M24" s="73" t="s">
        <v>21</v>
      </c>
      <c r="N24" s="54">
        <f t="shared" si="1"/>
        <v>4</v>
      </c>
      <c r="O24" s="167"/>
      <c r="P24" s="206" t="s">
        <v>212</v>
      </c>
      <c r="Q24" s="204"/>
      <c r="R24" s="204"/>
      <c r="S24" s="204"/>
      <c r="T24" s="204"/>
      <c r="U24" s="205"/>
    </row>
    <row r="25" spans="1:21" ht="15.75" customHeight="1">
      <c r="A25" s="85"/>
      <c r="B25" s="37">
        <f t="shared" si="0"/>
        <v>12</v>
      </c>
      <c r="C25" s="145" t="s">
        <v>213</v>
      </c>
      <c r="D25" s="80"/>
      <c r="E25" s="81"/>
      <c r="F25" s="146" t="s">
        <v>214</v>
      </c>
      <c r="G25" s="17"/>
      <c r="H25" s="18" t="s">
        <v>49</v>
      </c>
      <c r="I25" s="59"/>
      <c r="J25" s="19">
        <v>1</v>
      </c>
      <c r="K25" s="19"/>
      <c r="L25" s="50"/>
      <c r="M25" s="73" t="s">
        <v>21</v>
      </c>
      <c r="N25" s="54">
        <f t="shared" si="1"/>
        <v>1</v>
      </c>
      <c r="O25" s="167"/>
      <c r="P25" s="203" t="s">
        <v>200</v>
      </c>
      <c r="Q25" s="204"/>
      <c r="R25" s="204"/>
      <c r="S25" s="204"/>
      <c r="T25" s="204"/>
      <c r="U25" s="205"/>
    </row>
    <row r="26" spans="1:21" ht="15.75" customHeight="1">
      <c r="A26" s="85"/>
      <c r="B26" s="37">
        <f t="shared" si="0"/>
        <v>13</v>
      </c>
      <c r="C26" s="145" t="s">
        <v>215</v>
      </c>
      <c r="D26" s="80"/>
      <c r="E26" s="81"/>
      <c r="F26" s="146" t="s">
        <v>216</v>
      </c>
      <c r="G26" s="17"/>
      <c r="H26" s="18" t="s">
        <v>24</v>
      </c>
      <c r="I26" s="59"/>
      <c r="J26" s="19"/>
      <c r="K26" s="19"/>
      <c r="L26" s="50" t="s">
        <v>187</v>
      </c>
      <c r="M26" s="73" t="s">
        <v>21</v>
      </c>
      <c r="N26" s="54">
        <f t="shared" si="1"/>
        <v>7</v>
      </c>
      <c r="O26" s="167"/>
      <c r="P26" s="203"/>
      <c r="Q26" s="204"/>
      <c r="R26" s="204"/>
      <c r="S26" s="204"/>
      <c r="T26" s="204"/>
      <c r="U26" s="205"/>
    </row>
    <row r="27" spans="1:21" ht="39.200000000000003" customHeight="1">
      <c r="A27" s="85"/>
      <c r="B27" s="37">
        <f t="shared" si="0"/>
        <v>14</v>
      </c>
      <c r="C27" s="145" t="s">
        <v>217</v>
      </c>
      <c r="D27" s="80"/>
      <c r="E27" s="81"/>
      <c r="F27" s="146" t="s">
        <v>218</v>
      </c>
      <c r="G27" s="17"/>
      <c r="H27" s="18" t="s">
        <v>49</v>
      </c>
      <c r="I27" s="59"/>
      <c r="J27" s="19">
        <v>1</v>
      </c>
      <c r="K27" s="19"/>
      <c r="L27" s="50" t="s">
        <v>187</v>
      </c>
      <c r="M27" s="73" t="s">
        <v>21</v>
      </c>
      <c r="N27" s="54">
        <f t="shared" si="1"/>
        <v>1</v>
      </c>
      <c r="O27" s="167"/>
      <c r="P27" s="206" t="s">
        <v>219</v>
      </c>
      <c r="Q27" s="204"/>
      <c r="R27" s="204"/>
      <c r="S27" s="204"/>
      <c r="T27" s="204"/>
      <c r="U27" s="205"/>
    </row>
    <row r="28" spans="1:21" ht="15.75" customHeight="1">
      <c r="A28" s="85"/>
      <c r="B28" s="37">
        <f t="shared" si="0"/>
        <v>15</v>
      </c>
      <c r="C28" s="145" t="s">
        <v>220</v>
      </c>
      <c r="D28" s="80"/>
      <c r="E28" s="81"/>
      <c r="F28" s="146" t="s">
        <v>221</v>
      </c>
      <c r="G28" s="17"/>
      <c r="H28" s="18" t="s">
        <v>209</v>
      </c>
      <c r="I28" s="59"/>
      <c r="J28" s="19">
        <v>4</v>
      </c>
      <c r="K28" s="19"/>
      <c r="L28" s="50" t="s">
        <v>187</v>
      </c>
      <c r="M28" s="73" t="s">
        <v>21</v>
      </c>
      <c r="N28" s="54">
        <f t="shared" si="1"/>
        <v>4</v>
      </c>
      <c r="O28" s="167"/>
      <c r="P28" s="203"/>
      <c r="Q28" s="204"/>
      <c r="R28" s="204"/>
      <c r="S28" s="204"/>
      <c r="T28" s="204"/>
      <c r="U28" s="205"/>
    </row>
    <row r="29" spans="1:21" ht="39.200000000000003" customHeight="1">
      <c r="A29" s="85"/>
      <c r="B29" s="37">
        <f t="shared" si="0"/>
        <v>16</v>
      </c>
      <c r="C29" s="145" t="s">
        <v>222</v>
      </c>
      <c r="D29" s="80"/>
      <c r="E29" s="81"/>
      <c r="F29" s="146" t="s">
        <v>223</v>
      </c>
      <c r="G29" s="17"/>
      <c r="H29" s="18" t="s">
        <v>49</v>
      </c>
      <c r="I29" s="59"/>
      <c r="J29" s="19">
        <v>1</v>
      </c>
      <c r="K29" s="19"/>
      <c r="L29" s="50" t="s">
        <v>187</v>
      </c>
      <c r="M29" s="73" t="s">
        <v>21</v>
      </c>
      <c r="N29" s="54">
        <f t="shared" si="1"/>
        <v>1</v>
      </c>
      <c r="O29" s="167"/>
      <c r="P29" s="206" t="s">
        <v>224</v>
      </c>
      <c r="Q29" s="204"/>
      <c r="R29" s="204"/>
      <c r="S29" s="204"/>
      <c r="T29" s="204"/>
      <c r="U29" s="205"/>
    </row>
    <row r="30" spans="1:21" ht="27.6" customHeight="1">
      <c r="A30" s="85"/>
      <c r="B30" s="37">
        <f t="shared" si="0"/>
        <v>17</v>
      </c>
      <c r="C30" s="145" t="s">
        <v>225</v>
      </c>
      <c r="D30" s="80"/>
      <c r="E30" s="81"/>
      <c r="F30" s="146" t="s">
        <v>226</v>
      </c>
      <c r="G30" s="17"/>
      <c r="H30" s="18" t="s">
        <v>49</v>
      </c>
      <c r="I30" s="59"/>
      <c r="J30" s="19">
        <v>1</v>
      </c>
      <c r="K30" s="19"/>
      <c r="L30" s="50"/>
      <c r="M30" s="73" t="s">
        <v>21</v>
      </c>
      <c r="N30" s="54">
        <f t="shared" si="1"/>
        <v>1</v>
      </c>
      <c r="O30" s="167"/>
      <c r="P30" s="206" t="s">
        <v>227</v>
      </c>
      <c r="Q30" s="204"/>
      <c r="R30" s="204"/>
      <c r="S30" s="204"/>
      <c r="T30" s="204"/>
      <c r="U30" s="205"/>
    </row>
    <row r="31" spans="1:21" ht="39.200000000000003" customHeight="1">
      <c r="A31" s="85"/>
      <c r="B31" s="37">
        <f t="shared" si="0"/>
        <v>18</v>
      </c>
      <c r="C31" s="145" t="s">
        <v>228</v>
      </c>
      <c r="D31" s="80"/>
      <c r="E31" s="81"/>
      <c r="F31" s="146" t="s">
        <v>229</v>
      </c>
      <c r="G31" s="17"/>
      <c r="H31" s="18" t="s">
        <v>49</v>
      </c>
      <c r="I31" s="59"/>
      <c r="J31" s="19">
        <v>1</v>
      </c>
      <c r="K31" s="19"/>
      <c r="L31" s="50"/>
      <c r="M31" s="73" t="s">
        <v>21</v>
      </c>
      <c r="N31" s="54">
        <f t="shared" si="1"/>
        <v>1</v>
      </c>
      <c r="O31" s="167"/>
      <c r="P31" s="206" t="s">
        <v>230</v>
      </c>
      <c r="Q31" s="204"/>
      <c r="R31" s="204"/>
      <c r="S31" s="204"/>
      <c r="T31" s="204"/>
      <c r="U31" s="205"/>
    </row>
    <row r="32" spans="1:21" ht="39.200000000000003" customHeight="1">
      <c r="A32" s="85"/>
      <c r="B32" s="37">
        <f t="shared" si="0"/>
        <v>19</v>
      </c>
      <c r="C32" s="145" t="s">
        <v>231</v>
      </c>
      <c r="D32" s="80"/>
      <c r="E32" s="81"/>
      <c r="F32" s="146" t="s">
        <v>232</v>
      </c>
      <c r="G32" s="17"/>
      <c r="H32" s="18" t="s">
        <v>49</v>
      </c>
      <c r="I32" s="59"/>
      <c r="J32" s="19">
        <v>1</v>
      </c>
      <c r="K32" s="19"/>
      <c r="L32" s="50"/>
      <c r="M32" s="73" t="s">
        <v>21</v>
      </c>
      <c r="N32" s="54">
        <f t="shared" si="1"/>
        <v>1</v>
      </c>
      <c r="O32" s="167"/>
      <c r="P32" s="206" t="s">
        <v>233</v>
      </c>
      <c r="Q32" s="204"/>
      <c r="R32" s="204"/>
      <c r="S32" s="204"/>
      <c r="T32" s="204"/>
      <c r="U32" s="205"/>
    </row>
    <row r="33" spans="1:21" ht="27.6" customHeight="1">
      <c r="A33" s="85"/>
      <c r="B33" s="37">
        <f t="shared" si="0"/>
        <v>20</v>
      </c>
      <c r="C33" s="145" t="s">
        <v>234</v>
      </c>
      <c r="D33" s="80"/>
      <c r="E33" s="81"/>
      <c r="F33" s="146" t="s">
        <v>235</v>
      </c>
      <c r="G33" s="17"/>
      <c r="H33" s="18" t="s">
        <v>49</v>
      </c>
      <c r="I33" s="59"/>
      <c r="J33" s="19">
        <v>1</v>
      </c>
      <c r="K33" s="19"/>
      <c r="L33" s="50"/>
      <c r="M33" s="73" t="s">
        <v>21</v>
      </c>
      <c r="N33" s="54">
        <f t="shared" si="1"/>
        <v>1</v>
      </c>
      <c r="O33" s="167"/>
      <c r="P33" s="206" t="s">
        <v>236</v>
      </c>
      <c r="Q33" s="204"/>
      <c r="R33" s="204"/>
      <c r="S33" s="204"/>
      <c r="T33" s="204"/>
      <c r="U33" s="205"/>
    </row>
    <row r="34" spans="1:21" ht="15.75" customHeight="1">
      <c r="A34" s="85"/>
      <c r="B34" s="37">
        <f t="shared" si="0"/>
        <v>21</v>
      </c>
      <c r="C34" s="145" t="s">
        <v>237</v>
      </c>
      <c r="D34" s="80"/>
      <c r="E34" s="81"/>
      <c r="F34" s="146" t="s">
        <v>238</v>
      </c>
      <c r="G34" s="17"/>
      <c r="H34" s="18" t="s">
        <v>51</v>
      </c>
      <c r="I34" s="59"/>
      <c r="J34" s="19">
        <v>3</v>
      </c>
      <c r="K34" s="19"/>
      <c r="L34" s="50"/>
      <c r="M34" s="73" t="s">
        <v>21</v>
      </c>
      <c r="N34" s="54">
        <f t="shared" si="1"/>
        <v>3</v>
      </c>
      <c r="O34" s="167"/>
      <c r="P34" s="203" t="s">
        <v>200</v>
      </c>
      <c r="Q34" s="204"/>
      <c r="R34" s="204"/>
      <c r="S34" s="204"/>
      <c r="T34" s="204"/>
      <c r="U34" s="205"/>
    </row>
    <row r="35" spans="1:21" ht="15.75" customHeight="1">
      <c r="A35" s="85"/>
      <c r="B35" s="37">
        <f t="shared" si="0"/>
        <v>22</v>
      </c>
      <c r="C35" s="145" t="s">
        <v>239</v>
      </c>
      <c r="D35" s="80"/>
      <c r="E35" s="81"/>
      <c r="F35" s="146" t="s">
        <v>240</v>
      </c>
      <c r="G35" s="17"/>
      <c r="H35" s="18" t="s">
        <v>51</v>
      </c>
      <c r="I35" s="59"/>
      <c r="J35" s="19">
        <v>3</v>
      </c>
      <c r="K35" s="19"/>
      <c r="L35" s="50"/>
      <c r="M35" s="73" t="s">
        <v>21</v>
      </c>
      <c r="N35" s="54">
        <f t="shared" si="1"/>
        <v>3</v>
      </c>
      <c r="O35" s="167"/>
      <c r="P35" s="203"/>
      <c r="Q35" s="204"/>
      <c r="R35" s="204"/>
      <c r="S35" s="204"/>
      <c r="T35" s="204"/>
      <c r="U35" s="205"/>
    </row>
    <row r="36" spans="1:21" ht="15.75" customHeight="1">
      <c r="A36" s="85"/>
      <c r="B36" s="37">
        <f t="shared" si="0"/>
        <v>23</v>
      </c>
      <c r="C36" s="145" t="s">
        <v>241</v>
      </c>
      <c r="D36" s="80"/>
      <c r="E36" s="81"/>
      <c r="F36" s="146" t="s">
        <v>242</v>
      </c>
      <c r="G36" s="17"/>
      <c r="H36" s="18" t="s">
        <v>49</v>
      </c>
      <c r="I36" s="59"/>
      <c r="J36" s="19">
        <v>4</v>
      </c>
      <c r="K36" s="19"/>
      <c r="L36" s="50"/>
      <c r="M36" s="73" t="s">
        <v>21</v>
      </c>
      <c r="N36" s="54">
        <f t="shared" si="1"/>
        <v>4</v>
      </c>
      <c r="O36" s="167"/>
      <c r="P36" s="203"/>
      <c r="Q36" s="204"/>
      <c r="R36" s="204"/>
      <c r="S36" s="204"/>
      <c r="T36" s="204"/>
      <c r="U36" s="205"/>
    </row>
    <row r="37" spans="1:21" ht="15.75" customHeight="1">
      <c r="A37" s="85"/>
      <c r="B37" s="37">
        <f t="shared" si="0"/>
        <v>24</v>
      </c>
      <c r="C37" s="145" t="s">
        <v>243</v>
      </c>
      <c r="D37" s="80"/>
      <c r="E37" s="81"/>
      <c r="F37" s="146" t="s">
        <v>244</v>
      </c>
      <c r="G37" s="17"/>
      <c r="H37" s="18" t="s">
        <v>49</v>
      </c>
      <c r="I37" s="59"/>
      <c r="J37" s="19">
        <v>10</v>
      </c>
      <c r="K37" s="19"/>
      <c r="L37" s="50"/>
      <c r="M37" s="73" t="s">
        <v>21</v>
      </c>
      <c r="N37" s="54">
        <f t="shared" si="1"/>
        <v>10</v>
      </c>
      <c r="O37" s="167"/>
      <c r="P37" s="203"/>
      <c r="Q37" s="204"/>
      <c r="R37" s="204"/>
      <c r="S37" s="204"/>
      <c r="T37" s="204"/>
      <c r="U37" s="205"/>
    </row>
    <row r="38" spans="1:21" ht="15.75" customHeight="1">
      <c r="A38" s="85"/>
      <c r="B38" s="37">
        <f t="shared" si="0"/>
        <v>25</v>
      </c>
      <c r="C38" s="145" t="s">
        <v>245</v>
      </c>
      <c r="D38" s="80"/>
      <c r="E38" s="81"/>
      <c r="F38" s="146" t="s">
        <v>246</v>
      </c>
      <c r="G38" s="17"/>
      <c r="H38" s="18" t="s">
        <v>49</v>
      </c>
      <c r="I38" s="59"/>
      <c r="J38" s="19">
        <v>5</v>
      </c>
      <c r="K38" s="19"/>
      <c r="L38" s="50"/>
      <c r="M38" s="73" t="s">
        <v>21</v>
      </c>
      <c r="N38" s="54">
        <f t="shared" si="1"/>
        <v>5</v>
      </c>
      <c r="O38" s="167"/>
      <c r="P38" s="203"/>
      <c r="Q38" s="204"/>
      <c r="R38" s="204"/>
      <c r="S38" s="204"/>
      <c r="T38" s="204"/>
      <c r="U38" s="205"/>
    </row>
    <row r="39" spans="1:21" ht="15.75" customHeight="1">
      <c r="A39" s="85"/>
      <c r="B39" s="37">
        <f t="shared" si="0"/>
        <v>26</v>
      </c>
      <c r="C39" s="145" t="s">
        <v>247</v>
      </c>
      <c r="D39" s="80"/>
      <c r="E39" s="81"/>
      <c r="F39" s="146" t="s">
        <v>248</v>
      </c>
      <c r="G39" s="17"/>
      <c r="H39" s="18" t="s">
        <v>24</v>
      </c>
      <c r="I39" s="59"/>
      <c r="J39" s="19"/>
      <c r="K39" s="19"/>
      <c r="L39" s="50"/>
      <c r="M39" s="73" t="s">
        <v>21</v>
      </c>
      <c r="N39" s="54">
        <f t="shared" si="1"/>
        <v>7</v>
      </c>
      <c r="O39" s="167"/>
      <c r="P39" s="203"/>
      <c r="Q39" s="204"/>
      <c r="R39" s="204"/>
      <c r="S39" s="204"/>
      <c r="T39" s="204"/>
      <c r="U39" s="205"/>
    </row>
    <row r="40" spans="1:21" ht="15.75" customHeight="1">
      <c r="A40" s="85"/>
      <c r="B40" s="37">
        <f t="shared" si="0"/>
        <v>27</v>
      </c>
      <c r="C40" s="145" t="s">
        <v>249</v>
      </c>
      <c r="D40" s="80"/>
      <c r="E40" s="81"/>
      <c r="F40" s="146" t="s">
        <v>250</v>
      </c>
      <c r="G40" s="17"/>
      <c r="H40" s="18" t="s">
        <v>24</v>
      </c>
      <c r="I40" s="59"/>
      <c r="J40" s="19"/>
      <c r="K40" s="19"/>
      <c r="L40" s="50"/>
      <c r="M40" s="73" t="s">
        <v>21</v>
      </c>
      <c r="N40" s="54">
        <f t="shared" si="1"/>
        <v>7</v>
      </c>
      <c r="O40" s="167"/>
      <c r="P40" s="203"/>
      <c r="Q40" s="204"/>
      <c r="R40" s="204"/>
      <c r="S40" s="204"/>
      <c r="T40" s="204"/>
      <c r="U40" s="205"/>
    </row>
    <row r="41" spans="1:21" ht="15.75" customHeight="1">
      <c r="A41" s="85"/>
      <c r="B41" s="37">
        <f t="shared" si="0"/>
        <v>28</v>
      </c>
      <c r="C41" s="145" t="s">
        <v>251</v>
      </c>
      <c r="D41" s="80"/>
      <c r="E41" s="81"/>
      <c r="F41" s="146" t="s">
        <v>252</v>
      </c>
      <c r="G41" s="17"/>
      <c r="H41" s="18" t="s">
        <v>54</v>
      </c>
      <c r="I41" s="59"/>
      <c r="J41" s="19"/>
      <c r="K41" s="19"/>
      <c r="L41" s="50"/>
      <c r="M41" s="73" t="s">
        <v>21</v>
      </c>
      <c r="N41" s="54">
        <f t="shared" si="1"/>
        <v>0</v>
      </c>
      <c r="O41" s="167"/>
      <c r="P41" s="203"/>
      <c r="Q41" s="204"/>
      <c r="R41" s="204"/>
      <c r="S41" s="204"/>
      <c r="T41" s="204"/>
      <c r="U41" s="205"/>
    </row>
    <row r="42" spans="1:21" ht="15.75" customHeight="1">
      <c r="A42" s="85"/>
      <c r="B42" s="37">
        <f t="shared" si="0"/>
        <v>29</v>
      </c>
      <c r="C42" s="145" t="s">
        <v>253</v>
      </c>
      <c r="D42" s="80"/>
      <c r="E42" s="81"/>
      <c r="F42" s="146" t="s">
        <v>254</v>
      </c>
      <c r="G42" s="17"/>
      <c r="H42" s="18" t="s">
        <v>49</v>
      </c>
      <c r="I42" s="59"/>
      <c r="J42" s="19">
        <v>1</v>
      </c>
      <c r="K42" s="19"/>
      <c r="L42" s="50"/>
      <c r="M42" s="73" t="s">
        <v>21</v>
      </c>
      <c r="N42" s="54">
        <f t="shared" si="1"/>
        <v>1</v>
      </c>
      <c r="O42" s="167"/>
      <c r="P42" s="203" t="s">
        <v>200</v>
      </c>
      <c r="Q42" s="204"/>
      <c r="R42" s="204"/>
      <c r="S42" s="204"/>
      <c r="T42" s="204"/>
      <c r="U42" s="205"/>
    </row>
    <row r="43" spans="1:21" ht="15.75" customHeight="1">
      <c r="A43" s="85"/>
      <c r="B43" s="37">
        <f t="shared" si="0"/>
        <v>30</v>
      </c>
      <c r="C43" s="145" t="s">
        <v>255</v>
      </c>
      <c r="D43" s="80"/>
      <c r="E43" s="81"/>
      <c r="F43" s="146" t="s">
        <v>256</v>
      </c>
      <c r="G43" s="17"/>
      <c r="H43" s="18" t="s">
        <v>51</v>
      </c>
      <c r="I43" s="59"/>
      <c r="J43" s="19">
        <v>11</v>
      </c>
      <c r="K43" s="19"/>
      <c r="L43" s="50"/>
      <c r="M43" s="73" t="s">
        <v>21</v>
      </c>
      <c r="N43" s="54">
        <f t="shared" si="1"/>
        <v>11</v>
      </c>
      <c r="O43" s="167"/>
      <c r="P43" s="203"/>
      <c r="Q43" s="204"/>
      <c r="R43" s="204"/>
      <c r="S43" s="204"/>
      <c r="T43" s="204"/>
      <c r="U43" s="205"/>
    </row>
    <row r="44" spans="1:21" ht="15.75" customHeight="1">
      <c r="A44" s="85"/>
      <c r="B44" s="37">
        <f t="shared" si="0"/>
        <v>31</v>
      </c>
      <c r="C44" s="145" t="s">
        <v>257</v>
      </c>
      <c r="D44" s="80"/>
      <c r="E44" s="81"/>
      <c r="F44" s="146" t="s">
        <v>258</v>
      </c>
      <c r="G44" s="17"/>
      <c r="H44" s="18" t="s">
        <v>49</v>
      </c>
      <c r="I44" s="59"/>
      <c r="J44" s="19">
        <v>7</v>
      </c>
      <c r="K44" s="19"/>
      <c r="L44" s="50"/>
      <c r="M44" s="73" t="s">
        <v>21</v>
      </c>
      <c r="N44" s="54">
        <f t="shared" si="1"/>
        <v>7</v>
      </c>
      <c r="O44" s="167"/>
      <c r="P44" s="203" t="s">
        <v>259</v>
      </c>
      <c r="Q44" s="204"/>
      <c r="R44" s="204"/>
      <c r="S44" s="204"/>
      <c r="T44" s="204"/>
      <c r="U44" s="205"/>
    </row>
    <row r="45" spans="1:21" ht="15.75">
      <c r="A45" s="85"/>
      <c r="B45" s="37">
        <f t="shared" ref="B45:B51" si="2">ROW()-13</f>
        <v>32</v>
      </c>
      <c r="C45" s="107" t="s">
        <v>36</v>
      </c>
      <c r="D45" s="107"/>
      <c r="E45" s="108"/>
      <c r="F45" s="109" t="s">
        <v>78</v>
      </c>
      <c r="G45" s="110"/>
      <c r="H45" s="18" t="s">
        <v>51</v>
      </c>
      <c r="I45" s="59"/>
      <c r="J45" s="113">
        <v>12</v>
      </c>
      <c r="K45" s="113"/>
      <c r="L45" s="114"/>
      <c r="M45" s="115" t="s">
        <v>35</v>
      </c>
      <c r="N45" s="116">
        <f t="shared" si="1"/>
        <v>12</v>
      </c>
      <c r="O45" s="168"/>
      <c r="P45" s="200"/>
      <c r="Q45" s="201"/>
      <c r="R45" s="201"/>
      <c r="S45" s="201"/>
      <c r="T45" s="201"/>
      <c r="U45" s="202"/>
    </row>
    <row r="46" spans="1:21" ht="15.75">
      <c r="A46" s="85"/>
      <c r="B46" s="37">
        <f t="shared" si="2"/>
        <v>33</v>
      </c>
      <c r="C46" s="107" t="s">
        <v>37</v>
      </c>
      <c r="D46" s="107"/>
      <c r="E46" s="108"/>
      <c r="F46" s="109" t="s">
        <v>43</v>
      </c>
      <c r="G46" s="110"/>
      <c r="H46" s="18" t="s">
        <v>51</v>
      </c>
      <c r="I46" s="59"/>
      <c r="J46" s="113">
        <v>10</v>
      </c>
      <c r="K46" s="113"/>
      <c r="L46" s="114"/>
      <c r="M46" s="115" t="s">
        <v>21</v>
      </c>
      <c r="N46" s="116">
        <f t="shared" si="1"/>
        <v>10</v>
      </c>
      <c r="O46" s="168"/>
      <c r="P46" s="200"/>
      <c r="Q46" s="201"/>
      <c r="R46" s="201"/>
      <c r="S46" s="201"/>
      <c r="T46" s="201"/>
      <c r="U46" s="202"/>
    </row>
    <row r="47" spans="1:21" ht="15.75">
      <c r="A47" s="85"/>
      <c r="B47" s="37">
        <f t="shared" si="2"/>
        <v>34</v>
      </c>
      <c r="C47" s="107" t="s">
        <v>38</v>
      </c>
      <c r="D47" s="107"/>
      <c r="E47" s="108"/>
      <c r="F47" s="109" t="s">
        <v>80</v>
      </c>
      <c r="G47" s="110"/>
      <c r="H47" s="18" t="s">
        <v>86</v>
      </c>
      <c r="I47" s="59"/>
      <c r="J47" s="113"/>
      <c r="K47" s="113"/>
      <c r="L47" s="114"/>
      <c r="M47" s="115" t="s">
        <v>21</v>
      </c>
      <c r="N47" s="116">
        <f t="shared" si="1"/>
        <v>0</v>
      </c>
      <c r="O47" s="168"/>
      <c r="P47" s="200"/>
      <c r="Q47" s="201"/>
      <c r="R47" s="201"/>
      <c r="S47" s="201"/>
      <c r="T47" s="201"/>
      <c r="U47" s="202"/>
    </row>
    <row r="48" spans="1:21" ht="15.75">
      <c r="A48" s="85"/>
      <c r="B48" s="37">
        <f t="shared" si="2"/>
        <v>35</v>
      </c>
      <c r="C48" s="107" t="s">
        <v>39</v>
      </c>
      <c r="D48" s="107"/>
      <c r="E48" s="108"/>
      <c r="F48" s="109" t="s">
        <v>79</v>
      </c>
      <c r="G48" s="110"/>
      <c r="H48" s="18" t="s">
        <v>51</v>
      </c>
      <c r="I48" s="59"/>
      <c r="J48" s="113">
        <v>12</v>
      </c>
      <c r="K48" s="113"/>
      <c r="L48" s="114"/>
      <c r="M48" s="115" t="s">
        <v>35</v>
      </c>
      <c r="N48" s="116">
        <f t="shared" si="1"/>
        <v>12</v>
      </c>
      <c r="O48" s="168"/>
      <c r="P48" s="200"/>
      <c r="Q48" s="201"/>
      <c r="R48" s="201"/>
      <c r="S48" s="201"/>
      <c r="T48" s="201"/>
      <c r="U48" s="202"/>
    </row>
    <row r="49" spans="1:21" ht="15.75">
      <c r="A49" s="85"/>
      <c r="B49" s="37">
        <f t="shared" si="2"/>
        <v>36</v>
      </c>
      <c r="C49" s="107" t="s">
        <v>40</v>
      </c>
      <c r="D49" s="107"/>
      <c r="E49" s="108"/>
      <c r="F49" s="109" t="s">
        <v>44</v>
      </c>
      <c r="G49" s="110"/>
      <c r="H49" s="18" t="s">
        <v>51</v>
      </c>
      <c r="I49" s="59"/>
      <c r="J49" s="113">
        <v>10</v>
      </c>
      <c r="K49" s="113"/>
      <c r="L49" s="114"/>
      <c r="M49" s="115" t="s">
        <v>21</v>
      </c>
      <c r="N49" s="116">
        <f t="shared" si="1"/>
        <v>10</v>
      </c>
      <c r="O49" s="168"/>
      <c r="P49" s="200"/>
      <c r="Q49" s="201"/>
      <c r="R49" s="201"/>
      <c r="S49" s="201"/>
      <c r="T49" s="201"/>
      <c r="U49" s="202"/>
    </row>
    <row r="50" spans="1:21" ht="15.75">
      <c r="A50" s="85"/>
      <c r="B50" s="37">
        <f t="shared" si="2"/>
        <v>37</v>
      </c>
      <c r="C50" s="107" t="s">
        <v>41</v>
      </c>
      <c r="D50" s="107"/>
      <c r="E50" s="108"/>
      <c r="F50" s="109" t="s">
        <v>81</v>
      </c>
      <c r="G50" s="110"/>
      <c r="H50" s="18" t="s">
        <v>86</v>
      </c>
      <c r="I50" s="59"/>
      <c r="J50" s="113"/>
      <c r="K50" s="113"/>
      <c r="L50" s="114"/>
      <c r="M50" s="115" t="s">
        <v>21</v>
      </c>
      <c r="N50" s="116">
        <f t="shared" si="1"/>
        <v>0</v>
      </c>
      <c r="O50" s="168"/>
      <c r="P50" s="200"/>
      <c r="Q50" s="201"/>
      <c r="R50" s="201"/>
      <c r="S50" s="201"/>
      <c r="T50" s="201"/>
      <c r="U50" s="202"/>
    </row>
    <row r="51" spans="1:21" ht="15.75">
      <c r="A51" s="85"/>
      <c r="B51" s="37">
        <f t="shared" si="2"/>
        <v>38</v>
      </c>
      <c r="C51" s="80" t="s">
        <v>46</v>
      </c>
      <c r="D51" s="80"/>
      <c r="E51" s="81"/>
      <c r="F51" s="84" t="s">
        <v>71</v>
      </c>
      <c r="G51" s="17"/>
      <c r="H51" s="18" t="s">
        <v>62</v>
      </c>
      <c r="I51" s="59"/>
      <c r="J51" s="19">
        <v>8</v>
      </c>
      <c r="K51" s="19"/>
      <c r="L51" s="50" t="s">
        <v>47</v>
      </c>
      <c r="M51" s="73" t="s">
        <v>35</v>
      </c>
      <c r="N51" s="54">
        <f t="shared" si="1"/>
        <v>8</v>
      </c>
      <c r="O51" s="167">
        <v>0</v>
      </c>
      <c r="P51" s="203" t="s">
        <v>48</v>
      </c>
      <c r="Q51" s="204"/>
      <c r="R51" s="204"/>
      <c r="S51" s="204"/>
      <c r="T51" s="204"/>
      <c r="U51" s="205"/>
    </row>
    <row r="52" spans="1:21" ht="16.5" thickBot="1">
      <c r="A52" s="118"/>
      <c r="B52" s="119"/>
      <c r="C52" s="120"/>
      <c r="D52" s="120"/>
      <c r="E52" s="121"/>
      <c r="F52" s="129"/>
      <c r="G52" s="122"/>
      <c r="H52" s="147"/>
      <c r="I52" s="148"/>
      <c r="J52" s="125"/>
      <c r="K52" s="125"/>
      <c r="L52" s="126"/>
      <c r="M52" s="126"/>
      <c r="N52" s="127"/>
      <c r="O52" s="169"/>
      <c r="P52" s="197"/>
      <c r="Q52" s="198"/>
      <c r="R52" s="198"/>
      <c r="S52" s="198"/>
      <c r="T52" s="198"/>
      <c r="U52" s="199"/>
    </row>
  </sheetData>
  <mergeCells count="69">
    <mergeCell ref="O1:U1"/>
    <mergeCell ref="J2:K2"/>
    <mergeCell ref="L2:M2"/>
    <mergeCell ref="O2:U2"/>
    <mergeCell ref="J3:K3"/>
    <mergeCell ref="L3:M3"/>
    <mergeCell ref="O3:U3"/>
    <mergeCell ref="J4:K4"/>
    <mergeCell ref="L4:M4"/>
    <mergeCell ref="O4:U4"/>
    <mergeCell ref="J5:K5"/>
    <mergeCell ref="L5:M5"/>
    <mergeCell ref="O5:U5"/>
    <mergeCell ref="E10:H10"/>
    <mergeCell ref="O10:U10"/>
    <mergeCell ref="E6:H6"/>
    <mergeCell ref="K6:M6"/>
    <mergeCell ref="O6:U6"/>
    <mergeCell ref="E7:H7"/>
    <mergeCell ref="K7:M7"/>
    <mergeCell ref="O7:U7"/>
    <mergeCell ref="E8:H8"/>
    <mergeCell ref="K8:M8"/>
    <mergeCell ref="O8:U8"/>
    <mergeCell ref="E9:H9"/>
    <mergeCell ref="O9:U9"/>
    <mergeCell ref="P21:U21"/>
    <mergeCell ref="E11:H11"/>
    <mergeCell ref="O11:U11"/>
    <mergeCell ref="O12:U12"/>
    <mergeCell ref="P13:U13"/>
    <mergeCell ref="P14:U14"/>
    <mergeCell ref="P15:U15"/>
    <mergeCell ref="P16:U16"/>
    <mergeCell ref="P17:U17"/>
    <mergeCell ref="P18:U18"/>
    <mergeCell ref="P19:U19"/>
    <mergeCell ref="P20:U20"/>
    <mergeCell ref="P33:U33"/>
    <mergeCell ref="P22:U22"/>
    <mergeCell ref="P23:U23"/>
    <mergeCell ref="P24:U24"/>
    <mergeCell ref="P25:U25"/>
    <mergeCell ref="P26:U26"/>
    <mergeCell ref="P27:U27"/>
    <mergeCell ref="P28:U28"/>
    <mergeCell ref="P29:U29"/>
    <mergeCell ref="P30:U30"/>
    <mergeCell ref="P31:U31"/>
    <mergeCell ref="P32:U32"/>
    <mergeCell ref="P45:U45"/>
    <mergeCell ref="P34:U34"/>
    <mergeCell ref="P35:U35"/>
    <mergeCell ref="P36:U36"/>
    <mergeCell ref="P37:U37"/>
    <mergeCell ref="P38:U38"/>
    <mergeCell ref="P39:U39"/>
    <mergeCell ref="P40:U40"/>
    <mergeCell ref="P41:U41"/>
    <mergeCell ref="P42:U42"/>
    <mergeCell ref="P43:U43"/>
    <mergeCell ref="P44:U44"/>
    <mergeCell ref="P52:U52"/>
    <mergeCell ref="P46:U46"/>
    <mergeCell ref="P47:U47"/>
    <mergeCell ref="P48:U48"/>
    <mergeCell ref="P49:U49"/>
    <mergeCell ref="P50:U50"/>
    <mergeCell ref="P51:U51"/>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18434"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18435"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18436"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18437"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18438"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EA5F61C3-2F0A-4C1C-ADFB-EB81640FB6C3}">
            <xm:f>(AND(H14&lt;&gt;"",ISERROR(VLOOKUP(H14,system!$E:$E,1,FALSE))))</xm:f>
            <x14:dxf>
              <fill>
                <patternFill patternType="solid">
                  <bgColor rgb="FFFF0000"/>
                </patternFill>
              </fill>
            </x14:dxf>
          </x14:cfRule>
          <xm:sqref>H14:H44</xm:sqref>
        </x14:conditionalFormatting>
        <x14:conditionalFormatting xmlns:xm="http://schemas.microsoft.com/office/excel/2006/main">
          <x14:cfRule type="expression" priority="3" id="{99006DC4-B134-4EB7-BD8F-AC7C7E6C5DEB}">
            <xm:f>(AND(H14&lt;&gt;"",ISERROR(VLOOKUP(H14,system!$E:$E,1,FALSE))))</xm:f>
            <x14:dxf>
              <fill>
                <patternFill>
                  <bgColor rgb="FFFF0000"/>
                </patternFill>
              </fill>
            </x14:dxf>
          </x14:cfRule>
          <xm:sqref>I14:I44</xm:sqref>
        </x14:conditionalFormatting>
        <x14:conditionalFormatting xmlns:xm="http://schemas.microsoft.com/office/excel/2006/main">
          <x14:cfRule type="expression" priority="2" id="{9953DCD1-5BB6-400C-8AAE-BDEA446DB4C3}">
            <xm:f>(AND(H45&lt;&gt;"",ISERROR(VLOOKUP(H45,system!$E:$E,1,FALSE))))</xm:f>
            <x14:dxf>
              <fill>
                <patternFill patternType="solid">
                  <bgColor rgb="FFFF0000"/>
                </patternFill>
              </fill>
            </x14:dxf>
          </x14:cfRule>
          <xm:sqref>H45:H52</xm:sqref>
        </x14:conditionalFormatting>
        <x14:conditionalFormatting xmlns:xm="http://schemas.microsoft.com/office/excel/2006/main">
          <x14:cfRule type="expression" priority="1" id="{48F77964-D135-424C-AD53-D82483393E1C}">
            <xm:f>(AND(H45&lt;&gt;"",ISERROR(VLOOKUP(H45,system!$E:$E,1,FALSE))))</xm:f>
            <x14:dxf>
              <fill>
                <patternFill>
                  <bgColor rgb="FFFF0000"/>
                </patternFill>
              </fill>
            </x14:dxf>
          </x14:cfRule>
          <xm:sqref>I45:I52</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pageSetUpPr fitToPage="1"/>
  </sheetPr>
  <dimension ref="A1:U50"/>
  <sheetViews>
    <sheetView showGridLines="0" zoomScaleNormal="100" workbookViewId="0">
      <pane ySplit="13" topLeftCell="A14" activePane="bottomLeft" state="frozen"/>
      <selection activeCell="D13" sqref="D13"/>
      <selection pane="bottomLeft" activeCell="M13" sqref="M13"/>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7" t="s">
        <v>27</v>
      </c>
      <c r="P1" s="248"/>
      <c r="Q1" s="248"/>
      <c r="R1" s="248"/>
      <c r="S1" s="248"/>
      <c r="T1" s="248"/>
      <c r="U1" s="249"/>
    </row>
    <row r="2" spans="1:21" ht="14.45" customHeight="1">
      <c r="A2" s="39"/>
      <c r="B2" s="100" t="s">
        <v>64</v>
      </c>
      <c r="C2" s="5"/>
      <c r="D2" s="5"/>
      <c r="E2" s="5"/>
      <c r="F2" s="5"/>
      <c r="G2" s="6"/>
      <c r="H2" s="7"/>
      <c r="I2" s="8"/>
      <c r="J2" s="250"/>
      <c r="K2" s="251"/>
      <c r="L2" s="250"/>
      <c r="M2" s="251"/>
      <c r="N2" s="52"/>
      <c r="O2" s="252" t="s">
        <v>263</v>
      </c>
      <c r="P2" s="253"/>
      <c r="Q2" s="253"/>
      <c r="R2" s="253"/>
      <c r="S2" s="253"/>
      <c r="T2" s="253"/>
      <c r="U2" s="254"/>
    </row>
    <row r="3" spans="1:21" ht="14.25" customHeight="1">
      <c r="A3" s="40"/>
      <c r="B3" s="35"/>
      <c r="C3" s="5"/>
      <c r="D3" s="5"/>
      <c r="E3" s="5"/>
      <c r="F3" s="5"/>
      <c r="G3" s="9"/>
      <c r="H3" s="10"/>
      <c r="I3" s="176" t="s">
        <v>1032</v>
      </c>
      <c r="J3" s="255" t="s">
        <v>1032</v>
      </c>
      <c r="K3" s="256"/>
      <c r="L3" s="255" t="s">
        <v>1032</v>
      </c>
      <c r="M3" s="256"/>
      <c r="N3" s="52"/>
      <c r="O3" s="257"/>
      <c r="P3" s="258"/>
      <c r="Q3" s="258"/>
      <c r="R3" s="258"/>
      <c r="S3" s="258"/>
      <c r="T3" s="258"/>
      <c r="U3" s="259"/>
    </row>
    <row r="4" spans="1:21" ht="14.45" customHeight="1">
      <c r="A4" s="41"/>
      <c r="B4" s="36" t="s">
        <v>3</v>
      </c>
      <c r="C4" s="5"/>
      <c r="D4" s="5"/>
      <c r="E4" s="5"/>
      <c r="F4" s="5"/>
      <c r="G4" s="6"/>
      <c r="H4" s="10"/>
      <c r="I4" s="177" t="s">
        <v>1035</v>
      </c>
      <c r="J4" s="240" t="s">
        <v>1034</v>
      </c>
      <c r="K4" s="241"/>
      <c r="L4" s="240" t="s">
        <v>1033</v>
      </c>
      <c r="M4" s="241"/>
      <c r="N4" s="52"/>
      <c r="O4" s="210"/>
      <c r="P4" s="211"/>
      <c r="Q4" s="211"/>
      <c r="R4" s="211"/>
      <c r="S4" s="211"/>
      <c r="T4" s="211"/>
      <c r="U4" s="212"/>
    </row>
    <row r="5" spans="1:21" ht="14.45" customHeight="1" thickBot="1">
      <c r="A5" s="42"/>
      <c r="B5" s="11"/>
      <c r="C5" s="11"/>
      <c r="D5" s="11"/>
      <c r="E5" s="11"/>
      <c r="F5" s="11"/>
      <c r="G5" s="12"/>
      <c r="H5" s="13"/>
      <c r="I5" s="14"/>
      <c r="J5" s="242"/>
      <c r="K5" s="243"/>
      <c r="L5" s="244"/>
      <c r="M5" s="245"/>
      <c r="N5" s="53"/>
      <c r="O5" s="246"/>
      <c r="P5" s="211"/>
      <c r="Q5" s="211"/>
      <c r="R5" s="211"/>
      <c r="S5" s="211"/>
      <c r="T5" s="211"/>
      <c r="U5" s="212"/>
    </row>
    <row r="6" spans="1:21" ht="14.45" customHeight="1">
      <c r="A6" s="43"/>
      <c r="B6" s="101" t="s">
        <v>4</v>
      </c>
      <c r="C6" s="20"/>
      <c r="D6" s="21"/>
      <c r="E6" s="222" t="s">
        <v>65</v>
      </c>
      <c r="F6" s="223"/>
      <c r="G6" s="223"/>
      <c r="H6" s="224"/>
      <c r="I6" s="60" t="s">
        <v>26</v>
      </c>
      <c r="J6" s="26"/>
      <c r="K6" s="225" t="s">
        <v>33</v>
      </c>
      <c r="L6" s="226"/>
      <c r="M6" s="227"/>
      <c r="N6" s="91" t="s">
        <v>5</v>
      </c>
      <c r="O6" s="210"/>
      <c r="P6" s="211"/>
      <c r="Q6" s="211"/>
      <c r="R6" s="211"/>
      <c r="S6" s="211"/>
      <c r="T6" s="211"/>
      <c r="U6" s="212"/>
    </row>
    <row r="7" spans="1:21" ht="15.75" customHeight="1">
      <c r="A7" s="44"/>
      <c r="B7" s="102" t="s">
        <v>6</v>
      </c>
      <c r="C7" s="22"/>
      <c r="D7" s="23"/>
      <c r="E7" s="228" t="s">
        <v>131</v>
      </c>
      <c r="F7" s="229"/>
      <c r="G7" s="229"/>
      <c r="H7" s="230"/>
      <c r="I7" s="61" t="s">
        <v>28</v>
      </c>
      <c r="J7" s="27"/>
      <c r="K7" s="231" t="s">
        <v>34</v>
      </c>
      <c r="L7" s="232"/>
      <c r="M7" s="233"/>
      <c r="N7" s="92">
        <f>COUNTIF(H14:H14,"LONG")+COUNTIF(H14:H14,"LONG RAW")</f>
        <v>0</v>
      </c>
      <c r="O7" s="210"/>
      <c r="P7" s="211"/>
      <c r="Q7" s="211"/>
      <c r="R7" s="211"/>
      <c r="S7" s="211"/>
      <c r="T7" s="211"/>
      <c r="U7" s="212"/>
    </row>
    <row r="8" spans="1:21" ht="14.45" customHeight="1">
      <c r="A8" s="45"/>
      <c r="B8" s="22" t="s">
        <v>7</v>
      </c>
      <c r="C8" s="22"/>
      <c r="D8" s="23"/>
      <c r="E8" s="228" t="s">
        <v>260</v>
      </c>
      <c r="F8" s="229"/>
      <c r="G8" s="229"/>
      <c r="H8" s="230"/>
      <c r="I8" s="62"/>
      <c r="J8" s="27"/>
      <c r="K8" s="234"/>
      <c r="L8" s="235"/>
      <c r="M8" s="236"/>
      <c r="N8" s="92"/>
      <c r="O8" s="210"/>
      <c r="P8" s="211"/>
      <c r="Q8" s="211"/>
      <c r="R8" s="211"/>
      <c r="S8" s="211"/>
      <c r="T8" s="211"/>
      <c r="U8" s="212"/>
    </row>
    <row r="9" spans="1:21" ht="14.45" customHeight="1">
      <c r="A9" s="45"/>
      <c r="B9" s="22" t="s">
        <v>8</v>
      </c>
      <c r="C9" s="22"/>
      <c r="D9" s="23"/>
      <c r="E9" s="237" t="s">
        <v>68</v>
      </c>
      <c r="F9" s="238"/>
      <c r="G9" s="238"/>
      <c r="H9" s="239"/>
      <c r="I9" s="61" t="s">
        <v>9</v>
      </c>
      <c r="J9" s="27"/>
      <c r="K9" s="86"/>
      <c r="L9" s="88">
        <f>SUM(N14:N51)</f>
        <v>210</v>
      </c>
      <c r="M9" s="82"/>
      <c r="N9" s="93">
        <f>SUMIF(M14:M14,"■",N14:N14)</f>
        <v>0</v>
      </c>
      <c r="O9" s="210"/>
      <c r="P9" s="211"/>
      <c r="Q9" s="211"/>
      <c r="R9" s="211"/>
      <c r="S9" s="211"/>
      <c r="T9" s="211"/>
      <c r="U9" s="212"/>
    </row>
    <row r="10" spans="1:21" ht="14.45" customHeight="1">
      <c r="A10" s="45"/>
      <c r="B10" s="22" t="s">
        <v>10</v>
      </c>
      <c r="C10" s="22"/>
      <c r="D10" s="23"/>
      <c r="E10" s="219" t="s">
        <v>68</v>
      </c>
      <c r="F10" s="220"/>
      <c r="G10" s="220"/>
      <c r="H10" s="221"/>
      <c r="I10" s="61" t="s">
        <v>11</v>
      </c>
      <c r="J10" s="27"/>
      <c r="K10" s="86"/>
      <c r="L10" s="89">
        <f>E11*L9/1000</f>
        <v>0</v>
      </c>
      <c r="M10" s="82"/>
      <c r="N10" s="55"/>
      <c r="O10" s="210"/>
      <c r="P10" s="211"/>
      <c r="Q10" s="211"/>
      <c r="R10" s="211"/>
      <c r="S10" s="211"/>
      <c r="T10" s="211"/>
      <c r="U10" s="212"/>
    </row>
    <row r="11" spans="1:21" ht="17.25" customHeight="1" thickBot="1">
      <c r="A11" s="46"/>
      <c r="B11" s="24" t="s">
        <v>29</v>
      </c>
      <c r="C11" s="24"/>
      <c r="D11" s="25"/>
      <c r="E11" s="207"/>
      <c r="F11" s="208"/>
      <c r="G11" s="208"/>
      <c r="H11" s="209"/>
      <c r="I11" s="103" t="s">
        <v>12</v>
      </c>
      <c r="J11" s="104"/>
      <c r="K11" s="87"/>
      <c r="L11" s="90"/>
      <c r="M11" s="83"/>
      <c r="N11" s="56"/>
      <c r="O11" s="210"/>
      <c r="P11" s="211"/>
      <c r="Q11" s="211"/>
      <c r="R11" s="211"/>
      <c r="S11" s="211"/>
      <c r="T11" s="211"/>
      <c r="U11" s="212"/>
    </row>
    <row r="12" spans="1:21" ht="15.75" customHeight="1" thickBot="1">
      <c r="A12" s="64"/>
      <c r="B12" s="65"/>
      <c r="C12" s="30"/>
      <c r="D12" s="30"/>
      <c r="E12" s="31"/>
      <c r="F12" s="32"/>
      <c r="G12" s="29"/>
      <c r="H12" s="28"/>
      <c r="I12" s="29"/>
      <c r="J12" s="30" t="s">
        <v>13</v>
      </c>
      <c r="K12" s="31"/>
      <c r="L12" s="66"/>
      <c r="M12" s="48"/>
      <c r="N12" s="57">
        <f>COUNTA(H14:H14)</f>
        <v>1</v>
      </c>
      <c r="O12" s="213"/>
      <c r="P12" s="214"/>
      <c r="Q12" s="214"/>
      <c r="R12" s="214"/>
      <c r="S12" s="214"/>
      <c r="T12" s="214"/>
      <c r="U12" s="21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16" t="s">
        <v>32</v>
      </c>
      <c r="Q13" s="217"/>
      <c r="R13" s="217"/>
      <c r="S13" s="217"/>
      <c r="T13" s="217"/>
      <c r="U13" s="218"/>
    </row>
    <row r="14" spans="1:21" ht="15.75" customHeight="1">
      <c r="A14" s="85" t="s">
        <v>188</v>
      </c>
      <c r="B14" s="37">
        <f t="shared" ref="B14:B42" si="0">ROW()-13</f>
        <v>1</v>
      </c>
      <c r="C14" s="145" t="s">
        <v>186</v>
      </c>
      <c r="D14" s="80"/>
      <c r="E14" s="81"/>
      <c r="F14" s="146" t="s">
        <v>1029</v>
      </c>
      <c r="G14" s="17"/>
      <c r="H14" s="18" t="s">
        <v>49</v>
      </c>
      <c r="I14" s="59"/>
      <c r="J14" s="19">
        <v>1</v>
      </c>
      <c r="K14" s="19"/>
      <c r="L14" s="50" t="s">
        <v>187</v>
      </c>
      <c r="M14" s="73" t="s">
        <v>21</v>
      </c>
      <c r="N14" s="54">
        <f t="shared" ref="N14:N49" si="1">IF(H14="NUMBER",IF(J14&gt;0,INT((J14+1)/2+0.9),0),IF(H14="DATE",7,IF(OR(H14="LONG",H14="LONG RAW"),100000,J14)))</f>
        <v>1</v>
      </c>
      <c r="O14" s="167"/>
      <c r="P14" s="203" t="s">
        <v>174</v>
      </c>
      <c r="Q14" s="204"/>
      <c r="R14" s="204"/>
      <c r="S14" s="204"/>
      <c r="T14" s="204"/>
      <c r="U14" s="205"/>
    </row>
    <row r="15" spans="1:21" ht="15.75" customHeight="1">
      <c r="A15" s="85" t="s">
        <v>188</v>
      </c>
      <c r="B15" s="37">
        <f t="shared" si="0"/>
        <v>2</v>
      </c>
      <c r="C15" s="145" t="s">
        <v>257</v>
      </c>
      <c r="D15" s="80"/>
      <c r="E15" s="81"/>
      <c r="F15" s="146" t="s">
        <v>258</v>
      </c>
      <c r="G15" s="17"/>
      <c r="H15" s="18" t="s">
        <v>49</v>
      </c>
      <c r="I15" s="59"/>
      <c r="J15" s="19">
        <v>7</v>
      </c>
      <c r="K15" s="19"/>
      <c r="L15" s="50" t="s">
        <v>187</v>
      </c>
      <c r="M15" s="73" t="s">
        <v>21</v>
      </c>
      <c r="N15" s="54">
        <f t="shared" si="1"/>
        <v>7</v>
      </c>
      <c r="O15" s="167"/>
      <c r="P15" s="203"/>
      <c r="Q15" s="204"/>
      <c r="R15" s="204"/>
      <c r="S15" s="204"/>
      <c r="T15" s="204"/>
      <c r="U15" s="205"/>
    </row>
    <row r="16" spans="1:21" ht="39.200000000000003" customHeight="1">
      <c r="A16" s="85"/>
      <c r="B16" s="37">
        <f t="shared" si="0"/>
        <v>3</v>
      </c>
      <c r="C16" s="145" t="s">
        <v>264</v>
      </c>
      <c r="D16" s="80"/>
      <c r="E16" s="81"/>
      <c r="F16" s="146" t="s">
        <v>265</v>
      </c>
      <c r="G16" s="17"/>
      <c r="H16" s="18" t="s">
        <v>49</v>
      </c>
      <c r="I16" s="59"/>
      <c r="J16" s="19">
        <v>1</v>
      </c>
      <c r="K16" s="19"/>
      <c r="L16" s="50" t="s">
        <v>187</v>
      </c>
      <c r="M16" s="73" t="s">
        <v>21</v>
      </c>
      <c r="N16" s="54">
        <f t="shared" si="1"/>
        <v>1</v>
      </c>
      <c r="O16" s="167"/>
      <c r="P16" s="206" t="s">
        <v>266</v>
      </c>
      <c r="Q16" s="204"/>
      <c r="R16" s="204"/>
      <c r="S16" s="204"/>
      <c r="T16" s="204"/>
      <c r="U16" s="205"/>
    </row>
    <row r="17" spans="1:21" ht="15.75" customHeight="1">
      <c r="A17" s="85"/>
      <c r="B17" s="37">
        <f t="shared" si="0"/>
        <v>4</v>
      </c>
      <c r="C17" s="145" t="s">
        <v>191</v>
      </c>
      <c r="D17" s="80"/>
      <c r="E17" s="81"/>
      <c r="F17" s="146" t="s">
        <v>192</v>
      </c>
      <c r="G17" s="17"/>
      <c r="H17" s="18" t="s">
        <v>49</v>
      </c>
      <c r="I17" s="59"/>
      <c r="J17" s="19">
        <v>3</v>
      </c>
      <c r="K17" s="19"/>
      <c r="L17" s="50"/>
      <c r="M17" s="73" t="s">
        <v>21</v>
      </c>
      <c r="N17" s="54">
        <f t="shared" si="1"/>
        <v>3</v>
      </c>
      <c r="O17" s="167"/>
      <c r="P17" s="203" t="s">
        <v>163</v>
      </c>
      <c r="Q17" s="204"/>
      <c r="R17" s="204"/>
      <c r="S17" s="204"/>
      <c r="T17" s="204"/>
      <c r="U17" s="205"/>
    </row>
    <row r="18" spans="1:21" ht="15.75" customHeight="1">
      <c r="A18" s="85"/>
      <c r="B18" s="37">
        <f t="shared" si="0"/>
        <v>5</v>
      </c>
      <c r="C18" s="145" t="s">
        <v>193</v>
      </c>
      <c r="D18" s="80"/>
      <c r="E18" s="81"/>
      <c r="F18" s="146" t="s">
        <v>194</v>
      </c>
      <c r="G18" s="17"/>
      <c r="H18" s="18" t="s">
        <v>49</v>
      </c>
      <c r="I18" s="59"/>
      <c r="J18" s="19">
        <v>12</v>
      </c>
      <c r="K18" s="19"/>
      <c r="L18" s="50"/>
      <c r="M18" s="73" t="s">
        <v>21</v>
      </c>
      <c r="N18" s="54">
        <f t="shared" si="1"/>
        <v>12</v>
      </c>
      <c r="O18" s="167"/>
      <c r="P18" s="203"/>
      <c r="Q18" s="204"/>
      <c r="R18" s="204"/>
      <c r="S18" s="204"/>
      <c r="T18" s="204"/>
      <c r="U18" s="205"/>
    </row>
    <row r="19" spans="1:21" ht="15.75" customHeight="1">
      <c r="A19" s="85"/>
      <c r="B19" s="37">
        <f t="shared" si="0"/>
        <v>6</v>
      </c>
      <c r="C19" s="145" t="s">
        <v>195</v>
      </c>
      <c r="D19" s="80"/>
      <c r="E19" s="81"/>
      <c r="F19" s="146" t="s">
        <v>1058</v>
      </c>
      <c r="G19" s="17"/>
      <c r="H19" s="18" t="s">
        <v>49</v>
      </c>
      <c r="I19" s="59"/>
      <c r="J19" s="19">
        <v>1</v>
      </c>
      <c r="K19" s="19"/>
      <c r="L19" s="50" t="s">
        <v>187</v>
      </c>
      <c r="M19" s="73" t="s">
        <v>21</v>
      </c>
      <c r="N19" s="54">
        <f t="shared" si="1"/>
        <v>1</v>
      </c>
      <c r="O19" s="167"/>
      <c r="P19" s="203" t="s">
        <v>174</v>
      </c>
      <c r="Q19" s="204"/>
      <c r="R19" s="204"/>
      <c r="S19" s="204"/>
      <c r="T19" s="204"/>
      <c r="U19" s="205"/>
    </row>
    <row r="20" spans="1:21" ht="15.75" customHeight="1">
      <c r="A20" s="85"/>
      <c r="B20" s="37">
        <f t="shared" si="0"/>
        <v>7</v>
      </c>
      <c r="C20" s="145" t="s">
        <v>196</v>
      </c>
      <c r="D20" s="80"/>
      <c r="E20" s="81"/>
      <c r="F20" s="146" t="s">
        <v>197</v>
      </c>
      <c r="G20" s="17"/>
      <c r="H20" s="18" t="s">
        <v>51</v>
      </c>
      <c r="I20" s="59"/>
      <c r="J20" s="19">
        <v>25</v>
      </c>
      <c r="K20" s="19"/>
      <c r="L20" s="50" t="s">
        <v>187</v>
      </c>
      <c r="M20" s="73" t="s">
        <v>21</v>
      </c>
      <c r="N20" s="54">
        <f t="shared" si="1"/>
        <v>25</v>
      </c>
      <c r="O20" s="167"/>
      <c r="P20" s="203"/>
      <c r="Q20" s="204"/>
      <c r="R20" s="204"/>
      <c r="S20" s="204"/>
      <c r="T20" s="204"/>
      <c r="U20" s="205"/>
    </row>
    <row r="21" spans="1:21" ht="15.75" customHeight="1">
      <c r="A21" s="85"/>
      <c r="B21" s="37">
        <f t="shared" si="0"/>
        <v>8</v>
      </c>
      <c r="C21" s="145" t="s">
        <v>198</v>
      </c>
      <c r="D21" s="80"/>
      <c r="E21" s="81"/>
      <c r="F21" s="146" t="s">
        <v>199</v>
      </c>
      <c r="G21" s="17"/>
      <c r="H21" s="18" t="s">
        <v>51</v>
      </c>
      <c r="I21" s="59"/>
      <c r="J21" s="19">
        <v>4</v>
      </c>
      <c r="K21" s="19"/>
      <c r="L21" s="50" t="s">
        <v>187</v>
      </c>
      <c r="M21" s="73" t="s">
        <v>21</v>
      </c>
      <c r="N21" s="54">
        <f t="shared" si="1"/>
        <v>4</v>
      </c>
      <c r="O21" s="167"/>
      <c r="P21" s="203" t="s">
        <v>200</v>
      </c>
      <c r="Q21" s="204"/>
      <c r="R21" s="204"/>
      <c r="S21" s="204"/>
      <c r="T21" s="204"/>
      <c r="U21" s="205"/>
    </row>
    <row r="22" spans="1:21" ht="62.85" customHeight="1">
      <c r="A22" s="85"/>
      <c r="B22" s="37">
        <f t="shared" si="0"/>
        <v>9</v>
      </c>
      <c r="C22" s="145" t="s">
        <v>201</v>
      </c>
      <c r="D22" s="80"/>
      <c r="E22" s="81"/>
      <c r="F22" s="146" t="s">
        <v>202</v>
      </c>
      <c r="G22" s="17"/>
      <c r="H22" s="18" t="s">
        <v>49</v>
      </c>
      <c r="I22" s="59"/>
      <c r="J22" s="19">
        <v>1</v>
      </c>
      <c r="K22" s="19"/>
      <c r="L22" s="50" t="s">
        <v>187</v>
      </c>
      <c r="M22" s="73" t="s">
        <v>21</v>
      </c>
      <c r="N22" s="54">
        <f t="shared" si="1"/>
        <v>1</v>
      </c>
      <c r="O22" s="167"/>
      <c r="P22" s="206" t="s">
        <v>267</v>
      </c>
      <c r="Q22" s="204"/>
      <c r="R22" s="204"/>
      <c r="S22" s="204"/>
      <c r="T22" s="204"/>
      <c r="U22" s="205"/>
    </row>
    <row r="23" spans="1:21" ht="27.6" customHeight="1">
      <c r="A23" s="85"/>
      <c r="B23" s="37">
        <f t="shared" si="0"/>
        <v>10</v>
      </c>
      <c r="C23" s="145" t="s">
        <v>204</v>
      </c>
      <c r="D23" s="80"/>
      <c r="E23" s="81"/>
      <c r="F23" s="146" t="s">
        <v>205</v>
      </c>
      <c r="G23" s="17"/>
      <c r="H23" s="18" t="s">
        <v>49</v>
      </c>
      <c r="I23" s="59"/>
      <c r="J23" s="19">
        <v>1</v>
      </c>
      <c r="K23" s="19"/>
      <c r="L23" s="50" t="s">
        <v>187</v>
      </c>
      <c r="M23" s="73" t="s">
        <v>21</v>
      </c>
      <c r="N23" s="54">
        <f t="shared" si="1"/>
        <v>1</v>
      </c>
      <c r="O23" s="167"/>
      <c r="P23" s="206" t="s">
        <v>206</v>
      </c>
      <c r="Q23" s="204"/>
      <c r="R23" s="204"/>
      <c r="S23" s="204"/>
      <c r="T23" s="204"/>
      <c r="U23" s="205"/>
    </row>
    <row r="24" spans="1:21" ht="15.75" customHeight="1">
      <c r="A24" s="85"/>
      <c r="B24" s="37">
        <f t="shared" si="0"/>
        <v>11</v>
      </c>
      <c r="C24" s="145" t="s">
        <v>207</v>
      </c>
      <c r="D24" s="80"/>
      <c r="E24" s="81"/>
      <c r="F24" s="146" t="s">
        <v>208</v>
      </c>
      <c r="G24" s="17"/>
      <c r="H24" s="18" t="s">
        <v>209</v>
      </c>
      <c r="I24" s="59"/>
      <c r="J24" s="19"/>
      <c r="K24" s="19"/>
      <c r="L24" s="50"/>
      <c r="M24" s="73" t="s">
        <v>21</v>
      </c>
      <c r="N24" s="54">
        <f t="shared" si="1"/>
        <v>0</v>
      </c>
      <c r="O24" s="167"/>
      <c r="P24" s="203"/>
      <c r="Q24" s="204"/>
      <c r="R24" s="204"/>
      <c r="S24" s="204"/>
      <c r="T24" s="204"/>
      <c r="U24" s="205"/>
    </row>
    <row r="25" spans="1:21" ht="15.75" customHeight="1">
      <c r="A25" s="85"/>
      <c r="B25" s="37">
        <f t="shared" si="0"/>
        <v>12</v>
      </c>
      <c r="C25" s="145" t="s">
        <v>213</v>
      </c>
      <c r="D25" s="80"/>
      <c r="E25" s="81"/>
      <c r="F25" s="146" t="s">
        <v>214</v>
      </c>
      <c r="G25" s="17"/>
      <c r="H25" s="18" t="s">
        <v>49</v>
      </c>
      <c r="I25" s="59"/>
      <c r="J25" s="19">
        <v>1</v>
      </c>
      <c r="K25" s="19"/>
      <c r="L25" s="50"/>
      <c r="M25" s="73" t="s">
        <v>21</v>
      </c>
      <c r="N25" s="54">
        <f t="shared" si="1"/>
        <v>1</v>
      </c>
      <c r="O25" s="167"/>
      <c r="P25" s="203" t="s">
        <v>200</v>
      </c>
      <c r="Q25" s="204"/>
      <c r="R25" s="204"/>
      <c r="S25" s="204"/>
      <c r="T25" s="204"/>
      <c r="U25" s="205"/>
    </row>
    <row r="26" spans="1:21" ht="15.75" customHeight="1">
      <c r="A26" s="85"/>
      <c r="B26" s="37">
        <f t="shared" si="0"/>
        <v>13</v>
      </c>
      <c r="C26" s="145" t="s">
        <v>215</v>
      </c>
      <c r="D26" s="80"/>
      <c r="E26" s="81"/>
      <c r="F26" s="146" t="s">
        <v>216</v>
      </c>
      <c r="G26" s="17"/>
      <c r="H26" s="18" t="s">
        <v>24</v>
      </c>
      <c r="I26" s="59"/>
      <c r="J26" s="19"/>
      <c r="K26" s="19"/>
      <c r="L26" s="50" t="s">
        <v>187</v>
      </c>
      <c r="M26" s="73" t="s">
        <v>21</v>
      </c>
      <c r="N26" s="54">
        <f t="shared" si="1"/>
        <v>7</v>
      </c>
      <c r="O26" s="167"/>
      <c r="P26" s="203"/>
      <c r="Q26" s="204"/>
      <c r="R26" s="204"/>
      <c r="S26" s="204"/>
      <c r="T26" s="204"/>
      <c r="U26" s="205"/>
    </row>
    <row r="27" spans="1:21" ht="39.200000000000003" customHeight="1">
      <c r="A27" s="85"/>
      <c r="B27" s="37">
        <f t="shared" si="0"/>
        <v>14</v>
      </c>
      <c r="C27" s="145" t="s">
        <v>217</v>
      </c>
      <c r="D27" s="80"/>
      <c r="E27" s="81"/>
      <c r="F27" s="146" t="s">
        <v>218</v>
      </c>
      <c r="G27" s="17"/>
      <c r="H27" s="18" t="s">
        <v>49</v>
      </c>
      <c r="I27" s="59"/>
      <c r="J27" s="19">
        <v>1</v>
      </c>
      <c r="K27" s="19"/>
      <c r="L27" s="50" t="s">
        <v>187</v>
      </c>
      <c r="M27" s="73" t="s">
        <v>21</v>
      </c>
      <c r="N27" s="54">
        <f t="shared" si="1"/>
        <v>1</v>
      </c>
      <c r="O27" s="167"/>
      <c r="P27" s="206" t="s">
        <v>219</v>
      </c>
      <c r="Q27" s="204"/>
      <c r="R27" s="204"/>
      <c r="S27" s="204"/>
      <c r="T27" s="204"/>
      <c r="U27" s="205"/>
    </row>
    <row r="28" spans="1:21" ht="15.75" customHeight="1">
      <c r="A28" s="85"/>
      <c r="B28" s="37">
        <f t="shared" si="0"/>
        <v>15</v>
      </c>
      <c r="C28" s="145" t="s">
        <v>220</v>
      </c>
      <c r="D28" s="80"/>
      <c r="E28" s="81"/>
      <c r="F28" s="146" t="s">
        <v>221</v>
      </c>
      <c r="G28" s="17"/>
      <c r="H28" s="18" t="s">
        <v>209</v>
      </c>
      <c r="I28" s="59"/>
      <c r="J28" s="19"/>
      <c r="K28" s="19"/>
      <c r="L28" s="50" t="s">
        <v>187</v>
      </c>
      <c r="M28" s="73" t="s">
        <v>21</v>
      </c>
      <c r="N28" s="54">
        <f t="shared" si="1"/>
        <v>0</v>
      </c>
      <c r="O28" s="167"/>
      <c r="P28" s="203"/>
      <c r="Q28" s="204"/>
      <c r="R28" s="204"/>
      <c r="S28" s="204"/>
      <c r="T28" s="204"/>
      <c r="U28" s="205"/>
    </row>
    <row r="29" spans="1:21" ht="15.75" customHeight="1">
      <c r="A29" s="85"/>
      <c r="B29" s="37">
        <f t="shared" si="0"/>
        <v>16</v>
      </c>
      <c r="C29" s="145" t="s">
        <v>268</v>
      </c>
      <c r="D29" s="80"/>
      <c r="E29" s="81"/>
      <c r="F29" s="146" t="s">
        <v>269</v>
      </c>
      <c r="G29" s="17"/>
      <c r="H29" s="18" t="s">
        <v>24</v>
      </c>
      <c r="I29" s="59"/>
      <c r="J29" s="19"/>
      <c r="K29" s="19"/>
      <c r="L29" s="50"/>
      <c r="M29" s="73" t="s">
        <v>21</v>
      </c>
      <c r="N29" s="54">
        <f t="shared" si="1"/>
        <v>7</v>
      </c>
      <c r="O29" s="167"/>
      <c r="P29" s="203"/>
      <c r="Q29" s="204"/>
      <c r="R29" s="204"/>
      <c r="S29" s="204"/>
      <c r="T29" s="204"/>
      <c r="U29" s="205"/>
    </row>
    <row r="30" spans="1:21" ht="15.75" customHeight="1">
      <c r="A30" s="85"/>
      <c r="B30" s="37">
        <f t="shared" si="0"/>
        <v>17</v>
      </c>
      <c r="C30" s="145" t="s">
        <v>270</v>
      </c>
      <c r="D30" s="80"/>
      <c r="E30" s="81"/>
      <c r="F30" s="146" t="s">
        <v>271</v>
      </c>
      <c r="G30" s="17"/>
      <c r="H30" s="18" t="s">
        <v>54</v>
      </c>
      <c r="I30" s="59"/>
      <c r="J30" s="19"/>
      <c r="K30" s="19"/>
      <c r="L30" s="50"/>
      <c r="M30" s="73" t="s">
        <v>21</v>
      </c>
      <c r="N30" s="54">
        <f t="shared" si="1"/>
        <v>0</v>
      </c>
      <c r="O30" s="167"/>
      <c r="P30" s="203"/>
      <c r="Q30" s="204"/>
      <c r="R30" s="204"/>
      <c r="S30" s="204"/>
      <c r="T30" s="204"/>
      <c r="U30" s="205"/>
    </row>
    <row r="31" spans="1:21" ht="39.200000000000003" customHeight="1">
      <c r="A31" s="85"/>
      <c r="B31" s="37">
        <f t="shared" si="0"/>
        <v>18</v>
      </c>
      <c r="C31" s="145" t="s">
        <v>272</v>
      </c>
      <c r="D31" s="80"/>
      <c r="E31" s="81"/>
      <c r="F31" s="146" t="s">
        <v>273</v>
      </c>
      <c r="G31" s="17"/>
      <c r="H31" s="18" t="s">
        <v>49</v>
      </c>
      <c r="I31" s="59"/>
      <c r="J31" s="19">
        <v>1</v>
      </c>
      <c r="K31" s="19"/>
      <c r="L31" s="50" t="s">
        <v>187</v>
      </c>
      <c r="M31" s="73" t="s">
        <v>21</v>
      </c>
      <c r="N31" s="54">
        <f t="shared" si="1"/>
        <v>1</v>
      </c>
      <c r="O31" s="167"/>
      <c r="P31" s="206" t="s">
        <v>219</v>
      </c>
      <c r="Q31" s="204"/>
      <c r="R31" s="204"/>
      <c r="S31" s="204"/>
      <c r="T31" s="204"/>
      <c r="U31" s="205"/>
    </row>
    <row r="32" spans="1:21" ht="27.6" customHeight="1">
      <c r="A32" s="85"/>
      <c r="B32" s="37">
        <f t="shared" si="0"/>
        <v>19</v>
      </c>
      <c r="C32" s="145" t="s">
        <v>225</v>
      </c>
      <c r="D32" s="80"/>
      <c r="E32" s="81"/>
      <c r="F32" s="146" t="s">
        <v>226</v>
      </c>
      <c r="G32" s="17"/>
      <c r="H32" s="18" t="s">
        <v>49</v>
      </c>
      <c r="I32" s="59"/>
      <c r="J32" s="19">
        <v>1</v>
      </c>
      <c r="K32" s="19"/>
      <c r="L32" s="50" t="s">
        <v>187</v>
      </c>
      <c r="M32" s="73" t="s">
        <v>21</v>
      </c>
      <c r="N32" s="54">
        <f t="shared" si="1"/>
        <v>1</v>
      </c>
      <c r="O32" s="167"/>
      <c r="P32" s="206" t="s">
        <v>274</v>
      </c>
      <c r="Q32" s="204"/>
      <c r="R32" s="204"/>
      <c r="S32" s="204"/>
      <c r="T32" s="204"/>
      <c r="U32" s="205"/>
    </row>
    <row r="33" spans="1:21" ht="15.75" customHeight="1">
      <c r="A33" s="85"/>
      <c r="B33" s="37">
        <f t="shared" si="0"/>
        <v>20</v>
      </c>
      <c r="C33" s="145" t="s">
        <v>275</v>
      </c>
      <c r="D33" s="80"/>
      <c r="E33" s="81"/>
      <c r="F33" s="146" t="s">
        <v>276</v>
      </c>
      <c r="G33" s="17"/>
      <c r="H33" s="18" t="s">
        <v>51</v>
      </c>
      <c r="I33" s="59"/>
      <c r="J33" s="19">
        <v>3</v>
      </c>
      <c r="K33" s="19"/>
      <c r="L33" s="50"/>
      <c r="M33" s="73" t="s">
        <v>21</v>
      </c>
      <c r="N33" s="54">
        <f t="shared" si="1"/>
        <v>3</v>
      </c>
      <c r="O33" s="167"/>
      <c r="P33" s="203"/>
      <c r="Q33" s="204"/>
      <c r="R33" s="204"/>
      <c r="S33" s="204"/>
      <c r="T33" s="204"/>
      <c r="U33" s="205"/>
    </row>
    <row r="34" spans="1:21" ht="15.75" customHeight="1">
      <c r="A34" s="85"/>
      <c r="B34" s="37">
        <f t="shared" si="0"/>
        <v>21</v>
      </c>
      <c r="C34" s="145" t="s">
        <v>277</v>
      </c>
      <c r="D34" s="80"/>
      <c r="E34" s="81"/>
      <c r="F34" s="146" t="s">
        <v>278</v>
      </c>
      <c r="G34" s="17"/>
      <c r="H34" s="18" t="s">
        <v>49</v>
      </c>
      <c r="I34" s="59"/>
      <c r="J34" s="19">
        <v>4</v>
      </c>
      <c r="K34" s="19"/>
      <c r="L34" s="50"/>
      <c r="M34" s="73" t="s">
        <v>21</v>
      </c>
      <c r="N34" s="54">
        <f t="shared" si="1"/>
        <v>4</v>
      </c>
      <c r="O34" s="167"/>
      <c r="P34" s="203"/>
      <c r="Q34" s="204"/>
      <c r="R34" s="204"/>
      <c r="S34" s="204"/>
      <c r="T34" s="204"/>
      <c r="U34" s="205"/>
    </row>
    <row r="35" spans="1:21" ht="15.75" customHeight="1">
      <c r="A35" s="85"/>
      <c r="B35" s="37">
        <f t="shared" si="0"/>
        <v>22</v>
      </c>
      <c r="C35" s="145" t="s">
        <v>279</v>
      </c>
      <c r="D35" s="80"/>
      <c r="E35" s="81"/>
      <c r="F35" s="146" t="s">
        <v>280</v>
      </c>
      <c r="G35" s="17"/>
      <c r="H35" s="18" t="s">
        <v>49</v>
      </c>
      <c r="I35" s="59"/>
      <c r="J35" s="19">
        <v>10</v>
      </c>
      <c r="K35" s="19"/>
      <c r="L35" s="50"/>
      <c r="M35" s="73" t="s">
        <v>21</v>
      </c>
      <c r="N35" s="54">
        <f t="shared" si="1"/>
        <v>10</v>
      </c>
      <c r="O35" s="167"/>
      <c r="P35" s="203"/>
      <c r="Q35" s="204"/>
      <c r="R35" s="204"/>
      <c r="S35" s="204"/>
      <c r="T35" s="204"/>
      <c r="U35" s="205"/>
    </row>
    <row r="36" spans="1:21" ht="15.75" customHeight="1">
      <c r="A36" s="85"/>
      <c r="B36" s="37">
        <f t="shared" si="0"/>
        <v>23</v>
      </c>
      <c r="C36" s="145" t="s">
        <v>281</v>
      </c>
      <c r="D36" s="80"/>
      <c r="E36" s="81"/>
      <c r="F36" s="146" t="s">
        <v>282</v>
      </c>
      <c r="G36" s="17"/>
      <c r="H36" s="18" t="s">
        <v>49</v>
      </c>
      <c r="I36" s="59"/>
      <c r="J36" s="19">
        <v>5</v>
      </c>
      <c r="K36" s="19"/>
      <c r="L36" s="50"/>
      <c r="M36" s="73" t="s">
        <v>21</v>
      </c>
      <c r="N36" s="54">
        <f t="shared" si="1"/>
        <v>5</v>
      </c>
      <c r="O36" s="167"/>
      <c r="P36" s="203"/>
      <c r="Q36" s="204"/>
      <c r="R36" s="204"/>
      <c r="S36" s="204"/>
      <c r="T36" s="204"/>
      <c r="U36" s="205"/>
    </row>
    <row r="37" spans="1:21" ht="15.75" customHeight="1">
      <c r="A37" s="85"/>
      <c r="B37" s="37">
        <f t="shared" si="0"/>
        <v>24</v>
      </c>
      <c r="C37" s="145" t="s">
        <v>283</v>
      </c>
      <c r="D37" s="80"/>
      <c r="E37" s="81"/>
      <c r="F37" s="146" t="s">
        <v>284</v>
      </c>
      <c r="G37" s="17"/>
      <c r="H37" s="18" t="s">
        <v>49</v>
      </c>
      <c r="I37" s="59"/>
      <c r="J37" s="19">
        <v>1</v>
      </c>
      <c r="K37" s="19"/>
      <c r="L37" s="50"/>
      <c r="M37" s="73" t="s">
        <v>21</v>
      </c>
      <c r="N37" s="54">
        <f t="shared" si="1"/>
        <v>1</v>
      </c>
      <c r="O37" s="167"/>
      <c r="P37" s="203"/>
      <c r="Q37" s="204"/>
      <c r="R37" s="204"/>
      <c r="S37" s="204"/>
      <c r="T37" s="204"/>
      <c r="U37" s="205"/>
    </row>
    <row r="38" spans="1:21" ht="15.75" customHeight="1">
      <c r="A38" s="85"/>
      <c r="B38" s="37">
        <f t="shared" si="0"/>
        <v>25</v>
      </c>
      <c r="C38" s="145" t="s">
        <v>285</v>
      </c>
      <c r="D38" s="80"/>
      <c r="E38" s="81"/>
      <c r="F38" s="146" t="s">
        <v>286</v>
      </c>
      <c r="G38" s="17"/>
      <c r="H38" s="18" t="s">
        <v>49</v>
      </c>
      <c r="I38" s="59"/>
      <c r="J38" s="19">
        <v>1</v>
      </c>
      <c r="K38" s="19"/>
      <c r="L38" s="50"/>
      <c r="M38" s="73" t="s">
        <v>21</v>
      </c>
      <c r="N38" s="54">
        <f t="shared" si="1"/>
        <v>1</v>
      </c>
      <c r="O38" s="167"/>
      <c r="P38" s="203" t="s">
        <v>200</v>
      </c>
      <c r="Q38" s="204"/>
      <c r="R38" s="204"/>
      <c r="S38" s="204"/>
      <c r="T38" s="204"/>
      <c r="U38" s="205"/>
    </row>
    <row r="39" spans="1:21" ht="15.75" customHeight="1">
      <c r="A39" s="85"/>
      <c r="B39" s="37">
        <f t="shared" si="0"/>
        <v>26</v>
      </c>
      <c r="C39" s="145" t="s">
        <v>287</v>
      </c>
      <c r="D39" s="80"/>
      <c r="E39" s="81"/>
      <c r="F39" s="146" t="s">
        <v>288</v>
      </c>
      <c r="G39" s="17"/>
      <c r="H39" s="18" t="s">
        <v>24</v>
      </c>
      <c r="I39" s="59"/>
      <c r="J39" s="19"/>
      <c r="K39" s="19"/>
      <c r="L39" s="50"/>
      <c r="M39" s="73" t="s">
        <v>21</v>
      </c>
      <c r="N39" s="54">
        <f t="shared" si="1"/>
        <v>7</v>
      </c>
      <c r="O39" s="167"/>
      <c r="P39" s="203"/>
      <c r="Q39" s="204"/>
      <c r="R39" s="204"/>
      <c r="S39" s="204"/>
      <c r="T39" s="204"/>
      <c r="U39" s="205"/>
    </row>
    <row r="40" spans="1:21" ht="15.75" customHeight="1">
      <c r="A40" s="85"/>
      <c r="B40" s="37">
        <f t="shared" si="0"/>
        <v>27</v>
      </c>
      <c r="C40" s="145" t="s">
        <v>289</v>
      </c>
      <c r="D40" s="80"/>
      <c r="E40" s="81"/>
      <c r="F40" s="146" t="s">
        <v>290</v>
      </c>
      <c r="G40" s="17"/>
      <c r="H40" s="18" t="s">
        <v>54</v>
      </c>
      <c r="I40" s="59"/>
      <c r="J40" s="19"/>
      <c r="K40" s="19"/>
      <c r="L40" s="50"/>
      <c r="M40" s="73" t="s">
        <v>21</v>
      </c>
      <c r="N40" s="54">
        <f t="shared" si="1"/>
        <v>0</v>
      </c>
      <c r="O40" s="167"/>
      <c r="P40" s="203"/>
      <c r="Q40" s="204"/>
      <c r="R40" s="204"/>
      <c r="S40" s="204"/>
      <c r="T40" s="204"/>
      <c r="U40" s="205"/>
    </row>
    <row r="41" spans="1:21" ht="15.75" customHeight="1">
      <c r="A41" s="85"/>
      <c r="B41" s="37">
        <f t="shared" si="0"/>
        <v>28</v>
      </c>
      <c r="C41" s="145" t="s">
        <v>291</v>
      </c>
      <c r="D41" s="80"/>
      <c r="E41" s="81"/>
      <c r="F41" s="146" t="s">
        <v>292</v>
      </c>
      <c r="G41" s="17"/>
      <c r="H41" s="18" t="s">
        <v>49</v>
      </c>
      <c r="I41" s="59"/>
      <c r="J41" s="19">
        <v>3</v>
      </c>
      <c r="K41" s="19"/>
      <c r="L41" s="50"/>
      <c r="M41" s="73" t="s">
        <v>21</v>
      </c>
      <c r="N41" s="54">
        <f t="shared" si="1"/>
        <v>3</v>
      </c>
      <c r="O41" s="167"/>
      <c r="P41" s="203"/>
      <c r="Q41" s="204"/>
      <c r="R41" s="204"/>
      <c r="S41" s="204"/>
      <c r="T41" s="204"/>
      <c r="U41" s="205"/>
    </row>
    <row r="42" spans="1:21" ht="15.75" customHeight="1">
      <c r="A42" s="85"/>
      <c r="B42" s="37">
        <f t="shared" si="0"/>
        <v>29</v>
      </c>
      <c r="C42" s="145" t="s">
        <v>293</v>
      </c>
      <c r="D42" s="80"/>
      <c r="E42" s="81"/>
      <c r="F42" s="146" t="s">
        <v>294</v>
      </c>
      <c r="G42" s="17"/>
      <c r="H42" s="18" t="s">
        <v>51</v>
      </c>
      <c r="I42" s="59"/>
      <c r="J42" s="19">
        <v>50</v>
      </c>
      <c r="K42" s="19"/>
      <c r="L42" s="50"/>
      <c r="M42" s="73" t="s">
        <v>21</v>
      </c>
      <c r="N42" s="54">
        <f t="shared" si="1"/>
        <v>50</v>
      </c>
      <c r="O42" s="167"/>
      <c r="P42" s="203" t="s">
        <v>295</v>
      </c>
      <c r="Q42" s="204"/>
      <c r="R42" s="204"/>
      <c r="S42" s="204"/>
      <c r="T42" s="204"/>
      <c r="U42" s="205"/>
    </row>
    <row r="43" spans="1:21" ht="15.75">
      <c r="A43" s="85"/>
      <c r="B43" s="37">
        <f t="shared" ref="B43:B49" si="2">ROW()-13</f>
        <v>30</v>
      </c>
      <c r="C43" s="107" t="s">
        <v>36</v>
      </c>
      <c r="D43" s="107"/>
      <c r="E43" s="108"/>
      <c r="F43" s="109" t="s">
        <v>78</v>
      </c>
      <c r="G43" s="110"/>
      <c r="H43" s="18" t="s">
        <v>51</v>
      </c>
      <c r="I43" s="59"/>
      <c r="J43" s="113">
        <v>12</v>
      </c>
      <c r="K43" s="113"/>
      <c r="L43" s="114"/>
      <c r="M43" s="115" t="s">
        <v>35</v>
      </c>
      <c r="N43" s="116">
        <f t="shared" si="1"/>
        <v>12</v>
      </c>
      <c r="O43" s="168"/>
      <c r="P43" s="200"/>
      <c r="Q43" s="201"/>
      <c r="R43" s="201"/>
      <c r="S43" s="201"/>
      <c r="T43" s="201"/>
      <c r="U43" s="202"/>
    </row>
    <row r="44" spans="1:21" ht="15.75">
      <c r="A44" s="85"/>
      <c r="B44" s="37">
        <f t="shared" si="2"/>
        <v>31</v>
      </c>
      <c r="C44" s="107" t="s">
        <v>37</v>
      </c>
      <c r="D44" s="107"/>
      <c r="E44" s="108"/>
      <c r="F44" s="109" t="s">
        <v>43</v>
      </c>
      <c r="G44" s="110"/>
      <c r="H44" s="18" t="s">
        <v>51</v>
      </c>
      <c r="I44" s="59"/>
      <c r="J44" s="113">
        <v>10</v>
      </c>
      <c r="K44" s="113"/>
      <c r="L44" s="114"/>
      <c r="M44" s="115" t="s">
        <v>21</v>
      </c>
      <c r="N44" s="116">
        <f t="shared" si="1"/>
        <v>10</v>
      </c>
      <c r="O44" s="168"/>
      <c r="P44" s="200"/>
      <c r="Q44" s="201"/>
      <c r="R44" s="201"/>
      <c r="S44" s="201"/>
      <c r="T44" s="201"/>
      <c r="U44" s="202"/>
    </row>
    <row r="45" spans="1:21" ht="15.75">
      <c r="A45" s="85"/>
      <c r="B45" s="37">
        <f t="shared" si="2"/>
        <v>32</v>
      </c>
      <c r="C45" s="107" t="s">
        <v>38</v>
      </c>
      <c r="D45" s="107"/>
      <c r="E45" s="108"/>
      <c r="F45" s="109" t="s">
        <v>80</v>
      </c>
      <c r="G45" s="110"/>
      <c r="H45" s="18" t="s">
        <v>86</v>
      </c>
      <c r="I45" s="59"/>
      <c r="J45" s="113"/>
      <c r="K45" s="113"/>
      <c r="L45" s="114"/>
      <c r="M45" s="115" t="s">
        <v>21</v>
      </c>
      <c r="N45" s="116">
        <f t="shared" si="1"/>
        <v>0</v>
      </c>
      <c r="O45" s="168"/>
      <c r="P45" s="200"/>
      <c r="Q45" s="201"/>
      <c r="R45" s="201"/>
      <c r="S45" s="201"/>
      <c r="T45" s="201"/>
      <c r="U45" s="202"/>
    </row>
    <row r="46" spans="1:21" ht="15.75">
      <c r="A46" s="85"/>
      <c r="B46" s="37">
        <f t="shared" si="2"/>
        <v>33</v>
      </c>
      <c r="C46" s="107" t="s">
        <v>39</v>
      </c>
      <c r="D46" s="107"/>
      <c r="E46" s="108"/>
      <c r="F46" s="109" t="s">
        <v>79</v>
      </c>
      <c r="G46" s="110"/>
      <c r="H46" s="18" t="s">
        <v>51</v>
      </c>
      <c r="I46" s="59"/>
      <c r="J46" s="113">
        <v>12</v>
      </c>
      <c r="K46" s="113"/>
      <c r="L46" s="114"/>
      <c r="M46" s="115" t="s">
        <v>35</v>
      </c>
      <c r="N46" s="116">
        <f t="shared" si="1"/>
        <v>12</v>
      </c>
      <c r="O46" s="168"/>
      <c r="P46" s="200"/>
      <c r="Q46" s="201"/>
      <c r="R46" s="201"/>
      <c r="S46" s="201"/>
      <c r="T46" s="201"/>
      <c r="U46" s="202"/>
    </row>
    <row r="47" spans="1:21" ht="15.75">
      <c r="A47" s="85"/>
      <c r="B47" s="37">
        <f t="shared" si="2"/>
        <v>34</v>
      </c>
      <c r="C47" s="107" t="s">
        <v>40</v>
      </c>
      <c r="D47" s="107"/>
      <c r="E47" s="108"/>
      <c r="F47" s="109" t="s">
        <v>44</v>
      </c>
      <c r="G47" s="110"/>
      <c r="H47" s="18" t="s">
        <v>51</v>
      </c>
      <c r="I47" s="59"/>
      <c r="J47" s="113">
        <v>10</v>
      </c>
      <c r="K47" s="113"/>
      <c r="L47" s="114"/>
      <c r="M47" s="115" t="s">
        <v>21</v>
      </c>
      <c r="N47" s="116">
        <f t="shared" si="1"/>
        <v>10</v>
      </c>
      <c r="O47" s="168"/>
      <c r="P47" s="200"/>
      <c r="Q47" s="201"/>
      <c r="R47" s="201"/>
      <c r="S47" s="201"/>
      <c r="T47" s="201"/>
      <c r="U47" s="202"/>
    </row>
    <row r="48" spans="1:21" ht="15.75">
      <c r="A48" s="85"/>
      <c r="B48" s="37">
        <f t="shared" si="2"/>
        <v>35</v>
      </c>
      <c r="C48" s="107" t="s">
        <v>41</v>
      </c>
      <c r="D48" s="107"/>
      <c r="E48" s="108"/>
      <c r="F48" s="109" t="s">
        <v>81</v>
      </c>
      <c r="G48" s="110"/>
      <c r="H48" s="18" t="s">
        <v>86</v>
      </c>
      <c r="I48" s="59"/>
      <c r="J48" s="113"/>
      <c r="K48" s="113"/>
      <c r="L48" s="114"/>
      <c r="M48" s="115" t="s">
        <v>21</v>
      </c>
      <c r="N48" s="116">
        <f t="shared" si="1"/>
        <v>0</v>
      </c>
      <c r="O48" s="168"/>
      <c r="P48" s="200"/>
      <c r="Q48" s="201"/>
      <c r="R48" s="201"/>
      <c r="S48" s="201"/>
      <c r="T48" s="201"/>
      <c r="U48" s="202"/>
    </row>
    <row r="49" spans="1:21" ht="15.75">
      <c r="A49" s="85"/>
      <c r="B49" s="37">
        <f t="shared" si="2"/>
        <v>36</v>
      </c>
      <c r="C49" s="80" t="s">
        <v>46</v>
      </c>
      <c r="D49" s="80"/>
      <c r="E49" s="81"/>
      <c r="F49" s="84" t="s">
        <v>71</v>
      </c>
      <c r="G49" s="17"/>
      <c r="H49" s="18" t="s">
        <v>62</v>
      </c>
      <c r="I49" s="59"/>
      <c r="J49" s="19">
        <v>8</v>
      </c>
      <c r="K49" s="19"/>
      <c r="L49" s="50" t="s">
        <v>47</v>
      </c>
      <c r="M49" s="73" t="s">
        <v>35</v>
      </c>
      <c r="N49" s="54">
        <f t="shared" si="1"/>
        <v>8</v>
      </c>
      <c r="O49" s="167">
        <v>0</v>
      </c>
      <c r="P49" s="203" t="s">
        <v>48</v>
      </c>
      <c r="Q49" s="204"/>
      <c r="R49" s="204"/>
      <c r="S49" s="204"/>
      <c r="T49" s="204"/>
      <c r="U49" s="205"/>
    </row>
    <row r="50" spans="1:21" ht="16.5" thickBot="1">
      <c r="A50" s="118"/>
      <c r="B50" s="119"/>
      <c r="C50" s="120"/>
      <c r="D50" s="120"/>
      <c r="E50" s="121"/>
      <c r="F50" s="129"/>
      <c r="G50" s="122"/>
      <c r="H50" s="147"/>
      <c r="I50" s="148"/>
      <c r="J50" s="125"/>
      <c r="K50" s="125"/>
      <c r="L50" s="126"/>
      <c r="M50" s="126"/>
      <c r="N50" s="127"/>
      <c r="O50" s="169"/>
      <c r="P50" s="197"/>
      <c r="Q50" s="198"/>
      <c r="R50" s="198"/>
      <c r="S50" s="198"/>
      <c r="T50" s="198"/>
      <c r="U50" s="199"/>
    </row>
  </sheetData>
  <mergeCells count="67">
    <mergeCell ref="O1:U1"/>
    <mergeCell ref="J2:K2"/>
    <mergeCell ref="L2:M2"/>
    <mergeCell ref="O2:U2"/>
    <mergeCell ref="J3:K3"/>
    <mergeCell ref="L3:M3"/>
    <mergeCell ref="O3:U3"/>
    <mergeCell ref="J4:K4"/>
    <mergeCell ref="L4:M4"/>
    <mergeCell ref="O4:U4"/>
    <mergeCell ref="J5:K5"/>
    <mergeCell ref="L5:M5"/>
    <mergeCell ref="O5:U5"/>
    <mergeCell ref="E10:H10"/>
    <mergeCell ref="O10:U10"/>
    <mergeCell ref="E6:H6"/>
    <mergeCell ref="K6:M6"/>
    <mergeCell ref="O6:U6"/>
    <mergeCell ref="E7:H7"/>
    <mergeCell ref="K7:M7"/>
    <mergeCell ref="O7:U7"/>
    <mergeCell ref="E8:H8"/>
    <mergeCell ref="K8:M8"/>
    <mergeCell ref="O8:U8"/>
    <mergeCell ref="E9:H9"/>
    <mergeCell ref="O9:U9"/>
    <mergeCell ref="P21:U21"/>
    <mergeCell ref="E11:H11"/>
    <mergeCell ref="O11:U11"/>
    <mergeCell ref="O12:U12"/>
    <mergeCell ref="P13:U13"/>
    <mergeCell ref="P14:U14"/>
    <mergeCell ref="P15:U15"/>
    <mergeCell ref="P16:U16"/>
    <mergeCell ref="P17:U17"/>
    <mergeCell ref="P18:U18"/>
    <mergeCell ref="P19:U19"/>
    <mergeCell ref="P20:U20"/>
    <mergeCell ref="P33:U33"/>
    <mergeCell ref="P22:U22"/>
    <mergeCell ref="P23:U23"/>
    <mergeCell ref="P24:U24"/>
    <mergeCell ref="P25:U25"/>
    <mergeCell ref="P26:U26"/>
    <mergeCell ref="P27:U27"/>
    <mergeCell ref="P28:U28"/>
    <mergeCell ref="P29:U29"/>
    <mergeCell ref="P30:U30"/>
    <mergeCell ref="P31:U31"/>
    <mergeCell ref="P32:U32"/>
    <mergeCell ref="P45:U45"/>
    <mergeCell ref="P34:U34"/>
    <mergeCell ref="P35:U35"/>
    <mergeCell ref="P36:U36"/>
    <mergeCell ref="P37:U37"/>
    <mergeCell ref="P38:U38"/>
    <mergeCell ref="P39:U39"/>
    <mergeCell ref="P40:U40"/>
    <mergeCell ref="P41:U41"/>
    <mergeCell ref="P42:U42"/>
    <mergeCell ref="P43:U43"/>
    <mergeCell ref="P44:U44"/>
    <mergeCell ref="P46:U46"/>
    <mergeCell ref="P47:U47"/>
    <mergeCell ref="P48:U48"/>
    <mergeCell ref="P49:U49"/>
    <mergeCell ref="P50:U50"/>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457"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19458"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19459"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19460"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19461"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19462"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20DAC265-AEC4-43F4-BBDB-93B819C3C1EB}">
            <xm:f>(AND(H14&lt;&gt;"",ISERROR(VLOOKUP(H14,system!$E:$E,1,FALSE))))</xm:f>
            <x14:dxf>
              <fill>
                <patternFill patternType="solid">
                  <bgColor rgb="FFFF0000"/>
                </patternFill>
              </fill>
            </x14:dxf>
          </x14:cfRule>
          <xm:sqref>H14:H42</xm:sqref>
        </x14:conditionalFormatting>
        <x14:conditionalFormatting xmlns:xm="http://schemas.microsoft.com/office/excel/2006/main">
          <x14:cfRule type="expression" priority="3" id="{314BB80A-2642-407A-8B26-7D9D1D9B43D6}">
            <xm:f>(AND(H14&lt;&gt;"",ISERROR(VLOOKUP(H14,system!$E:$E,1,FALSE))))</xm:f>
            <x14:dxf>
              <fill>
                <patternFill>
                  <bgColor rgb="FFFF0000"/>
                </patternFill>
              </fill>
            </x14:dxf>
          </x14:cfRule>
          <xm:sqref>I14:I42</xm:sqref>
        </x14:conditionalFormatting>
        <x14:conditionalFormatting xmlns:xm="http://schemas.microsoft.com/office/excel/2006/main">
          <x14:cfRule type="expression" priority="2" id="{CF7A1B1D-673D-4B3E-9CA1-539EB904A393}">
            <xm:f>(AND(H43&lt;&gt;"",ISERROR(VLOOKUP(H43,system!$E:$E,1,FALSE))))</xm:f>
            <x14:dxf>
              <fill>
                <patternFill patternType="solid">
                  <bgColor rgb="FFFF0000"/>
                </patternFill>
              </fill>
            </x14:dxf>
          </x14:cfRule>
          <xm:sqref>H43:H50</xm:sqref>
        </x14:conditionalFormatting>
        <x14:conditionalFormatting xmlns:xm="http://schemas.microsoft.com/office/excel/2006/main">
          <x14:cfRule type="expression" priority="1" id="{1A6FD106-BCC4-43B9-B144-FFF58392C2D9}">
            <xm:f>(AND(H43&lt;&gt;"",ISERROR(VLOOKUP(H43,system!$E:$E,1,FALSE))))</xm:f>
            <x14:dxf>
              <fill>
                <patternFill>
                  <bgColor rgb="FFFF0000"/>
                </patternFill>
              </fill>
            </x14:dxf>
          </x14:cfRule>
          <xm:sqref>I43:I50</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A1:U38"/>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7" t="s">
        <v>27</v>
      </c>
      <c r="P1" s="248"/>
      <c r="Q1" s="248"/>
      <c r="R1" s="248"/>
      <c r="S1" s="248"/>
      <c r="T1" s="248"/>
      <c r="U1" s="249"/>
    </row>
    <row r="2" spans="1:21" ht="14.45" customHeight="1">
      <c r="A2" s="39"/>
      <c r="B2" s="100" t="s">
        <v>64</v>
      </c>
      <c r="C2" s="5"/>
      <c r="D2" s="5"/>
      <c r="E2" s="5"/>
      <c r="F2" s="5"/>
      <c r="G2" s="6"/>
      <c r="H2" s="7"/>
      <c r="I2" s="8"/>
      <c r="J2" s="250"/>
      <c r="K2" s="251"/>
      <c r="L2" s="250"/>
      <c r="M2" s="251"/>
      <c r="N2" s="52"/>
      <c r="O2" s="252" t="s">
        <v>299</v>
      </c>
      <c r="P2" s="253"/>
      <c r="Q2" s="253"/>
      <c r="R2" s="253"/>
      <c r="S2" s="253"/>
      <c r="T2" s="253"/>
      <c r="U2" s="254"/>
    </row>
    <row r="3" spans="1:21" ht="14.25" customHeight="1">
      <c r="A3" s="40"/>
      <c r="B3" s="35"/>
      <c r="C3" s="5"/>
      <c r="D3" s="5"/>
      <c r="E3" s="5"/>
      <c r="F3" s="5"/>
      <c r="G3" s="9"/>
      <c r="H3" s="10"/>
      <c r="I3" s="176" t="s">
        <v>1032</v>
      </c>
      <c r="J3" s="255" t="s">
        <v>1032</v>
      </c>
      <c r="K3" s="256"/>
      <c r="L3" s="255" t="s">
        <v>1032</v>
      </c>
      <c r="M3" s="256"/>
      <c r="N3" s="52"/>
      <c r="O3" s="257"/>
      <c r="P3" s="258"/>
      <c r="Q3" s="258"/>
      <c r="R3" s="258"/>
      <c r="S3" s="258"/>
      <c r="T3" s="258"/>
      <c r="U3" s="259"/>
    </row>
    <row r="4" spans="1:21" ht="14.45" customHeight="1">
      <c r="A4" s="41"/>
      <c r="B4" s="36" t="s">
        <v>3</v>
      </c>
      <c r="C4" s="5"/>
      <c r="D4" s="5"/>
      <c r="E4" s="5"/>
      <c r="F4" s="5"/>
      <c r="G4" s="6"/>
      <c r="H4" s="10"/>
      <c r="I4" s="177" t="s">
        <v>1035</v>
      </c>
      <c r="J4" s="240" t="s">
        <v>1034</v>
      </c>
      <c r="K4" s="241"/>
      <c r="L4" s="240" t="s">
        <v>1033</v>
      </c>
      <c r="M4" s="241"/>
      <c r="N4" s="52"/>
      <c r="O4" s="210"/>
      <c r="P4" s="211"/>
      <c r="Q4" s="211"/>
      <c r="R4" s="211"/>
      <c r="S4" s="211"/>
      <c r="T4" s="211"/>
      <c r="U4" s="212"/>
    </row>
    <row r="5" spans="1:21" ht="14.45" customHeight="1" thickBot="1">
      <c r="A5" s="42"/>
      <c r="B5" s="11"/>
      <c r="C5" s="11"/>
      <c r="D5" s="11"/>
      <c r="E5" s="11"/>
      <c r="F5" s="11"/>
      <c r="G5" s="12"/>
      <c r="H5" s="13"/>
      <c r="I5" s="14"/>
      <c r="J5" s="242"/>
      <c r="K5" s="243"/>
      <c r="L5" s="244"/>
      <c r="M5" s="245"/>
      <c r="N5" s="53"/>
      <c r="O5" s="246"/>
      <c r="P5" s="211"/>
      <c r="Q5" s="211"/>
      <c r="R5" s="211"/>
      <c r="S5" s="211"/>
      <c r="T5" s="211"/>
      <c r="U5" s="212"/>
    </row>
    <row r="6" spans="1:21" ht="14.45" customHeight="1">
      <c r="A6" s="43"/>
      <c r="B6" s="101" t="s">
        <v>4</v>
      </c>
      <c r="C6" s="20"/>
      <c r="D6" s="21"/>
      <c r="E6" s="222" t="s">
        <v>65</v>
      </c>
      <c r="F6" s="223"/>
      <c r="G6" s="223"/>
      <c r="H6" s="224"/>
      <c r="I6" s="60" t="s">
        <v>26</v>
      </c>
      <c r="J6" s="26"/>
      <c r="K6" s="225" t="s">
        <v>33</v>
      </c>
      <c r="L6" s="226"/>
      <c r="M6" s="227"/>
      <c r="N6" s="91" t="s">
        <v>5</v>
      </c>
      <c r="O6" s="210"/>
      <c r="P6" s="211"/>
      <c r="Q6" s="211"/>
      <c r="R6" s="211"/>
      <c r="S6" s="211"/>
      <c r="T6" s="211"/>
      <c r="U6" s="212"/>
    </row>
    <row r="7" spans="1:21" ht="15.75" customHeight="1">
      <c r="A7" s="44"/>
      <c r="B7" s="102" t="s">
        <v>6</v>
      </c>
      <c r="C7" s="22"/>
      <c r="D7" s="23"/>
      <c r="E7" s="228" t="s">
        <v>132</v>
      </c>
      <c r="F7" s="229"/>
      <c r="G7" s="229"/>
      <c r="H7" s="230"/>
      <c r="I7" s="61" t="s">
        <v>28</v>
      </c>
      <c r="J7" s="27"/>
      <c r="K7" s="231" t="s">
        <v>34</v>
      </c>
      <c r="L7" s="232"/>
      <c r="M7" s="233"/>
      <c r="N7" s="92">
        <f>COUNTIF(H14:H14,"LONG")+COUNTIF(H14:H14,"LONG RAW")</f>
        <v>0</v>
      </c>
      <c r="O7" s="210"/>
      <c r="P7" s="211"/>
      <c r="Q7" s="211"/>
      <c r="R7" s="211"/>
      <c r="S7" s="211"/>
      <c r="T7" s="211"/>
      <c r="U7" s="212"/>
    </row>
    <row r="8" spans="1:21" ht="14.45" customHeight="1">
      <c r="A8" s="45"/>
      <c r="B8" s="22" t="s">
        <v>7</v>
      </c>
      <c r="C8" s="22"/>
      <c r="D8" s="23"/>
      <c r="E8" s="228" t="s">
        <v>296</v>
      </c>
      <c r="F8" s="229"/>
      <c r="G8" s="229"/>
      <c r="H8" s="230"/>
      <c r="I8" s="62"/>
      <c r="J8" s="27"/>
      <c r="K8" s="234"/>
      <c r="L8" s="235"/>
      <c r="M8" s="236"/>
      <c r="N8" s="92"/>
      <c r="O8" s="210"/>
      <c r="P8" s="211"/>
      <c r="Q8" s="211"/>
      <c r="R8" s="211"/>
      <c r="S8" s="211"/>
      <c r="T8" s="211"/>
      <c r="U8" s="212"/>
    </row>
    <row r="9" spans="1:21" ht="14.45" customHeight="1">
      <c r="A9" s="45"/>
      <c r="B9" s="22" t="s">
        <v>8</v>
      </c>
      <c r="C9" s="22"/>
      <c r="D9" s="23"/>
      <c r="E9" s="237" t="s">
        <v>68</v>
      </c>
      <c r="F9" s="238"/>
      <c r="G9" s="238"/>
      <c r="H9" s="239"/>
      <c r="I9" s="61" t="s">
        <v>9</v>
      </c>
      <c r="J9" s="27"/>
      <c r="K9" s="86"/>
      <c r="L9" s="88">
        <f>SUM(N14:N39)</f>
        <v>92</v>
      </c>
      <c r="M9" s="82"/>
      <c r="N9" s="93">
        <f>SUMIF(M14:M14,"■",N14:N14)</f>
        <v>0</v>
      </c>
      <c r="O9" s="210"/>
      <c r="P9" s="211"/>
      <c r="Q9" s="211"/>
      <c r="R9" s="211"/>
      <c r="S9" s="211"/>
      <c r="T9" s="211"/>
      <c r="U9" s="212"/>
    </row>
    <row r="10" spans="1:21" ht="14.45" customHeight="1">
      <c r="A10" s="45"/>
      <c r="B10" s="22" t="s">
        <v>10</v>
      </c>
      <c r="C10" s="22"/>
      <c r="D10" s="23"/>
      <c r="E10" s="219" t="s">
        <v>68</v>
      </c>
      <c r="F10" s="220"/>
      <c r="G10" s="220"/>
      <c r="H10" s="221"/>
      <c r="I10" s="61" t="s">
        <v>11</v>
      </c>
      <c r="J10" s="27"/>
      <c r="K10" s="86"/>
      <c r="L10" s="89">
        <f>E11*L9/1000</f>
        <v>0</v>
      </c>
      <c r="M10" s="82"/>
      <c r="N10" s="55"/>
      <c r="O10" s="210"/>
      <c r="P10" s="211"/>
      <c r="Q10" s="211"/>
      <c r="R10" s="211"/>
      <c r="S10" s="211"/>
      <c r="T10" s="211"/>
      <c r="U10" s="212"/>
    </row>
    <row r="11" spans="1:21" ht="17.25" customHeight="1" thickBot="1">
      <c r="A11" s="46"/>
      <c r="B11" s="24" t="s">
        <v>29</v>
      </c>
      <c r="C11" s="24"/>
      <c r="D11" s="25"/>
      <c r="E11" s="207"/>
      <c r="F11" s="208"/>
      <c r="G11" s="208"/>
      <c r="H11" s="209"/>
      <c r="I11" s="103" t="s">
        <v>12</v>
      </c>
      <c r="J11" s="104"/>
      <c r="K11" s="87"/>
      <c r="L11" s="90"/>
      <c r="M11" s="83"/>
      <c r="N11" s="56"/>
      <c r="O11" s="210"/>
      <c r="P11" s="211"/>
      <c r="Q11" s="211"/>
      <c r="R11" s="211"/>
      <c r="S11" s="211"/>
      <c r="T11" s="211"/>
      <c r="U11" s="212"/>
    </row>
    <row r="12" spans="1:21" ht="15.75" customHeight="1" thickBot="1">
      <c r="A12" s="64"/>
      <c r="B12" s="65"/>
      <c r="C12" s="30"/>
      <c r="D12" s="30"/>
      <c r="E12" s="31"/>
      <c r="F12" s="32"/>
      <c r="G12" s="29"/>
      <c r="H12" s="28"/>
      <c r="I12" s="29"/>
      <c r="J12" s="30" t="s">
        <v>13</v>
      </c>
      <c r="K12" s="31"/>
      <c r="L12" s="66"/>
      <c r="M12" s="48"/>
      <c r="N12" s="57">
        <f>COUNTA(H14:H14)</f>
        <v>1</v>
      </c>
      <c r="O12" s="213"/>
      <c r="P12" s="214"/>
      <c r="Q12" s="214"/>
      <c r="R12" s="214"/>
      <c r="S12" s="214"/>
      <c r="T12" s="214"/>
      <c r="U12" s="21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16" t="s">
        <v>32</v>
      </c>
      <c r="Q13" s="217"/>
      <c r="R13" s="217"/>
      <c r="S13" s="217"/>
      <c r="T13" s="217"/>
      <c r="U13" s="218"/>
    </row>
    <row r="14" spans="1:21" ht="15.75" customHeight="1">
      <c r="A14" s="85" t="s">
        <v>188</v>
      </c>
      <c r="B14" s="37">
        <f t="shared" ref="B14:B30" si="0">ROW()-13</f>
        <v>1</v>
      </c>
      <c r="C14" s="145" t="s">
        <v>186</v>
      </c>
      <c r="D14" s="80"/>
      <c r="E14" s="81"/>
      <c r="F14" s="146" t="s">
        <v>1029</v>
      </c>
      <c r="G14" s="17"/>
      <c r="H14" s="18" t="s">
        <v>49</v>
      </c>
      <c r="I14" s="59"/>
      <c r="J14" s="19">
        <v>1</v>
      </c>
      <c r="K14" s="19"/>
      <c r="L14" s="50" t="s">
        <v>187</v>
      </c>
      <c r="M14" s="73" t="s">
        <v>21</v>
      </c>
      <c r="N14" s="54">
        <f t="shared" ref="N14:N37" si="1">IF(H14="NUMBER",IF(J14&gt;0,INT((J14+1)/2+0.9),0),IF(H14="DATE",7,IF(OR(H14="LONG",H14="LONG RAW"),100000,J14)))</f>
        <v>1</v>
      </c>
      <c r="O14" s="167"/>
      <c r="P14" s="203" t="s">
        <v>174</v>
      </c>
      <c r="Q14" s="204"/>
      <c r="R14" s="204"/>
      <c r="S14" s="204"/>
      <c r="T14" s="204"/>
      <c r="U14" s="205"/>
    </row>
    <row r="15" spans="1:21" ht="15.75" customHeight="1">
      <c r="A15" s="85" t="s">
        <v>188</v>
      </c>
      <c r="B15" s="37">
        <f t="shared" si="0"/>
        <v>2</v>
      </c>
      <c r="C15" s="145" t="s">
        <v>189</v>
      </c>
      <c r="D15" s="80"/>
      <c r="E15" s="81"/>
      <c r="F15" s="146" t="s">
        <v>190</v>
      </c>
      <c r="G15" s="17"/>
      <c r="H15" s="18" t="s">
        <v>49</v>
      </c>
      <c r="I15" s="59"/>
      <c r="J15" s="19">
        <v>7</v>
      </c>
      <c r="K15" s="19"/>
      <c r="L15" s="50" t="s">
        <v>187</v>
      </c>
      <c r="M15" s="73" t="s">
        <v>21</v>
      </c>
      <c r="N15" s="54">
        <f t="shared" si="1"/>
        <v>7</v>
      </c>
      <c r="O15" s="167"/>
      <c r="P15" s="203"/>
      <c r="Q15" s="204"/>
      <c r="R15" s="204"/>
      <c r="S15" s="204"/>
      <c r="T15" s="204"/>
      <c r="U15" s="205"/>
    </row>
    <row r="16" spans="1:21" ht="15.75" customHeight="1">
      <c r="A16" s="85" t="s">
        <v>188</v>
      </c>
      <c r="B16" s="37">
        <f t="shared" si="0"/>
        <v>3</v>
      </c>
      <c r="C16" s="145" t="s">
        <v>195</v>
      </c>
      <c r="D16" s="80"/>
      <c r="E16" s="81"/>
      <c r="F16" s="146" t="s">
        <v>1058</v>
      </c>
      <c r="G16" s="17"/>
      <c r="H16" s="18" t="s">
        <v>49</v>
      </c>
      <c r="I16" s="59"/>
      <c r="J16" s="19">
        <v>1</v>
      </c>
      <c r="K16" s="19"/>
      <c r="L16" s="50" t="s">
        <v>187</v>
      </c>
      <c r="M16" s="73" t="s">
        <v>21</v>
      </c>
      <c r="N16" s="54">
        <f t="shared" si="1"/>
        <v>1</v>
      </c>
      <c r="O16" s="167"/>
      <c r="P16" s="203" t="s">
        <v>174</v>
      </c>
      <c r="Q16" s="204"/>
      <c r="R16" s="204"/>
      <c r="S16" s="204"/>
      <c r="T16" s="204"/>
      <c r="U16" s="205"/>
    </row>
    <row r="17" spans="1:21" ht="15.75" customHeight="1">
      <c r="A17" s="85" t="s">
        <v>188</v>
      </c>
      <c r="B17" s="37">
        <f t="shared" si="0"/>
        <v>4</v>
      </c>
      <c r="C17" s="145" t="s">
        <v>196</v>
      </c>
      <c r="D17" s="80"/>
      <c r="E17" s="81"/>
      <c r="F17" s="146" t="s">
        <v>197</v>
      </c>
      <c r="G17" s="17"/>
      <c r="H17" s="18" t="s">
        <v>51</v>
      </c>
      <c r="I17" s="59"/>
      <c r="J17" s="19">
        <v>25</v>
      </c>
      <c r="K17" s="19"/>
      <c r="L17" s="50" t="s">
        <v>187</v>
      </c>
      <c r="M17" s="73" t="s">
        <v>21</v>
      </c>
      <c r="N17" s="54">
        <f t="shared" si="1"/>
        <v>25</v>
      </c>
      <c r="O17" s="167"/>
      <c r="P17" s="203"/>
      <c r="Q17" s="204"/>
      <c r="R17" s="204"/>
      <c r="S17" s="204"/>
      <c r="T17" s="204"/>
      <c r="U17" s="205"/>
    </row>
    <row r="18" spans="1:21" ht="15.75" customHeight="1">
      <c r="A18" s="85" t="s">
        <v>188</v>
      </c>
      <c r="B18" s="37">
        <f t="shared" si="0"/>
        <v>5</v>
      </c>
      <c r="C18" s="145" t="s">
        <v>198</v>
      </c>
      <c r="D18" s="80"/>
      <c r="E18" s="81"/>
      <c r="F18" s="146" t="s">
        <v>199</v>
      </c>
      <c r="G18" s="17"/>
      <c r="H18" s="18" t="s">
        <v>51</v>
      </c>
      <c r="I18" s="59"/>
      <c r="J18" s="19">
        <v>4</v>
      </c>
      <c r="K18" s="19"/>
      <c r="L18" s="50" t="s">
        <v>187</v>
      </c>
      <c r="M18" s="73" t="s">
        <v>21</v>
      </c>
      <c r="N18" s="54">
        <f t="shared" si="1"/>
        <v>4</v>
      </c>
      <c r="O18" s="167"/>
      <c r="P18" s="203" t="s">
        <v>200</v>
      </c>
      <c r="Q18" s="204"/>
      <c r="R18" s="204"/>
      <c r="S18" s="204"/>
      <c r="T18" s="204"/>
      <c r="U18" s="205"/>
    </row>
    <row r="19" spans="1:21" ht="62.85" customHeight="1">
      <c r="A19" s="85" t="s">
        <v>188</v>
      </c>
      <c r="B19" s="37">
        <f t="shared" si="0"/>
        <v>6</v>
      </c>
      <c r="C19" s="145" t="s">
        <v>201</v>
      </c>
      <c r="D19" s="80"/>
      <c r="E19" s="81"/>
      <c r="F19" s="146" t="s">
        <v>202</v>
      </c>
      <c r="G19" s="17"/>
      <c r="H19" s="18" t="s">
        <v>49</v>
      </c>
      <c r="I19" s="59"/>
      <c r="J19" s="19">
        <v>1</v>
      </c>
      <c r="K19" s="19"/>
      <c r="L19" s="50" t="s">
        <v>187</v>
      </c>
      <c r="M19" s="73" t="s">
        <v>21</v>
      </c>
      <c r="N19" s="54">
        <f t="shared" si="1"/>
        <v>1</v>
      </c>
      <c r="O19" s="167"/>
      <c r="P19" s="206" t="s">
        <v>267</v>
      </c>
      <c r="Q19" s="204"/>
      <c r="R19" s="204"/>
      <c r="S19" s="204"/>
      <c r="T19" s="204"/>
      <c r="U19" s="205"/>
    </row>
    <row r="20" spans="1:21" ht="27.6" customHeight="1">
      <c r="A20" s="85" t="s">
        <v>188</v>
      </c>
      <c r="B20" s="37">
        <f t="shared" si="0"/>
        <v>7</v>
      </c>
      <c r="C20" s="145" t="s">
        <v>204</v>
      </c>
      <c r="D20" s="80"/>
      <c r="E20" s="81"/>
      <c r="F20" s="146" t="s">
        <v>205</v>
      </c>
      <c r="G20" s="17"/>
      <c r="H20" s="18" t="s">
        <v>49</v>
      </c>
      <c r="I20" s="59"/>
      <c r="J20" s="19">
        <v>1</v>
      </c>
      <c r="K20" s="19"/>
      <c r="L20" s="50" t="s">
        <v>187</v>
      </c>
      <c r="M20" s="73" t="s">
        <v>21</v>
      </c>
      <c r="N20" s="54">
        <f t="shared" si="1"/>
        <v>1</v>
      </c>
      <c r="O20" s="167"/>
      <c r="P20" s="206" t="s">
        <v>206</v>
      </c>
      <c r="Q20" s="204"/>
      <c r="R20" s="204"/>
      <c r="S20" s="204"/>
      <c r="T20" s="204"/>
      <c r="U20" s="205"/>
    </row>
    <row r="21" spans="1:21" ht="15.75" customHeight="1">
      <c r="A21" s="85"/>
      <c r="B21" s="37">
        <f t="shared" si="0"/>
        <v>8</v>
      </c>
      <c r="C21" s="145" t="s">
        <v>300</v>
      </c>
      <c r="D21" s="80"/>
      <c r="E21" s="81"/>
      <c r="F21" s="146" t="s">
        <v>301</v>
      </c>
      <c r="G21" s="17"/>
      <c r="H21" s="18" t="s">
        <v>209</v>
      </c>
      <c r="I21" s="59"/>
      <c r="J21" s="19"/>
      <c r="K21" s="19"/>
      <c r="L21" s="50"/>
      <c r="M21" s="73" t="s">
        <v>21</v>
      </c>
      <c r="N21" s="54">
        <f t="shared" si="1"/>
        <v>0</v>
      </c>
      <c r="O21" s="167"/>
      <c r="P21" s="203"/>
      <c r="Q21" s="204"/>
      <c r="R21" s="204"/>
      <c r="S21" s="204"/>
      <c r="T21" s="204"/>
      <c r="U21" s="205"/>
    </row>
    <row r="22" spans="1:21" ht="15.75" customHeight="1">
      <c r="A22" s="85"/>
      <c r="B22" s="37">
        <f t="shared" si="0"/>
        <v>9</v>
      </c>
      <c r="C22" s="145" t="s">
        <v>302</v>
      </c>
      <c r="D22" s="80"/>
      <c r="E22" s="81"/>
      <c r="F22" s="146" t="s">
        <v>303</v>
      </c>
      <c r="G22" s="17"/>
      <c r="H22" s="18" t="s">
        <v>209</v>
      </c>
      <c r="I22" s="59"/>
      <c r="J22" s="19"/>
      <c r="K22" s="19"/>
      <c r="L22" s="50"/>
      <c r="M22" s="73" t="s">
        <v>21</v>
      </c>
      <c r="N22" s="54">
        <f t="shared" si="1"/>
        <v>0</v>
      </c>
      <c r="O22" s="167"/>
      <c r="P22" s="203"/>
      <c r="Q22" s="204"/>
      <c r="R22" s="204"/>
      <c r="S22" s="204"/>
      <c r="T22" s="204"/>
      <c r="U22" s="205"/>
    </row>
    <row r="23" spans="1:21" ht="15.75" customHeight="1">
      <c r="A23" s="85"/>
      <c r="B23" s="37">
        <f t="shared" si="0"/>
        <v>10</v>
      </c>
      <c r="C23" s="145" t="s">
        <v>304</v>
      </c>
      <c r="D23" s="80"/>
      <c r="E23" s="81"/>
      <c r="F23" s="146" t="s">
        <v>305</v>
      </c>
      <c r="G23" s="17"/>
      <c r="H23" s="18" t="s">
        <v>209</v>
      </c>
      <c r="I23" s="59"/>
      <c r="J23" s="19"/>
      <c r="K23" s="19"/>
      <c r="L23" s="50"/>
      <c r="M23" s="73" t="s">
        <v>21</v>
      </c>
      <c r="N23" s="54">
        <f t="shared" si="1"/>
        <v>0</v>
      </c>
      <c r="O23" s="167"/>
      <c r="P23" s="203"/>
      <c r="Q23" s="204"/>
      <c r="R23" s="204"/>
      <c r="S23" s="204"/>
      <c r="T23" s="204"/>
      <c r="U23" s="205"/>
    </row>
    <row r="24" spans="1:21" ht="15.75" customHeight="1">
      <c r="A24" s="85"/>
      <c r="B24" s="37">
        <f t="shared" si="0"/>
        <v>11</v>
      </c>
      <c r="C24" s="145" t="s">
        <v>306</v>
      </c>
      <c r="D24" s="80"/>
      <c r="E24" s="81"/>
      <c r="F24" s="146" t="s">
        <v>307</v>
      </c>
      <c r="G24" s="17"/>
      <c r="H24" s="18" t="s">
        <v>209</v>
      </c>
      <c r="I24" s="59"/>
      <c r="J24" s="19"/>
      <c r="K24" s="19"/>
      <c r="L24" s="50"/>
      <c r="M24" s="73" t="s">
        <v>21</v>
      </c>
      <c r="N24" s="54">
        <f t="shared" si="1"/>
        <v>0</v>
      </c>
      <c r="O24" s="167"/>
      <c r="P24" s="203"/>
      <c r="Q24" s="204"/>
      <c r="R24" s="204"/>
      <c r="S24" s="204"/>
      <c r="T24" s="204"/>
      <c r="U24" s="205"/>
    </row>
    <row r="25" spans="1:21" ht="15.75" customHeight="1">
      <c r="A25" s="85"/>
      <c r="B25" s="37">
        <f t="shared" si="0"/>
        <v>12</v>
      </c>
      <c r="C25" s="145" t="s">
        <v>308</v>
      </c>
      <c r="D25" s="80"/>
      <c r="E25" s="81"/>
      <c r="F25" s="146" t="s">
        <v>309</v>
      </c>
      <c r="G25" s="17"/>
      <c r="H25" s="18" t="s">
        <v>209</v>
      </c>
      <c r="I25" s="59"/>
      <c r="J25" s="19"/>
      <c r="K25" s="19"/>
      <c r="L25" s="50"/>
      <c r="M25" s="73" t="s">
        <v>21</v>
      </c>
      <c r="N25" s="54">
        <f t="shared" si="1"/>
        <v>0</v>
      </c>
      <c r="O25" s="167"/>
      <c r="P25" s="203"/>
      <c r="Q25" s="204"/>
      <c r="R25" s="204"/>
      <c r="S25" s="204"/>
      <c r="T25" s="204"/>
      <c r="U25" s="205"/>
    </row>
    <row r="26" spans="1:21" ht="15.75" customHeight="1">
      <c r="A26" s="85"/>
      <c r="B26" s="37">
        <f t="shared" si="0"/>
        <v>13</v>
      </c>
      <c r="C26" s="145" t="s">
        <v>310</v>
      </c>
      <c r="D26" s="80"/>
      <c r="E26" s="81"/>
      <c r="F26" s="146" t="s">
        <v>311</v>
      </c>
      <c r="G26" s="17"/>
      <c r="H26" s="18" t="s">
        <v>209</v>
      </c>
      <c r="I26" s="59"/>
      <c r="J26" s="19"/>
      <c r="K26" s="19"/>
      <c r="L26" s="50"/>
      <c r="M26" s="73" t="s">
        <v>21</v>
      </c>
      <c r="N26" s="54">
        <f t="shared" si="1"/>
        <v>0</v>
      </c>
      <c r="O26" s="167"/>
      <c r="P26" s="203"/>
      <c r="Q26" s="204"/>
      <c r="R26" s="204"/>
      <c r="S26" s="204"/>
      <c r="T26" s="204"/>
      <c r="U26" s="205"/>
    </row>
    <row r="27" spans="1:21" ht="15.75" customHeight="1">
      <c r="A27" s="85"/>
      <c r="B27" s="37">
        <f t="shared" si="0"/>
        <v>14</v>
      </c>
      <c r="C27" s="145" t="s">
        <v>312</v>
      </c>
      <c r="D27" s="80"/>
      <c r="E27" s="81"/>
      <c r="F27" s="146" t="s">
        <v>313</v>
      </c>
      <c r="G27" s="17"/>
      <c r="H27" s="18" t="s">
        <v>209</v>
      </c>
      <c r="I27" s="59"/>
      <c r="J27" s="19"/>
      <c r="K27" s="19"/>
      <c r="L27" s="50"/>
      <c r="M27" s="73" t="s">
        <v>21</v>
      </c>
      <c r="N27" s="54">
        <f t="shared" si="1"/>
        <v>0</v>
      </c>
      <c r="O27" s="167"/>
      <c r="P27" s="203"/>
      <c r="Q27" s="204"/>
      <c r="R27" s="204"/>
      <c r="S27" s="204"/>
      <c r="T27" s="204"/>
      <c r="U27" s="205"/>
    </row>
    <row r="28" spans="1:21" ht="15.75" customHeight="1">
      <c r="A28" s="85"/>
      <c r="B28" s="37">
        <f t="shared" si="0"/>
        <v>15</v>
      </c>
      <c r="C28" s="145" t="s">
        <v>314</v>
      </c>
      <c r="D28" s="80"/>
      <c r="E28" s="81"/>
      <c r="F28" s="146" t="s">
        <v>315</v>
      </c>
      <c r="G28" s="17"/>
      <c r="H28" s="18" t="s">
        <v>209</v>
      </c>
      <c r="I28" s="59"/>
      <c r="J28" s="19"/>
      <c r="K28" s="19"/>
      <c r="L28" s="50"/>
      <c r="M28" s="73" t="s">
        <v>21</v>
      </c>
      <c r="N28" s="54">
        <f t="shared" si="1"/>
        <v>0</v>
      </c>
      <c r="O28" s="167"/>
      <c r="P28" s="203"/>
      <c r="Q28" s="204"/>
      <c r="R28" s="204"/>
      <c r="S28" s="204"/>
      <c r="T28" s="204"/>
      <c r="U28" s="205"/>
    </row>
    <row r="29" spans="1:21" ht="15.75" customHeight="1">
      <c r="A29" s="85"/>
      <c r="B29" s="37">
        <f t="shared" si="0"/>
        <v>16</v>
      </c>
      <c r="C29" s="145" t="s">
        <v>316</v>
      </c>
      <c r="D29" s="80"/>
      <c r="E29" s="81"/>
      <c r="F29" s="146" t="s">
        <v>317</v>
      </c>
      <c r="G29" s="17"/>
      <c r="H29" s="18" t="s">
        <v>209</v>
      </c>
      <c r="I29" s="59"/>
      <c r="J29" s="19"/>
      <c r="K29" s="19"/>
      <c r="L29" s="50"/>
      <c r="M29" s="73" t="s">
        <v>21</v>
      </c>
      <c r="N29" s="54">
        <f t="shared" si="1"/>
        <v>0</v>
      </c>
      <c r="O29" s="167"/>
      <c r="P29" s="203"/>
      <c r="Q29" s="204"/>
      <c r="R29" s="204"/>
      <c r="S29" s="204"/>
      <c r="T29" s="204"/>
      <c r="U29" s="205"/>
    </row>
    <row r="30" spans="1:21" ht="27.6" customHeight="1">
      <c r="A30" s="85"/>
      <c r="B30" s="37">
        <f t="shared" si="0"/>
        <v>17</v>
      </c>
      <c r="C30" s="145" t="s">
        <v>318</v>
      </c>
      <c r="D30" s="80"/>
      <c r="E30" s="81"/>
      <c r="F30" s="146" t="s">
        <v>319</v>
      </c>
      <c r="G30" s="17"/>
      <c r="H30" s="18" t="s">
        <v>209</v>
      </c>
      <c r="I30" s="59"/>
      <c r="J30" s="19"/>
      <c r="K30" s="19"/>
      <c r="L30" s="50"/>
      <c r="M30" s="73" t="s">
        <v>21</v>
      </c>
      <c r="N30" s="54">
        <f t="shared" si="1"/>
        <v>0</v>
      </c>
      <c r="O30" s="167"/>
      <c r="P30" s="206" t="s">
        <v>320</v>
      </c>
      <c r="Q30" s="204"/>
      <c r="R30" s="204"/>
      <c r="S30" s="204"/>
      <c r="T30" s="204"/>
      <c r="U30" s="205"/>
    </row>
    <row r="31" spans="1:21" ht="15.75">
      <c r="A31" s="85"/>
      <c r="B31" s="37">
        <f t="shared" ref="B31:B37" si="2">ROW()-13</f>
        <v>18</v>
      </c>
      <c r="C31" s="107" t="s">
        <v>36</v>
      </c>
      <c r="D31" s="107"/>
      <c r="E31" s="108"/>
      <c r="F31" s="109" t="s">
        <v>78</v>
      </c>
      <c r="G31" s="110"/>
      <c r="H31" s="18" t="s">
        <v>51</v>
      </c>
      <c r="I31" s="59"/>
      <c r="J31" s="113">
        <v>12</v>
      </c>
      <c r="K31" s="113"/>
      <c r="L31" s="114"/>
      <c r="M31" s="115" t="s">
        <v>35</v>
      </c>
      <c r="N31" s="116">
        <f t="shared" si="1"/>
        <v>12</v>
      </c>
      <c r="O31" s="168"/>
      <c r="P31" s="200"/>
      <c r="Q31" s="201"/>
      <c r="R31" s="201"/>
      <c r="S31" s="201"/>
      <c r="T31" s="201"/>
      <c r="U31" s="202"/>
    </row>
    <row r="32" spans="1:21" ht="15.75">
      <c r="A32" s="85"/>
      <c r="B32" s="37">
        <f t="shared" si="2"/>
        <v>19</v>
      </c>
      <c r="C32" s="107" t="s">
        <v>37</v>
      </c>
      <c r="D32" s="107"/>
      <c r="E32" s="108"/>
      <c r="F32" s="109" t="s">
        <v>43</v>
      </c>
      <c r="G32" s="110"/>
      <c r="H32" s="18" t="s">
        <v>51</v>
      </c>
      <c r="I32" s="59"/>
      <c r="J32" s="113">
        <v>10</v>
      </c>
      <c r="K32" s="113"/>
      <c r="L32" s="114"/>
      <c r="M32" s="115" t="s">
        <v>21</v>
      </c>
      <c r="N32" s="116">
        <f t="shared" si="1"/>
        <v>10</v>
      </c>
      <c r="O32" s="168"/>
      <c r="P32" s="200"/>
      <c r="Q32" s="201"/>
      <c r="R32" s="201"/>
      <c r="S32" s="201"/>
      <c r="T32" s="201"/>
      <c r="U32" s="202"/>
    </row>
    <row r="33" spans="1:21" ht="15.75">
      <c r="A33" s="85"/>
      <c r="B33" s="37">
        <f t="shared" si="2"/>
        <v>20</v>
      </c>
      <c r="C33" s="107" t="s">
        <v>38</v>
      </c>
      <c r="D33" s="107"/>
      <c r="E33" s="108"/>
      <c r="F33" s="109" t="s">
        <v>80</v>
      </c>
      <c r="G33" s="110"/>
      <c r="H33" s="18" t="s">
        <v>86</v>
      </c>
      <c r="I33" s="59"/>
      <c r="J33" s="113"/>
      <c r="K33" s="113"/>
      <c r="L33" s="114"/>
      <c r="M33" s="115" t="s">
        <v>21</v>
      </c>
      <c r="N33" s="116">
        <f t="shared" si="1"/>
        <v>0</v>
      </c>
      <c r="O33" s="168"/>
      <c r="P33" s="200"/>
      <c r="Q33" s="201"/>
      <c r="R33" s="201"/>
      <c r="S33" s="201"/>
      <c r="T33" s="201"/>
      <c r="U33" s="202"/>
    </row>
    <row r="34" spans="1:21" ht="15.75">
      <c r="A34" s="85"/>
      <c r="B34" s="37">
        <f t="shared" si="2"/>
        <v>21</v>
      </c>
      <c r="C34" s="107" t="s">
        <v>39</v>
      </c>
      <c r="D34" s="107"/>
      <c r="E34" s="108"/>
      <c r="F34" s="109" t="s">
        <v>79</v>
      </c>
      <c r="G34" s="110"/>
      <c r="H34" s="18" t="s">
        <v>51</v>
      </c>
      <c r="I34" s="59"/>
      <c r="J34" s="113">
        <v>12</v>
      </c>
      <c r="K34" s="113"/>
      <c r="L34" s="114"/>
      <c r="M34" s="115" t="s">
        <v>35</v>
      </c>
      <c r="N34" s="116">
        <f t="shared" si="1"/>
        <v>12</v>
      </c>
      <c r="O34" s="168"/>
      <c r="P34" s="200"/>
      <c r="Q34" s="201"/>
      <c r="R34" s="201"/>
      <c r="S34" s="201"/>
      <c r="T34" s="201"/>
      <c r="U34" s="202"/>
    </row>
    <row r="35" spans="1:21" ht="15.75">
      <c r="A35" s="85"/>
      <c r="B35" s="37">
        <f t="shared" si="2"/>
        <v>22</v>
      </c>
      <c r="C35" s="107" t="s">
        <v>40</v>
      </c>
      <c r="D35" s="107"/>
      <c r="E35" s="108"/>
      <c r="F35" s="109" t="s">
        <v>44</v>
      </c>
      <c r="G35" s="110"/>
      <c r="H35" s="18" t="s">
        <v>51</v>
      </c>
      <c r="I35" s="59"/>
      <c r="J35" s="113">
        <v>10</v>
      </c>
      <c r="K35" s="113"/>
      <c r="L35" s="114"/>
      <c r="M35" s="115" t="s">
        <v>21</v>
      </c>
      <c r="N35" s="116">
        <f t="shared" si="1"/>
        <v>10</v>
      </c>
      <c r="O35" s="168"/>
      <c r="P35" s="200"/>
      <c r="Q35" s="201"/>
      <c r="R35" s="201"/>
      <c r="S35" s="201"/>
      <c r="T35" s="201"/>
      <c r="U35" s="202"/>
    </row>
    <row r="36" spans="1:21" ht="15.75">
      <c r="A36" s="85"/>
      <c r="B36" s="37">
        <f t="shared" si="2"/>
        <v>23</v>
      </c>
      <c r="C36" s="107" t="s">
        <v>41</v>
      </c>
      <c r="D36" s="107"/>
      <c r="E36" s="108"/>
      <c r="F36" s="109" t="s">
        <v>81</v>
      </c>
      <c r="G36" s="110"/>
      <c r="H36" s="18" t="s">
        <v>86</v>
      </c>
      <c r="I36" s="59"/>
      <c r="J36" s="113"/>
      <c r="K36" s="113"/>
      <c r="L36" s="114"/>
      <c r="M36" s="115" t="s">
        <v>21</v>
      </c>
      <c r="N36" s="116">
        <f t="shared" si="1"/>
        <v>0</v>
      </c>
      <c r="O36" s="168"/>
      <c r="P36" s="200"/>
      <c r="Q36" s="201"/>
      <c r="R36" s="201"/>
      <c r="S36" s="201"/>
      <c r="T36" s="201"/>
      <c r="U36" s="202"/>
    </row>
    <row r="37" spans="1:21" ht="15.75">
      <c r="A37" s="85"/>
      <c r="B37" s="37">
        <f t="shared" si="2"/>
        <v>24</v>
      </c>
      <c r="C37" s="80" t="s">
        <v>46</v>
      </c>
      <c r="D37" s="80"/>
      <c r="E37" s="81"/>
      <c r="F37" s="84" t="s">
        <v>71</v>
      </c>
      <c r="G37" s="17"/>
      <c r="H37" s="18" t="s">
        <v>62</v>
      </c>
      <c r="I37" s="59"/>
      <c r="J37" s="19">
        <v>8</v>
      </c>
      <c r="K37" s="19"/>
      <c r="L37" s="50" t="s">
        <v>47</v>
      </c>
      <c r="M37" s="73" t="s">
        <v>35</v>
      </c>
      <c r="N37" s="54">
        <f t="shared" si="1"/>
        <v>8</v>
      </c>
      <c r="O37" s="167">
        <v>0</v>
      </c>
      <c r="P37" s="203" t="s">
        <v>48</v>
      </c>
      <c r="Q37" s="204"/>
      <c r="R37" s="204"/>
      <c r="S37" s="204"/>
      <c r="T37" s="204"/>
      <c r="U37" s="205"/>
    </row>
    <row r="38" spans="1:21" ht="16.5" thickBot="1">
      <c r="A38" s="118"/>
      <c r="B38" s="119"/>
      <c r="C38" s="120"/>
      <c r="D38" s="120"/>
      <c r="E38" s="121"/>
      <c r="F38" s="129"/>
      <c r="G38" s="122"/>
      <c r="H38" s="147"/>
      <c r="I38" s="148"/>
      <c r="J38" s="125"/>
      <c r="K38" s="125"/>
      <c r="L38" s="126"/>
      <c r="M38" s="126"/>
      <c r="N38" s="127"/>
      <c r="O38" s="169"/>
      <c r="P38" s="197"/>
      <c r="Q38" s="198"/>
      <c r="R38" s="198"/>
      <c r="S38" s="198"/>
      <c r="T38" s="198"/>
      <c r="U38" s="199"/>
    </row>
  </sheetData>
  <mergeCells count="55">
    <mergeCell ref="O1:U1"/>
    <mergeCell ref="J2:K2"/>
    <mergeCell ref="L2:M2"/>
    <mergeCell ref="O2:U2"/>
    <mergeCell ref="J3:K3"/>
    <mergeCell ref="L3:M3"/>
    <mergeCell ref="O3:U3"/>
    <mergeCell ref="J4:K4"/>
    <mergeCell ref="L4:M4"/>
    <mergeCell ref="O4:U4"/>
    <mergeCell ref="J5:K5"/>
    <mergeCell ref="L5:M5"/>
    <mergeCell ref="O5:U5"/>
    <mergeCell ref="E10:H10"/>
    <mergeCell ref="O10:U10"/>
    <mergeCell ref="E6:H6"/>
    <mergeCell ref="K6:M6"/>
    <mergeCell ref="O6:U6"/>
    <mergeCell ref="E7:H7"/>
    <mergeCell ref="K7:M7"/>
    <mergeCell ref="O7:U7"/>
    <mergeCell ref="E8:H8"/>
    <mergeCell ref="K8:M8"/>
    <mergeCell ref="O8:U8"/>
    <mergeCell ref="E9:H9"/>
    <mergeCell ref="O9:U9"/>
    <mergeCell ref="P21:U21"/>
    <mergeCell ref="E11:H11"/>
    <mergeCell ref="O11:U11"/>
    <mergeCell ref="O12:U12"/>
    <mergeCell ref="P13:U13"/>
    <mergeCell ref="P14:U14"/>
    <mergeCell ref="P15:U15"/>
    <mergeCell ref="P16:U16"/>
    <mergeCell ref="P17:U17"/>
    <mergeCell ref="P18:U18"/>
    <mergeCell ref="P19:U19"/>
    <mergeCell ref="P20:U20"/>
    <mergeCell ref="P33:U33"/>
    <mergeCell ref="P22:U22"/>
    <mergeCell ref="P23:U23"/>
    <mergeCell ref="P24:U24"/>
    <mergeCell ref="P25:U25"/>
    <mergeCell ref="P26:U26"/>
    <mergeCell ref="P27:U27"/>
    <mergeCell ref="P28:U28"/>
    <mergeCell ref="P29:U29"/>
    <mergeCell ref="P30:U30"/>
    <mergeCell ref="P31:U31"/>
    <mergeCell ref="P32:U32"/>
    <mergeCell ref="P34:U34"/>
    <mergeCell ref="P35:U35"/>
    <mergeCell ref="P36:U36"/>
    <mergeCell ref="P37:U37"/>
    <mergeCell ref="P38:U38"/>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81"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20482"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20483"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20484"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20485"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20486"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DF551281-AD35-40C3-BE83-FA75BBFE0FF0}">
            <xm:f>(AND(H14&lt;&gt;"",ISERROR(VLOOKUP(H14,system!$E:$E,1,FALSE))))</xm:f>
            <x14:dxf>
              <fill>
                <patternFill patternType="solid">
                  <bgColor rgb="FFFF0000"/>
                </patternFill>
              </fill>
            </x14:dxf>
          </x14:cfRule>
          <xm:sqref>H14:H30</xm:sqref>
        </x14:conditionalFormatting>
        <x14:conditionalFormatting xmlns:xm="http://schemas.microsoft.com/office/excel/2006/main">
          <x14:cfRule type="expression" priority="3" id="{E617A745-298A-48C1-B4B5-C0FC7A273343}">
            <xm:f>(AND(H14&lt;&gt;"",ISERROR(VLOOKUP(H14,system!$E:$E,1,FALSE))))</xm:f>
            <x14:dxf>
              <fill>
                <patternFill>
                  <bgColor rgb="FFFF0000"/>
                </patternFill>
              </fill>
            </x14:dxf>
          </x14:cfRule>
          <xm:sqref>I14:I30</xm:sqref>
        </x14:conditionalFormatting>
        <x14:conditionalFormatting xmlns:xm="http://schemas.microsoft.com/office/excel/2006/main">
          <x14:cfRule type="expression" priority="2" id="{C2F5B270-5636-43D4-9F90-8EE5DBCEDAA0}">
            <xm:f>(AND(H31&lt;&gt;"",ISERROR(VLOOKUP(H31,system!$E:$E,1,FALSE))))</xm:f>
            <x14:dxf>
              <fill>
                <patternFill patternType="solid">
                  <bgColor rgb="FFFF0000"/>
                </patternFill>
              </fill>
            </x14:dxf>
          </x14:cfRule>
          <xm:sqref>H31:H38</xm:sqref>
        </x14:conditionalFormatting>
        <x14:conditionalFormatting xmlns:xm="http://schemas.microsoft.com/office/excel/2006/main">
          <x14:cfRule type="expression" priority="1" id="{7CE12DF2-44C8-4238-A37C-37E90598F99A}">
            <xm:f>(AND(H31&lt;&gt;"",ISERROR(VLOOKUP(H31,system!$E:$E,1,FALSE))))</xm:f>
            <x14:dxf>
              <fill>
                <patternFill>
                  <bgColor rgb="FFFF0000"/>
                </patternFill>
              </fill>
            </x14:dxf>
          </x14:cfRule>
          <xm:sqref>I31:I38</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pageSetUpPr fitToPage="1"/>
  </sheetPr>
  <dimension ref="A1:U41"/>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7" t="s">
        <v>27</v>
      </c>
      <c r="P1" s="248"/>
      <c r="Q1" s="248"/>
      <c r="R1" s="248"/>
      <c r="S1" s="248"/>
      <c r="T1" s="248"/>
      <c r="U1" s="249"/>
    </row>
    <row r="2" spans="1:21" ht="14.45" customHeight="1">
      <c r="A2" s="39"/>
      <c r="B2" s="100" t="s">
        <v>64</v>
      </c>
      <c r="C2" s="5"/>
      <c r="D2" s="5"/>
      <c r="E2" s="5"/>
      <c r="F2" s="5"/>
      <c r="G2" s="6"/>
      <c r="H2" s="7"/>
      <c r="I2" s="8"/>
      <c r="J2" s="250"/>
      <c r="K2" s="251"/>
      <c r="L2" s="250"/>
      <c r="M2" s="251"/>
      <c r="N2" s="52"/>
      <c r="O2" s="252" t="s">
        <v>324</v>
      </c>
      <c r="P2" s="253"/>
      <c r="Q2" s="253"/>
      <c r="R2" s="253"/>
      <c r="S2" s="253"/>
      <c r="T2" s="253"/>
      <c r="U2" s="254"/>
    </row>
    <row r="3" spans="1:21" ht="14.25" customHeight="1">
      <c r="A3" s="40"/>
      <c r="B3" s="35"/>
      <c r="C3" s="5"/>
      <c r="D3" s="5"/>
      <c r="E3" s="5"/>
      <c r="F3" s="5"/>
      <c r="G3" s="9"/>
      <c r="H3" s="10"/>
      <c r="I3" s="176" t="s">
        <v>1032</v>
      </c>
      <c r="J3" s="255" t="s">
        <v>1032</v>
      </c>
      <c r="K3" s="256"/>
      <c r="L3" s="255" t="s">
        <v>1032</v>
      </c>
      <c r="M3" s="256"/>
      <c r="N3" s="52"/>
      <c r="O3" s="257"/>
      <c r="P3" s="258"/>
      <c r="Q3" s="258"/>
      <c r="R3" s="258"/>
      <c r="S3" s="258"/>
      <c r="T3" s="258"/>
      <c r="U3" s="259"/>
    </row>
    <row r="4" spans="1:21" ht="14.45" customHeight="1">
      <c r="A4" s="41"/>
      <c r="B4" s="36" t="s">
        <v>3</v>
      </c>
      <c r="C4" s="5"/>
      <c r="D4" s="5"/>
      <c r="E4" s="5"/>
      <c r="F4" s="5"/>
      <c r="G4" s="6"/>
      <c r="H4" s="10"/>
      <c r="I4" s="177" t="s">
        <v>1035</v>
      </c>
      <c r="J4" s="240" t="s">
        <v>1034</v>
      </c>
      <c r="K4" s="241"/>
      <c r="L4" s="240" t="s">
        <v>1033</v>
      </c>
      <c r="M4" s="241"/>
      <c r="N4" s="52"/>
      <c r="O4" s="210"/>
      <c r="P4" s="211"/>
      <c r="Q4" s="211"/>
      <c r="R4" s="211"/>
      <c r="S4" s="211"/>
      <c r="T4" s="211"/>
      <c r="U4" s="212"/>
    </row>
    <row r="5" spans="1:21" ht="14.45" customHeight="1" thickBot="1">
      <c r="A5" s="42"/>
      <c r="B5" s="11"/>
      <c r="C5" s="11"/>
      <c r="D5" s="11"/>
      <c r="E5" s="11"/>
      <c r="F5" s="11"/>
      <c r="G5" s="12"/>
      <c r="H5" s="13"/>
      <c r="I5" s="14"/>
      <c r="J5" s="242"/>
      <c r="K5" s="243"/>
      <c r="L5" s="244"/>
      <c r="M5" s="245"/>
      <c r="N5" s="53"/>
      <c r="O5" s="246"/>
      <c r="P5" s="211"/>
      <c r="Q5" s="211"/>
      <c r="R5" s="211"/>
      <c r="S5" s="211"/>
      <c r="T5" s="211"/>
      <c r="U5" s="212"/>
    </row>
    <row r="6" spans="1:21" ht="14.45" customHeight="1">
      <c r="A6" s="43"/>
      <c r="B6" s="101" t="s">
        <v>4</v>
      </c>
      <c r="C6" s="20"/>
      <c r="D6" s="21"/>
      <c r="E6" s="222" t="s">
        <v>65</v>
      </c>
      <c r="F6" s="223"/>
      <c r="G6" s="223"/>
      <c r="H6" s="224"/>
      <c r="I6" s="60" t="s">
        <v>26</v>
      </c>
      <c r="J6" s="26"/>
      <c r="K6" s="225" t="s">
        <v>33</v>
      </c>
      <c r="L6" s="226"/>
      <c r="M6" s="227"/>
      <c r="N6" s="91" t="s">
        <v>5</v>
      </c>
      <c r="O6" s="210"/>
      <c r="P6" s="211"/>
      <c r="Q6" s="211"/>
      <c r="R6" s="211"/>
      <c r="S6" s="211"/>
      <c r="T6" s="211"/>
      <c r="U6" s="212"/>
    </row>
    <row r="7" spans="1:21" ht="15.75" customHeight="1">
      <c r="A7" s="44"/>
      <c r="B7" s="102" t="s">
        <v>6</v>
      </c>
      <c r="C7" s="22"/>
      <c r="D7" s="23"/>
      <c r="E7" s="228" t="s">
        <v>133</v>
      </c>
      <c r="F7" s="229"/>
      <c r="G7" s="229"/>
      <c r="H7" s="230"/>
      <c r="I7" s="61" t="s">
        <v>28</v>
      </c>
      <c r="J7" s="27"/>
      <c r="K7" s="231" t="s">
        <v>34</v>
      </c>
      <c r="L7" s="232"/>
      <c r="M7" s="233"/>
      <c r="N7" s="92">
        <f>COUNTIF(H14:H14,"LONG")+COUNTIF(H14:H14,"LONG RAW")</f>
        <v>0</v>
      </c>
      <c r="O7" s="210"/>
      <c r="P7" s="211"/>
      <c r="Q7" s="211"/>
      <c r="R7" s="211"/>
      <c r="S7" s="211"/>
      <c r="T7" s="211"/>
      <c r="U7" s="212"/>
    </row>
    <row r="8" spans="1:21" ht="14.45" customHeight="1">
      <c r="A8" s="45"/>
      <c r="B8" s="22" t="s">
        <v>7</v>
      </c>
      <c r="C8" s="22"/>
      <c r="D8" s="23"/>
      <c r="E8" s="228" t="s">
        <v>321</v>
      </c>
      <c r="F8" s="229"/>
      <c r="G8" s="229"/>
      <c r="H8" s="230"/>
      <c r="I8" s="62"/>
      <c r="J8" s="27"/>
      <c r="K8" s="234"/>
      <c r="L8" s="235"/>
      <c r="M8" s="236"/>
      <c r="N8" s="92"/>
      <c r="O8" s="210"/>
      <c r="P8" s="211"/>
      <c r="Q8" s="211"/>
      <c r="R8" s="211"/>
      <c r="S8" s="211"/>
      <c r="T8" s="211"/>
      <c r="U8" s="212"/>
    </row>
    <row r="9" spans="1:21" ht="14.45" customHeight="1">
      <c r="A9" s="45"/>
      <c r="B9" s="22" t="s">
        <v>8</v>
      </c>
      <c r="C9" s="22"/>
      <c r="D9" s="23"/>
      <c r="E9" s="237" t="s">
        <v>68</v>
      </c>
      <c r="F9" s="238"/>
      <c r="G9" s="238"/>
      <c r="H9" s="239"/>
      <c r="I9" s="61" t="s">
        <v>9</v>
      </c>
      <c r="J9" s="27"/>
      <c r="K9" s="86"/>
      <c r="L9" s="88">
        <f>SUM(N14:N42)</f>
        <v>133</v>
      </c>
      <c r="M9" s="82"/>
      <c r="N9" s="93">
        <f>SUMIF(M14:M14,"■",N14:N14)</f>
        <v>0</v>
      </c>
      <c r="O9" s="210"/>
      <c r="P9" s="211"/>
      <c r="Q9" s="211"/>
      <c r="R9" s="211"/>
      <c r="S9" s="211"/>
      <c r="T9" s="211"/>
      <c r="U9" s="212"/>
    </row>
    <row r="10" spans="1:21" ht="14.45" customHeight="1">
      <c r="A10" s="45"/>
      <c r="B10" s="22" t="s">
        <v>10</v>
      </c>
      <c r="C10" s="22"/>
      <c r="D10" s="23"/>
      <c r="E10" s="219" t="s">
        <v>68</v>
      </c>
      <c r="F10" s="220"/>
      <c r="G10" s="220"/>
      <c r="H10" s="221"/>
      <c r="I10" s="61" t="s">
        <v>11</v>
      </c>
      <c r="J10" s="27"/>
      <c r="K10" s="86"/>
      <c r="L10" s="89">
        <f>E11*L9/1000</f>
        <v>0</v>
      </c>
      <c r="M10" s="82"/>
      <c r="N10" s="55"/>
      <c r="O10" s="210"/>
      <c r="P10" s="211"/>
      <c r="Q10" s="211"/>
      <c r="R10" s="211"/>
      <c r="S10" s="211"/>
      <c r="T10" s="211"/>
      <c r="U10" s="212"/>
    </row>
    <row r="11" spans="1:21" ht="17.25" customHeight="1" thickBot="1">
      <c r="A11" s="46"/>
      <c r="B11" s="24" t="s">
        <v>29</v>
      </c>
      <c r="C11" s="24"/>
      <c r="D11" s="25"/>
      <c r="E11" s="207"/>
      <c r="F11" s="208"/>
      <c r="G11" s="208"/>
      <c r="H11" s="209"/>
      <c r="I11" s="103" t="s">
        <v>12</v>
      </c>
      <c r="J11" s="104"/>
      <c r="K11" s="87"/>
      <c r="L11" s="90"/>
      <c r="M11" s="83"/>
      <c r="N11" s="56"/>
      <c r="O11" s="210"/>
      <c r="P11" s="211"/>
      <c r="Q11" s="211"/>
      <c r="R11" s="211"/>
      <c r="S11" s="211"/>
      <c r="T11" s="211"/>
      <c r="U11" s="212"/>
    </row>
    <row r="12" spans="1:21" ht="15.75" customHeight="1" thickBot="1">
      <c r="A12" s="64"/>
      <c r="B12" s="65"/>
      <c r="C12" s="30"/>
      <c r="D12" s="30"/>
      <c r="E12" s="31"/>
      <c r="F12" s="32"/>
      <c r="G12" s="29"/>
      <c r="H12" s="28"/>
      <c r="I12" s="29"/>
      <c r="J12" s="30" t="s">
        <v>13</v>
      </c>
      <c r="K12" s="31"/>
      <c r="L12" s="66"/>
      <c r="M12" s="48"/>
      <c r="N12" s="57">
        <f>COUNTA(H14:H14)</f>
        <v>1</v>
      </c>
      <c r="O12" s="213"/>
      <c r="P12" s="214"/>
      <c r="Q12" s="214"/>
      <c r="R12" s="214"/>
      <c r="S12" s="214"/>
      <c r="T12" s="214"/>
      <c r="U12" s="21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16" t="s">
        <v>32</v>
      </c>
      <c r="Q13" s="217"/>
      <c r="R13" s="217"/>
      <c r="S13" s="217"/>
      <c r="T13" s="217"/>
      <c r="U13" s="218"/>
    </row>
    <row r="14" spans="1:21" ht="15.75" customHeight="1">
      <c r="A14" s="85" t="s">
        <v>188</v>
      </c>
      <c r="B14" s="37">
        <f t="shared" ref="B14:B33" si="0">ROW()-13</f>
        <v>1</v>
      </c>
      <c r="C14" s="145" t="s">
        <v>186</v>
      </c>
      <c r="D14" s="80"/>
      <c r="E14" s="81"/>
      <c r="F14" s="146" t="s">
        <v>1029</v>
      </c>
      <c r="G14" s="17"/>
      <c r="H14" s="18" t="s">
        <v>49</v>
      </c>
      <c r="I14" s="59"/>
      <c r="J14" s="19">
        <v>1</v>
      </c>
      <c r="K14" s="19"/>
      <c r="L14" s="50" t="s">
        <v>187</v>
      </c>
      <c r="M14" s="73" t="s">
        <v>21</v>
      </c>
      <c r="N14" s="54">
        <f t="shared" ref="N14:N40" si="1">IF(H14="NUMBER",IF(J14&gt;0,INT((J14+1)/2+0.9),0),IF(H14="DATE",7,IF(OR(H14="LONG",H14="LONG RAW"),100000,J14)))</f>
        <v>1</v>
      </c>
      <c r="O14" s="167"/>
      <c r="P14" s="203" t="s">
        <v>174</v>
      </c>
      <c r="Q14" s="204"/>
      <c r="R14" s="204"/>
      <c r="S14" s="204"/>
      <c r="T14" s="204"/>
      <c r="U14" s="205"/>
    </row>
    <row r="15" spans="1:21" ht="15.75" customHeight="1">
      <c r="A15" s="85" t="s">
        <v>188</v>
      </c>
      <c r="B15" s="37">
        <f t="shared" si="0"/>
        <v>2</v>
      </c>
      <c r="C15" s="145" t="s">
        <v>325</v>
      </c>
      <c r="D15" s="80"/>
      <c r="E15" s="81"/>
      <c r="F15" s="146" t="s">
        <v>326</v>
      </c>
      <c r="G15" s="17"/>
      <c r="H15" s="18" t="s">
        <v>51</v>
      </c>
      <c r="I15" s="59"/>
      <c r="J15" s="19">
        <v>14</v>
      </c>
      <c r="K15" s="19"/>
      <c r="L15" s="50" t="s">
        <v>187</v>
      </c>
      <c r="M15" s="73" t="s">
        <v>21</v>
      </c>
      <c r="N15" s="54">
        <f t="shared" si="1"/>
        <v>14</v>
      </c>
      <c r="O15" s="167"/>
      <c r="P15" s="203" t="s">
        <v>327</v>
      </c>
      <c r="Q15" s="204"/>
      <c r="R15" s="204"/>
      <c r="S15" s="204"/>
      <c r="T15" s="204"/>
      <c r="U15" s="205"/>
    </row>
    <row r="16" spans="1:21" ht="15.75" customHeight="1">
      <c r="A16" s="85"/>
      <c r="B16" s="37">
        <f t="shared" si="0"/>
        <v>3</v>
      </c>
      <c r="C16" s="145" t="s">
        <v>189</v>
      </c>
      <c r="D16" s="80"/>
      <c r="E16" s="81"/>
      <c r="F16" s="146" t="s">
        <v>190</v>
      </c>
      <c r="G16" s="17"/>
      <c r="H16" s="18" t="s">
        <v>49</v>
      </c>
      <c r="I16" s="59"/>
      <c r="J16" s="19">
        <v>7</v>
      </c>
      <c r="K16" s="19"/>
      <c r="L16" s="50" t="s">
        <v>187</v>
      </c>
      <c r="M16" s="73" t="s">
        <v>21</v>
      </c>
      <c r="N16" s="54">
        <f t="shared" si="1"/>
        <v>7</v>
      </c>
      <c r="O16" s="167"/>
      <c r="P16" s="203"/>
      <c r="Q16" s="204"/>
      <c r="R16" s="204"/>
      <c r="S16" s="204"/>
      <c r="T16" s="204"/>
      <c r="U16" s="205"/>
    </row>
    <row r="17" spans="1:21" ht="15.75" customHeight="1">
      <c r="A17" s="85"/>
      <c r="B17" s="37">
        <f t="shared" si="0"/>
        <v>4</v>
      </c>
      <c r="C17" s="145" t="s">
        <v>193</v>
      </c>
      <c r="D17" s="80"/>
      <c r="E17" s="81"/>
      <c r="F17" s="146" t="s">
        <v>194</v>
      </c>
      <c r="G17" s="17"/>
      <c r="H17" s="18" t="s">
        <v>49</v>
      </c>
      <c r="I17" s="59"/>
      <c r="J17" s="19">
        <v>12</v>
      </c>
      <c r="K17" s="19"/>
      <c r="L17" s="50"/>
      <c r="M17" s="73" t="s">
        <v>21</v>
      </c>
      <c r="N17" s="54">
        <f t="shared" si="1"/>
        <v>12</v>
      </c>
      <c r="O17" s="167"/>
      <c r="P17" s="203"/>
      <c r="Q17" s="204"/>
      <c r="R17" s="204"/>
      <c r="S17" s="204"/>
      <c r="T17" s="204"/>
      <c r="U17" s="205"/>
    </row>
    <row r="18" spans="1:21" ht="15.75" customHeight="1">
      <c r="A18" s="85"/>
      <c r="B18" s="37">
        <f t="shared" si="0"/>
        <v>5</v>
      </c>
      <c r="C18" s="145" t="s">
        <v>195</v>
      </c>
      <c r="D18" s="80"/>
      <c r="E18" s="81"/>
      <c r="F18" s="146" t="s">
        <v>1058</v>
      </c>
      <c r="G18" s="17"/>
      <c r="H18" s="18" t="s">
        <v>49</v>
      </c>
      <c r="I18" s="59"/>
      <c r="J18" s="19">
        <v>1</v>
      </c>
      <c r="K18" s="19"/>
      <c r="L18" s="50" t="s">
        <v>187</v>
      </c>
      <c r="M18" s="73" t="s">
        <v>21</v>
      </c>
      <c r="N18" s="54">
        <f t="shared" si="1"/>
        <v>1</v>
      </c>
      <c r="O18" s="167"/>
      <c r="P18" s="203" t="s">
        <v>174</v>
      </c>
      <c r="Q18" s="204"/>
      <c r="R18" s="204"/>
      <c r="S18" s="204"/>
      <c r="T18" s="204"/>
      <c r="U18" s="205"/>
    </row>
    <row r="19" spans="1:21" ht="15.75" customHeight="1">
      <c r="A19" s="85"/>
      <c r="B19" s="37">
        <f t="shared" si="0"/>
        <v>6</v>
      </c>
      <c r="C19" s="145" t="s">
        <v>196</v>
      </c>
      <c r="D19" s="80"/>
      <c r="E19" s="81"/>
      <c r="F19" s="146" t="s">
        <v>197</v>
      </c>
      <c r="G19" s="17"/>
      <c r="H19" s="18" t="s">
        <v>51</v>
      </c>
      <c r="I19" s="59"/>
      <c r="J19" s="19">
        <v>25</v>
      </c>
      <c r="K19" s="19"/>
      <c r="L19" s="50" t="s">
        <v>187</v>
      </c>
      <c r="M19" s="73" t="s">
        <v>21</v>
      </c>
      <c r="N19" s="54">
        <f t="shared" si="1"/>
        <v>25</v>
      </c>
      <c r="O19" s="167"/>
      <c r="P19" s="203"/>
      <c r="Q19" s="204"/>
      <c r="R19" s="204"/>
      <c r="S19" s="204"/>
      <c r="T19" s="204"/>
      <c r="U19" s="205"/>
    </row>
    <row r="20" spans="1:21" ht="15.75" customHeight="1">
      <c r="A20" s="85"/>
      <c r="B20" s="37">
        <f t="shared" si="0"/>
        <v>7</v>
      </c>
      <c r="C20" s="145" t="s">
        <v>198</v>
      </c>
      <c r="D20" s="80"/>
      <c r="E20" s="81"/>
      <c r="F20" s="146" t="s">
        <v>199</v>
      </c>
      <c r="G20" s="17"/>
      <c r="H20" s="18" t="s">
        <v>51</v>
      </c>
      <c r="I20" s="59"/>
      <c r="J20" s="19">
        <v>4</v>
      </c>
      <c r="K20" s="19"/>
      <c r="L20" s="50" t="s">
        <v>187</v>
      </c>
      <c r="M20" s="73" t="s">
        <v>21</v>
      </c>
      <c r="N20" s="54">
        <f t="shared" si="1"/>
        <v>4</v>
      </c>
      <c r="O20" s="167"/>
      <c r="P20" s="203" t="s">
        <v>200</v>
      </c>
      <c r="Q20" s="204"/>
      <c r="R20" s="204"/>
      <c r="S20" s="204"/>
      <c r="T20" s="204"/>
      <c r="U20" s="205"/>
    </row>
    <row r="21" spans="1:21" ht="62.85" customHeight="1">
      <c r="A21" s="85"/>
      <c r="B21" s="37">
        <f t="shared" si="0"/>
        <v>8</v>
      </c>
      <c r="C21" s="145" t="s">
        <v>201</v>
      </c>
      <c r="D21" s="80"/>
      <c r="E21" s="81"/>
      <c r="F21" s="146" t="s">
        <v>202</v>
      </c>
      <c r="G21" s="17"/>
      <c r="H21" s="18" t="s">
        <v>49</v>
      </c>
      <c r="I21" s="59"/>
      <c r="J21" s="19">
        <v>1</v>
      </c>
      <c r="K21" s="19"/>
      <c r="L21" s="50" t="s">
        <v>187</v>
      </c>
      <c r="M21" s="73" t="s">
        <v>21</v>
      </c>
      <c r="N21" s="54">
        <f t="shared" si="1"/>
        <v>1</v>
      </c>
      <c r="O21" s="167"/>
      <c r="P21" s="206" t="s">
        <v>328</v>
      </c>
      <c r="Q21" s="204"/>
      <c r="R21" s="204"/>
      <c r="S21" s="204"/>
      <c r="T21" s="204"/>
      <c r="U21" s="205"/>
    </row>
    <row r="22" spans="1:21" ht="27.6" customHeight="1">
      <c r="A22" s="85"/>
      <c r="B22" s="37">
        <f t="shared" si="0"/>
        <v>9</v>
      </c>
      <c r="C22" s="145" t="s">
        <v>204</v>
      </c>
      <c r="D22" s="80"/>
      <c r="E22" s="81"/>
      <c r="F22" s="146" t="s">
        <v>205</v>
      </c>
      <c r="G22" s="17"/>
      <c r="H22" s="18" t="s">
        <v>49</v>
      </c>
      <c r="I22" s="59"/>
      <c r="J22" s="19">
        <v>1</v>
      </c>
      <c r="K22" s="19"/>
      <c r="L22" s="50" t="s">
        <v>187</v>
      </c>
      <c r="M22" s="73" t="s">
        <v>21</v>
      </c>
      <c r="N22" s="54">
        <f t="shared" si="1"/>
        <v>1</v>
      </c>
      <c r="O22" s="167"/>
      <c r="P22" s="206" t="s">
        <v>206</v>
      </c>
      <c r="Q22" s="204"/>
      <c r="R22" s="204"/>
      <c r="S22" s="204"/>
      <c r="T22" s="204"/>
      <c r="U22" s="205"/>
    </row>
    <row r="23" spans="1:21" ht="15.75" customHeight="1">
      <c r="A23" s="85"/>
      <c r="B23" s="37">
        <f t="shared" si="0"/>
        <v>10</v>
      </c>
      <c r="C23" s="145" t="s">
        <v>215</v>
      </c>
      <c r="D23" s="80"/>
      <c r="E23" s="81"/>
      <c r="F23" s="146" t="s">
        <v>216</v>
      </c>
      <c r="G23" s="17"/>
      <c r="H23" s="18" t="s">
        <v>24</v>
      </c>
      <c r="I23" s="59"/>
      <c r="J23" s="19"/>
      <c r="K23" s="19"/>
      <c r="L23" s="50"/>
      <c r="M23" s="73" t="s">
        <v>21</v>
      </c>
      <c r="N23" s="54">
        <f t="shared" si="1"/>
        <v>7</v>
      </c>
      <c r="O23" s="167"/>
      <c r="P23" s="203"/>
      <c r="Q23" s="204"/>
      <c r="R23" s="204"/>
      <c r="S23" s="204"/>
      <c r="T23" s="204"/>
      <c r="U23" s="205"/>
    </row>
    <row r="24" spans="1:21" ht="15.75" customHeight="1">
      <c r="A24" s="85"/>
      <c r="B24" s="37">
        <f t="shared" si="0"/>
        <v>11</v>
      </c>
      <c r="C24" s="145" t="s">
        <v>329</v>
      </c>
      <c r="D24" s="80"/>
      <c r="E24" s="81"/>
      <c r="F24" s="146" t="s">
        <v>330</v>
      </c>
      <c r="G24" s="17"/>
      <c r="H24" s="18" t="s">
        <v>54</v>
      </c>
      <c r="I24" s="59"/>
      <c r="J24" s="19"/>
      <c r="K24" s="19"/>
      <c r="L24" s="50"/>
      <c r="M24" s="73" t="s">
        <v>21</v>
      </c>
      <c r="N24" s="54">
        <f t="shared" si="1"/>
        <v>0</v>
      </c>
      <c r="O24" s="167"/>
      <c r="P24" s="203"/>
      <c r="Q24" s="204"/>
      <c r="R24" s="204"/>
      <c r="S24" s="204"/>
      <c r="T24" s="204"/>
      <c r="U24" s="205"/>
    </row>
    <row r="25" spans="1:21" ht="39.200000000000003" customHeight="1">
      <c r="A25" s="85"/>
      <c r="B25" s="37">
        <f t="shared" si="0"/>
        <v>12</v>
      </c>
      <c r="C25" s="145" t="s">
        <v>331</v>
      </c>
      <c r="D25" s="80"/>
      <c r="E25" s="81"/>
      <c r="F25" s="146" t="s">
        <v>332</v>
      </c>
      <c r="G25" s="17"/>
      <c r="H25" s="18" t="s">
        <v>49</v>
      </c>
      <c r="I25" s="59"/>
      <c r="J25" s="19">
        <v>1</v>
      </c>
      <c r="K25" s="19"/>
      <c r="L25" s="50"/>
      <c r="M25" s="73" t="s">
        <v>21</v>
      </c>
      <c r="N25" s="54">
        <f t="shared" si="1"/>
        <v>1</v>
      </c>
      <c r="O25" s="167"/>
      <c r="P25" s="206" t="s">
        <v>219</v>
      </c>
      <c r="Q25" s="204"/>
      <c r="R25" s="204"/>
      <c r="S25" s="204"/>
      <c r="T25" s="204"/>
      <c r="U25" s="205"/>
    </row>
    <row r="26" spans="1:21" ht="15.75" customHeight="1">
      <c r="A26" s="85"/>
      <c r="B26" s="37">
        <f t="shared" si="0"/>
        <v>13</v>
      </c>
      <c r="C26" s="145" t="s">
        <v>191</v>
      </c>
      <c r="D26" s="80"/>
      <c r="E26" s="81"/>
      <c r="F26" s="146" t="s">
        <v>192</v>
      </c>
      <c r="G26" s="17"/>
      <c r="H26" s="18" t="s">
        <v>49</v>
      </c>
      <c r="I26" s="59"/>
      <c r="J26" s="19">
        <v>2</v>
      </c>
      <c r="K26" s="19"/>
      <c r="L26" s="50"/>
      <c r="M26" s="73" t="s">
        <v>21</v>
      </c>
      <c r="N26" s="54">
        <f t="shared" si="1"/>
        <v>2</v>
      </c>
      <c r="O26" s="167"/>
      <c r="P26" s="203" t="s">
        <v>163</v>
      </c>
      <c r="Q26" s="204"/>
      <c r="R26" s="204"/>
      <c r="S26" s="204"/>
      <c r="T26" s="204"/>
      <c r="U26" s="205"/>
    </row>
    <row r="27" spans="1:21" ht="15.75" customHeight="1">
      <c r="A27" s="85"/>
      <c r="B27" s="37">
        <f t="shared" si="0"/>
        <v>14</v>
      </c>
      <c r="C27" s="145" t="s">
        <v>207</v>
      </c>
      <c r="D27" s="80"/>
      <c r="E27" s="81"/>
      <c r="F27" s="146" t="s">
        <v>208</v>
      </c>
      <c r="G27" s="17"/>
      <c r="H27" s="18" t="s">
        <v>209</v>
      </c>
      <c r="I27" s="59"/>
      <c r="J27" s="19"/>
      <c r="K27" s="19"/>
      <c r="L27" s="50"/>
      <c r="M27" s="73" t="s">
        <v>21</v>
      </c>
      <c r="N27" s="54">
        <f t="shared" si="1"/>
        <v>0</v>
      </c>
      <c r="O27" s="167"/>
      <c r="P27" s="203"/>
      <c r="Q27" s="204"/>
      <c r="R27" s="204"/>
      <c r="S27" s="204"/>
      <c r="T27" s="204"/>
      <c r="U27" s="205"/>
    </row>
    <row r="28" spans="1:21" ht="27.6" customHeight="1">
      <c r="A28" s="85"/>
      <c r="B28" s="37">
        <f t="shared" si="0"/>
        <v>15</v>
      </c>
      <c r="C28" s="145" t="s">
        <v>333</v>
      </c>
      <c r="D28" s="80"/>
      <c r="E28" s="81"/>
      <c r="F28" s="146" t="s">
        <v>334</v>
      </c>
      <c r="G28" s="17"/>
      <c r="H28" s="18" t="s">
        <v>49</v>
      </c>
      <c r="I28" s="59"/>
      <c r="J28" s="19">
        <v>1</v>
      </c>
      <c r="K28" s="19"/>
      <c r="L28" s="50"/>
      <c r="M28" s="73" t="s">
        <v>21</v>
      </c>
      <c r="N28" s="54">
        <f t="shared" si="1"/>
        <v>1</v>
      </c>
      <c r="O28" s="167"/>
      <c r="P28" s="206" t="s">
        <v>335</v>
      </c>
      <c r="Q28" s="204"/>
      <c r="R28" s="204"/>
      <c r="S28" s="204"/>
      <c r="T28" s="204"/>
      <c r="U28" s="205"/>
    </row>
    <row r="29" spans="1:21" ht="27.6" customHeight="1">
      <c r="A29" s="85"/>
      <c r="B29" s="37">
        <f t="shared" si="0"/>
        <v>16</v>
      </c>
      <c r="C29" s="145" t="s">
        <v>336</v>
      </c>
      <c r="D29" s="80"/>
      <c r="E29" s="81"/>
      <c r="F29" s="146" t="s">
        <v>337</v>
      </c>
      <c r="G29" s="17"/>
      <c r="H29" s="18" t="s">
        <v>49</v>
      </c>
      <c r="I29" s="59"/>
      <c r="J29" s="19">
        <v>1</v>
      </c>
      <c r="K29" s="19"/>
      <c r="L29" s="50"/>
      <c r="M29" s="73" t="s">
        <v>21</v>
      </c>
      <c r="N29" s="54">
        <f t="shared" si="1"/>
        <v>1</v>
      </c>
      <c r="O29" s="167"/>
      <c r="P29" s="206" t="s">
        <v>338</v>
      </c>
      <c r="Q29" s="204"/>
      <c r="R29" s="204"/>
      <c r="S29" s="204"/>
      <c r="T29" s="204"/>
      <c r="U29" s="205"/>
    </row>
    <row r="30" spans="1:21" ht="27.6" customHeight="1">
      <c r="A30" s="85"/>
      <c r="B30" s="37">
        <f t="shared" si="0"/>
        <v>17</v>
      </c>
      <c r="C30" s="145" t="s">
        <v>339</v>
      </c>
      <c r="D30" s="80"/>
      <c r="E30" s="81"/>
      <c r="F30" s="146" t="s">
        <v>340</v>
      </c>
      <c r="G30" s="17"/>
      <c r="H30" s="18" t="s">
        <v>49</v>
      </c>
      <c r="I30" s="59"/>
      <c r="J30" s="19">
        <v>1</v>
      </c>
      <c r="K30" s="19"/>
      <c r="L30" s="50"/>
      <c r="M30" s="73" t="s">
        <v>21</v>
      </c>
      <c r="N30" s="54">
        <f t="shared" si="1"/>
        <v>1</v>
      </c>
      <c r="O30" s="167"/>
      <c r="P30" s="206" t="s">
        <v>341</v>
      </c>
      <c r="Q30" s="204"/>
      <c r="R30" s="204"/>
      <c r="S30" s="204"/>
      <c r="T30" s="204"/>
      <c r="U30" s="205"/>
    </row>
    <row r="31" spans="1:21" ht="27.6" customHeight="1">
      <c r="A31" s="85"/>
      <c r="B31" s="37">
        <f t="shared" si="0"/>
        <v>18</v>
      </c>
      <c r="C31" s="145" t="s">
        <v>342</v>
      </c>
      <c r="D31" s="80"/>
      <c r="E31" s="81"/>
      <c r="F31" s="146" t="s">
        <v>343</v>
      </c>
      <c r="G31" s="17"/>
      <c r="H31" s="18" t="s">
        <v>49</v>
      </c>
      <c r="I31" s="59"/>
      <c r="J31" s="19">
        <v>1</v>
      </c>
      <c r="K31" s="19"/>
      <c r="L31" s="50"/>
      <c r="M31" s="73" t="s">
        <v>21</v>
      </c>
      <c r="N31" s="54">
        <f t="shared" si="1"/>
        <v>1</v>
      </c>
      <c r="O31" s="167"/>
      <c r="P31" s="206" t="s">
        <v>344</v>
      </c>
      <c r="Q31" s="204"/>
      <c r="R31" s="204"/>
      <c r="S31" s="204"/>
      <c r="T31" s="204"/>
      <c r="U31" s="205"/>
    </row>
    <row r="32" spans="1:21" ht="15.75" customHeight="1">
      <c r="A32" s="85"/>
      <c r="B32" s="37">
        <f t="shared" si="0"/>
        <v>19</v>
      </c>
      <c r="C32" s="145" t="s">
        <v>345</v>
      </c>
      <c r="D32" s="80"/>
      <c r="E32" s="81"/>
      <c r="F32" s="146" t="s">
        <v>346</v>
      </c>
      <c r="G32" s="17"/>
      <c r="H32" s="18" t="s">
        <v>209</v>
      </c>
      <c r="I32" s="59"/>
      <c r="J32" s="19"/>
      <c r="K32" s="19"/>
      <c r="L32" s="50"/>
      <c r="M32" s="73" t="s">
        <v>21</v>
      </c>
      <c r="N32" s="54">
        <f t="shared" si="1"/>
        <v>0</v>
      </c>
      <c r="O32" s="167"/>
      <c r="P32" s="203" t="s">
        <v>347</v>
      </c>
      <c r="Q32" s="204"/>
      <c r="R32" s="204"/>
      <c r="S32" s="204"/>
      <c r="T32" s="204"/>
      <c r="U32" s="205"/>
    </row>
    <row r="33" spans="1:21" ht="27.6" customHeight="1">
      <c r="A33" s="85"/>
      <c r="B33" s="37">
        <f t="shared" si="0"/>
        <v>20</v>
      </c>
      <c r="C33" s="145" t="s">
        <v>225</v>
      </c>
      <c r="D33" s="80"/>
      <c r="E33" s="81"/>
      <c r="F33" s="146" t="s">
        <v>226</v>
      </c>
      <c r="G33" s="17"/>
      <c r="H33" s="18" t="s">
        <v>49</v>
      </c>
      <c r="I33" s="59"/>
      <c r="J33" s="19">
        <v>1</v>
      </c>
      <c r="K33" s="19"/>
      <c r="L33" s="50"/>
      <c r="M33" s="73" t="s">
        <v>21</v>
      </c>
      <c r="N33" s="54">
        <f t="shared" si="1"/>
        <v>1</v>
      </c>
      <c r="O33" s="167"/>
      <c r="P33" s="206" t="s">
        <v>227</v>
      </c>
      <c r="Q33" s="204"/>
      <c r="R33" s="204"/>
      <c r="S33" s="204"/>
      <c r="T33" s="204"/>
      <c r="U33" s="205"/>
    </row>
    <row r="34" spans="1:21" ht="15.75">
      <c r="A34" s="85"/>
      <c r="B34" s="37">
        <f t="shared" ref="B34:B40" si="2">ROW()-13</f>
        <v>21</v>
      </c>
      <c r="C34" s="107" t="s">
        <v>36</v>
      </c>
      <c r="D34" s="107"/>
      <c r="E34" s="108"/>
      <c r="F34" s="109" t="s">
        <v>78</v>
      </c>
      <c r="G34" s="110"/>
      <c r="H34" s="18" t="s">
        <v>51</v>
      </c>
      <c r="I34" s="59"/>
      <c r="J34" s="113">
        <v>12</v>
      </c>
      <c r="K34" s="113"/>
      <c r="L34" s="114"/>
      <c r="M34" s="115" t="s">
        <v>35</v>
      </c>
      <c r="N34" s="116">
        <f t="shared" si="1"/>
        <v>12</v>
      </c>
      <c r="O34" s="168"/>
      <c r="P34" s="200"/>
      <c r="Q34" s="201"/>
      <c r="R34" s="201"/>
      <c r="S34" s="201"/>
      <c r="T34" s="201"/>
      <c r="U34" s="202"/>
    </row>
    <row r="35" spans="1:21" ht="15.75">
      <c r="A35" s="85"/>
      <c r="B35" s="37">
        <f t="shared" si="2"/>
        <v>22</v>
      </c>
      <c r="C35" s="107" t="s">
        <v>37</v>
      </c>
      <c r="D35" s="107"/>
      <c r="E35" s="108"/>
      <c r="F35" s="109" t="s">
        <v>43</v>
      </c>
      <c r="G35" s="110"/>
      <c r="H35" s="18" t="s">
        <v>51</v>
      </c>
      <c r="I35" s="59"/>
      <c r="J35" s="113">
        <v>10</v>
      </c>
      <c r="K35" s="113"/>
      <c r="L35" s="114"/>
      <c r="M35" s="115" t="s">
        <v>21</v>
      </c>
      <c r="N35" s="116">
        <f t="shared" si="1"/>
        <v>10</v>
      </c>
      <c r="O35" s="168"/>
      <c r="P35" s="200"/>
      <c r="Q35" s="201"/>
      <c r="R35" s="201"/>
      <c r="S35" s="201"/>
      <c r="T35" s="201"/>
      <c r="U35" s="202"/>
    </row>
    <row r="36" spans="1:21" ht="15.75">
      <c r="A36" s="85"/>
      <c r="B36" s="37">
        <f t="shared" si="2"/>
        <v>23</v>
      </c>
      <c r="C36" s="107" t="s">
        <v>38</v>
      </c>
      <c r="D36" s="107"/>
      <c r="E36" s="108"/>
      <c r="F36" s="109" t="s">
        <v>80</v>
      </c>
      <c r="G36" s="110"/>
      <c r="H36" s="18" t="s">
        <v>86</v>
      </c>
      <c r="I36" s="59"/>
      <c r="J36" s="113"/>
      <c r="K36" s="113"/>
      <c r="L36" s="114"/>
      <c r="M36" s="115" t="s">
        <v>21</v>
      </c>
      <c r="N36" s="116">
        <f t="shared" si="1"/>
        <v>0</v>
      </c>
      <c r="O36" s="168"/>
      <c r="P36" s="200"/>
      <c r="Q36" s="201"/>
      <c r="R36" s="201"/>
      <c r="S36" s="201"/>
      <c r="T36" s="201"/>
      <c r="U36" s="202"/>
    </row>
    <row r="37" spans="1:21" ht="15.75">
      <c r="A37" s="85"/>
      <c r="B37" s="37">
        <f t="shared" si="2"/>
        <v>24</v>
      </c>
      <c r="C37" s="107" t="s">
        <v>39</v>
      </c>
      <c r="D37" s="107"/>
      <c r="E37" s="108"/>
      <c r="F37" s="109" t="s">
        <v>79</v>
      </c>
      <c r="G37" s="110"/>
      <c r="H37" s="18" t="s">
        <v>51</v>
      </c>
      <c r="I37" s="59"/>
      <c r="J37" s="113">
        <v>12</v>
      </c>
      <c r="K37" s="113"/>
      <c r="L37" s="114"/>
      <c r="M37" s="115" t="s">
        <v>35</v>
      </c>
      <c r="N37" s="116">
        <f t="shared" si="1"/>
        <v>12</v>
      </c>
      <c r="O37" s="168"/>
      <c r="P37" s="200"/>
      <c r="Q37" s="201"/>
      <c r="R37" s="201"/>
      <c r="S37" s="201"/>
      <c r="T37" s="201"/>
      <c r="U37" s="202"/>
    </row>
    <row r="38" spans="1:21" ht="15.75">
      <c r="A38" s="85"/>
      <c r="B38" s="37">
        <f t="shared" si="2"/>
        <v>25</v>
      </c>
      <c r="C38" s="107" t="s">
        <v>40</v>
      </c>
      <c r="D38" s="107"/>
      <c r="E38" s="108"/>
      <c r="F38" s="109" t="s">
        <v>44</v>
      </c>
      <c r="G38" s="110"/>
      <c r="H38" s="18" t="s">
        <v>51</v>
      </c>
      <c r="I38" s="59"/>
      <c r="J38" s="113">
        <v>10</v>
      </c>
      <c r="K38" s="113"/>
      <c r="L38" s="114"/>
      <c r="M38" s="115" t="s">
        <v>21</v>
      </c>
      <c r="N38" s="116">
        <f t="shared" si="1"/>
        <v>10</v>
      </c>
      <c r="O38" s="168"/>
      <c r="P38" s="200"/>
      <c r="Q38" s="201"/>
      <c r="R38" s="201"/>
      <c r="S38" s="201"/>
      <c r="T38" s="201"/>
      <c r="U38" s="202"/>
    </row>
    <row r="39" spans="1:21" ht="15.75">
      <c r="A39" s="85"/>
      <c r="B39" s="37">
        <f t="shared" si="2"/>
        <v>26</v>
      </c>
      <c r="C39" s="107" t="s">
        <v>41</v>
      </c>
      <c r="D39" s="107"/>
      <c r="E39" s="108"/>
      <c r="F39" s="109" t="s">
        <v>81</v>
      </c>
      <c r="G39" s="110"/>
      <c r="H39" s="18" t="s">
        <v>86</v>
      </c>
      <c r="I39" s="59"/>
      <c r="J39" s="113"/>
      <c r="K39" s="113"/>
      <c r="L39" s="114"/>
      <c r="M39" s="115" t="s">
        <v>21</v>
      </c>
      <c r="N39" s="116">
        <f t="shared" si="1"/>
        <v>0</v>
      </c>
      <c r="O39" s="168"/>
      <c r="P39" s="200"/>
      <c r="Q39" s="201"/>
      <c r="R39" s="201"/>
      <c r="S39" s="201"/>
      <c r="T39" s="201"/>
      <c r="U39" s="202"/>
    </row>
    <row r="40" spans="1:21" ht="15.75">
      <c r="A40" s="85"/>
      <c r="B40" s="37">
        <f t="shared" si="2"/>
        <v>27</v>
      </c>
      <c r="C40" s="80" t="s">
        <v>46</v>
      </c>
      <c r="D40" s="80"/>
      <c r="E40" s="81"/>
      <c r="F40" s="84" t="s">
        <v>71</v>
      </c>
      <c r="G40" s="17"/>
      <c r="H40" s="18" t="s">
        <v>62</v>
      </c>
      <c r="I40" s="59"/>
      <c r="J40" s="19">
        <v>8</v>
      </c>
      <c r="K40" s="19"/>
      <c r="L40" s="50" t="s">
        <v>47</v>
      </c>
      <c r="M40" s="73" t="s">
        <v>35</v>
      </c>
      <c r="N40" s="54">
        <f t="shared" si="1"/>
        <v>8</v>
      </c>
      <c r="O40" s="167">
        <v>0</v>
      </c>
      <c r="P40" s="203" t="s">
        <v>48</v>
      </c>
      <c r="Q40" s="204"/>
      <c r="R40" s="204"/>
      <c r="S40" s="204"/>
      <c r="T40" s="204"/>
      <c r="U40" s="205"/>
    </row>
    <row r="41" spans="1:21" ht="16.5" thickBot="1">
      <c r="A41" s="118"/>
      <c r="B41" s="119"/>
      <c r="C41" s="120"/>
      <c r="D41" s="120"/>
      <c r="E41" s="121"/>
      <c r="F41" s="129"/>
      <c r="G41" s="122"/>
      <c r="H41" s="147"/>
      <c r="I41" s="148"/>
      <c r="J41" s="125"/>
      <c r="K41" s="125"/>
      <c r="L41" s="126"/>
      <c r="M41" s="126"/>
      <c r="N41" s="127"/>
      <c r="O41" s="169"/>
      <c r="P41" s="197"/>
      <c r="Q41" s="198"/>
      <c r="R41" s="198"/>
      <c r="S41" s="198"/>
      <c r="T41" s="198"/>
      <c r="U41" s="199"/>
    </row>
  </sheetData>
  <mergeCells count="58">
    <mergeCell ref="O1:U1"/>
    <mergeCell ref="J2:K2"/>
    <mergeCell ref="L2:M2"/>
    <mergeCell ref="O2:U2"/>
    <mergeCell ref="J3:K3"/>
    <mergeCell ref="L3:M3"/>
    <mergeCell ref="O3:U3"/>
    <mergeCell ref="J4:K4"/>
    <mergeCell ref="L4:M4"/>
    <mergeCell ref="O4:U4"/>
    <mergeCell ref="J5:K5"/>
    <mergeCell ref="L5:M5"/>
    <mergeCell ref="O5:U5"/>
    <mergeCell ref="E10:H10"/>
    <mergeCell ref="O10:U10"/>
    <mergeCell ref="E6:H6"/>
    <mergeCell ref="K6:M6"/>
    <mergeCell ref="O6:U6"/>
    <mergeCell ref="E7:H7"/>
    <mergeCell ref="K7:M7"/>
    <mergeCell ref="O7:U7"/>
    <mergeCell ref="E8:H8"/>
    <mergeCell ref="K8:M8"/>
    <mergeCell ref="O8:U8"/>
    <mergeCell ref="E9:H9"/>
    <mergeCell ref="O9:U9"/>
    <mergeCell ref="P21:U21"/>
    <mergeCell ref="E11:H11"/>
    <mergeCell ref="O11:U11"/>
    <mergeCell ref="O12:U12"/>
    <mergeCell ref="P13:U13"/>
    <mergeCell ref="P14:U14"/>
    <mergeCell ref="P15:U15"/>
    <mergeCell ref="P16:U16"/>
    <mergeCell ref="P17:U17"/>
    <mergeCell ref="P18:U18"/>
    <mergeCell ref="P19:U19"/>
    <mergeCell ref="P20:U20"/>
    <mergeCell ref="P33:U33"/>
    <mergeCell ref="P22:U22"/>
    <mergeCell ref="P23:U23"/>
    <mergeCell ref="P24:U24"/>
    <mergeCell ref="P25:U25"/>
    <mergeCell ref="P26:U26"/>
    <mergeCell ref="P27:U27"/>
    <mergeCell ref="P28:U28"/>
    <mergeCell ref="P29:U29"/>
    <mergeCell ref="P30:U30"/>
    <mergeCell ref="P31:U31"/>
    <mergeCell ref="P32:U32"/>
    <mergeCell ref="P40:U40"/>
    <mergeCell ref="P41:U41"/>
    <mergeCell ref="P34:U34"/>
    <mergeCell ref="P35:U35"/>
    <mergeCell ref="P36:U36"/>
    <mergeCell ref="P37:U37"/>
    <mergeCell ref="P38:U38"/>
    <mergeCell ref="P39:U39"/>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505"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21506"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21507"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21508"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21509"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21510"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FD78002E-2E99-4BCE-8451-F73C61471AF3}">
            <xm:f>(AND(H14&lt;&gt;"",ISERROR(VLOOKUP(H14,system!$E:$E,1,FALSE))))</xm:f>
            <x14:dxf>
              <fill>
                <patternFill patternType="solid">
                  <bgColor rgb="FFFF0000"/>
                </patternFill>
              </fill>
            </x14:dxf>
          </x14:cfRule>
          <xm:sqref>H14:H33</xm:sqref>
        </x14:conditionalFormatting>
        <x14:conditionalFormatting xmlns:xm="http://schemas.microsoft.com/office/excel/2006/main">
          <x14:cfRule type="expression" priority="3" id="{A9530524-3602-434A-BA58-36254100A23E}">
            <xm:f>(AND(H14&lt;&gt;"",ISERROR(VLOOKUP(H14,system!$E:$E,1,FALSE))))</xm:f>
            <x14:dxf>
              <fill>
                <patternFill>
                  <bgColor rgb="FFFF0000"/>
                </patternFill>
              </fill>
            </x14:dxf>
          </x14:cfRule>
          <xm:sqref>I14:I33</xm:sqref>
        </x14:conditionalFormatting>
        <x14:conditionalFormatting xmlns:xm="http://schemas.microsoft.com/office/excel/2006/main">
          <x14:cfRule type="expression" priority="2" id="{AE9A1311-8208-43E9-A6C6-4694BA6A73DE}">
            <xm:f>(AND(H34&lt;&gt;"",ISERROR(VLOOKUP(H34,system!$E:$E,1,FALSE))))</xm:f>
            <x14:dxf>
              <fill>
                <patternFill patternType="solid">
                  <bgColor rgb="FFFF0000"/>
                </patternFill>
              </fill>
            </x14:dxf>
          </x14:cfRule>
          <xm:sqref>H34:H41</xm:sqref>
        </x14:conditionalFormatting>
        <x14:conditionalFormatting xmlns:xm="http://schemas.microsoft.com/office/excel/2006/main">
          <x14:cfRule type="expression" priority="1" id="{9B2EE9EB-6E78-4DA1-A00D-9F7A927299EB}">
            <xm:f>(AND(H34&lt;&gt;"",ISERROR(VLOOKUP(H34,system!$E:$E,1,FALSE))))</xm:f>
            <x14:dxf>
              <fill>
                <patternFill>
                  <bgColor rgb="FFFF0000"/>
                </patternFill>
              </fill>
            </x14:dxf>
          </x14:cfRule>
          <xm:sqref>I34:I41</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fitToPage="1"/>
  </sheetPr>
  <dimension ref="A1:U33"/>
  <sheetViews>
    <sheetView showGridLines="0" zoomScaleNormal="100" workbookViewId="0">
      <pane ySplit="13" topLeftCell="A23" activePane="bottomLeft" state="frozen"/>
      <selection activeCell="D13" sqref="D13"/>
      <selection pane="bottomLeft" activeCell="H26" sqref="H2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7" t="s">
        <v>27</v>
      </c>
      <c r="P1" s="248"/>
      <c r="Q1" s="248"/>
      <c r="R1" s="248"/>
      <c r="S1" s="248"/>
      <c r="T1" s="248"/>
      <c r="U1" s="249"/>
    </row>
    <row r="2" spans="1:21" ht="14.45" customHeight="1">
      <c r="A2" s="39"/>
      <c r="B2" s="100" t="s">
        <v>64</v>
      </c>
      <c r="C2" s="5"/>
      <c r="D2" s="5"/>
      <c r="E2" s="5"/>
      <c r="F2" s="5"/>
      <c r="G2" s="6"/>
      <c r="H2" s="7"/>
      <c r="I2" s="8"/>
      <c r="J2" s="250"/>
      <c r="K2" s="251"/>
      <c r="L2" s="250"/>
      <c r="M2" s="251"/>
      <c r="N2" s="52"/>
      <c r="O2" s="252" t="s">
        <v>351</v>
      </c>
      <c r="P2" s="253"/>
      <c r="Q2" s="253"/>
      <c r="R2" s="253"/>
      <c r="S2" s="253"/>
      <c r="T2" s="253"/>
      <c r="U2" s="254"/>
    </row>
    <row r="3" spans="1:21" ht="14.25" customHeight="1">
      <c r="A3" s="40"/>
      <c r="B3" s="35"/>
      <c r="C3" s="5"/>
      <c r="D3" s="5"/>
      <c r="E3" s="5"/>
      <c r="F3" s="5"/>
      <c r="G3" s="9"/>
      <c r="H3" s="10"/>
      <c r="I3" s="176" t="s">
        <v>1032</v>
      </c>
      <c r="J3" s="255" t="s">
        <v>1032</v>
      </c>
      <c r="K3" s="256"/>
      <c r="L3" s="255" t="s">
        <v>1032</v>
      </c>
      <c r="M3" s="256"/>
      <c r="N3" s="52"/>
      <c r="O3" s="257"/>
      <c r="P3" s="258"/>
      <c r="Q3" s="258"/>
      <c r="R3" s="258"/>
      <c r="S3" s="258"/>
      <c r="T3" s="258"/>
      <c r="U3" s="259"/>
    </row>
    <row r="4" spans="1:21" ht="14.45" customHeight="1">
      <c r="A4" s="41"/>
      <c r="B4" s="36" t="s">
        <v>3</v>
      </c>
      <c r="C4" s="5"/>
      <c r="D4" s="5"/>
      <c r="E4" s="5"/>
      <c r="F4" s="5"/>
      <c r="G4" s="6"/>
      <c r="H4" s="10"/>
      <c r="I4" s="177" t="s">
        <v>1035</v>
      </c>
      <c r="J4" s="240" t="s">
        <v>1034</v>
      </c>
      <c r="K4" s="241"/>
      <c r="L4" s="240" t="s">
        <v>1033</v>
      </c>
      <c r="M4" s="241"/>
      <c r="N4" s="52"/>
      <c r="O4" s="210"/>
      <c r="P4" s="211"/>
      <c r="Q4" s="211"/>
      <c r="R4" s="211"/>
      <c r="S4" s="211"/>
      <c r="T4" s="211"/>
      <c r="U4" s="212"/>
    </row>
    <row r="5" spans="1:21" ht="14.45" customHeight="1" thickBot="1">
      <c r="A5" s="42"/>
      <c r="B5" s="11"/>
      <c r="C5" s="11"/>
      <c r="D5" s="11"/>
      <c r="E5" s="11"/>
      <c r="F5" s="11"/>
      <c r="G5" s="12"/>
      <c r="H5" s="13"/>
      <c r="I5" s="14"/>
      <c r="J5" s="242"/>
      <c r="K5" s="243"/>
      <c r="L5" s="244"/>
      <c r="M5" s="245"/>
      <c r="N5" s="53"/>
      <c r="O5" s="246"/>
      <c r="P5" s="211"/>
      <c r="Q5" s="211"/>
      <c r="R5" s="211"/>
      <c r="S5" s="211"/>
      <c r="T5" s="211"/>
      <c r="U5" s="212"/>
    </row>
    <row r="6" spans="1:21" ht="14.45" customHeight="1">
      <c r="A6" s="43"/>
      <c r="B6" s="101" t="s">
        <v>4</v>
      </c>
      <c r="C6" s="20"/>
      <c r="D6" s="21"/>
      <c r="E6" s="222" t="s">
        <v>65</v>
      </c>
      <c r="F6" s="223"/>
      <c r="G6" s="223"/>
      <c r="H6" s="224"/>
      <c r="I6" s="60" t="s">
        <v>26</v>
      </c>
      <c r="J6" s="26"/>
      <c r="K6" s="225" t="s">
        <v>33</v>
      </c>
      <c r="L6" s="226"/>
      <c r="M6" s="227"/>
      <c r="N6" s="91" t="s">
        <v>5</v>
      </c>
      <c r="O6" s="210"/>
      <c r="P6" s="211"/>
      <c r="Q6" s="211"/>
      <c r="R6" s="211"/>
      <c r="S6" s="211"/>
      <c r="T6" s="211"/>
      <c r="U6" s="212"/>
    </row>
    <row r="7" spans="1:21" ht="15.75" customHeight="1">
      <c r="A7" s="44"/>
      <c r="B7" s="102" t="s">
        <v>6</v>
      </c>
      <c r="C7" s="22"/>
      <c r="D7" s="23"/>
      <c r="E7" s="228" t="s">
        <v>134</v>
      </c>
      <c r="F7" s="229"/>
      <c r="G7" s="229"/>
      <c r="H7" s="230"/>
      <c r="I7" s="61" t="s">
        <v>28</v>
      </c>
      <c r="J7" s="27"/>
      <c r="K7" s="231" t="s">
        <v>34</v>
      </c>
      <c r="L7" s="232"/>
      <c r="M7" s="233"/>
      <c r="N7" s="92">
        <f>COUNTIF(H14:H14,"LONG")+COUNTIF(H14:H14,"LONG RAW")</f>
        <v>0</v>
      </c>
      <c r="O7" s="210"/>
      <c r="P7" s="211"/>
      <c r="Q7" s="211"/>
      <c r="R7" s="211"/>
      <c r="S7" s="211"/>
      <c r="T7" s="211"/>
      <c r="U7" s="212"/>
    </row>
    <row r="8" spans="1:21" ht="14.45" customHeight="1">
      <c r="A8" s="45"/>
      <c r="B8" s="22" t="s">
        <v>7</v>
      </c>
      <c r="C8" s="22"/>
      <c r="D8" s="23"/>
      <c r="E8" s="228" t="s">
        <v>348</v>
      </c>
      <c r="F8" s="229"/>
      <c r="G8" s="229"/>
      <c r="H8" s="230"/>
      <c r="I8" s="62"/>
      <c r="J8" s="27"/>
      <c r="K8" s="234"/>
      <c r="L8" s="235"/>
      <c r="M8" s="236"/>
      <c r="N8" s="92"/>
      <c r="O8" s="210"/>
      <c r="P8" s="211"/>
      <c r="Q8" s="211"/>
      <c r="R8" s="211"/>
      <c r="S8" s="211"/>
      <c r="T8" s="211"/>
      <c r="U8" s="212"/>
    </row>
    <row r="9" spans="1:21" ht="14.45" customHeight="1">
      <c r="A9" s="45"/>
      <c r="B9" s="22" t="s">
        <v>8</v>
      </c>
      <c r="C9" s="22"/>
      <c r="D9" s="23"/>
      <c r="E9" s="237" t="s">
        <v>68</v>
      </c>
      <c r="F9" s="238"/>
      <c r="G9" s="238"/>
      <c r="H9" s="239"/>
      <c r="I9" s="61" t="s">
        <v>9</v>
      </c>
      <c r="J9" s="27"/>
      <c r="K9" s="86"/>
      <c r="L9" s="88">
        <f>SUM(N14:N34)</f>
        <v>130</v>
      </c>
      <c r="M9" s="82"/>
      <c r="N9" s="93">
        <f>SUMIF(M14:M14,"■",N14:N14)</f>
        <v>0</v>
      </c>
      <c r="O9" s="210"/>
      <c r="P9" s="211"/>
      <c r="Q9" s="211"/>
      <c r="R9" s="211"/>
      <c r="S9" s="211"/>
      <c r="T9" s="211"/>
      <c r="U9" s="212"/>
    </row>
    <row r="10" spans="1:21" ht="14.45" customHeight="1">
      <c r="A10" s="45"/>
      <c r="B10" s="22" t="s">
        <v>10</v>
      </c>
      <c r="C10" s="22"/>
      <c r="D10" s="23"/>
      <c r="E10" s="219" t="s">
        <v>68</v>
      </c>
      <c r="F10" s="220"/>
      <c r="G10" s="220"/>
      <c r="H10" s="221"/>
      <c r="I10" s="61" t="s">
        <v>11</v>
      </c>
      <c r="J10" s="27"/>
      <c r="K10" s="86"/>
      <c r="L10" s="89">
        <f>E11*L9/1000</f>
        <v>0</v>
      </c>
      <c r="M10" s="82"/>
      <c r="N10" s="55"/>
      <c r="O10" s="210"/>
      <c r="P10" s="211"/>
      <c r="Q10" s="211"/>
      <c r="R10" s="211"/>
      <c r="S10" s="211"/>
      <c r="T10" s="211"/>
      <c r="U10" s="212"/>
    </row>
    <row r="11" spans="1:21" ht="17.25" customHeight="1" thickBot="1">
      <c r="A11" s="46"/>
      <c r="B11" s="24" t="s">
        <v>29</v>
      </c>
      <c r="C11" s="24"/>
      <c r="D11" s="25"/>
      <c r="E11" s="207"/>
      <c r="F11" s="208"/>
      <c r="G11" s="208"/>
      <c r="H11" s="209"/>
      <c r="I11" s="103" t="s">
        <v>12</v>
      </c>
      <c r="J11" s="104"/>
      <c r="K11" s="87"/>
      <c r="L11" s="90"/>
      <c r="M11" s="83"/>
      <c r="N11" s="56"/>
      <c r="O11" s="210"/>
      <c r="P11" s="211"/>
      <c r="Q11" s="211"/>
      <c r="R11" s="211"/>
      <c r="S11" s="211"/>
      <c r="T11" s="211"/>
      <c r="U11" s="212"/>
    </row>
    <row r="12" spans="1:21" ht="15.75" customHeight="1" thickBot="1">
      <c r="A12" s="64"/>
      <c r="B12" s="65"/>
      <c r="C12" s="30"/>
      <c r="D12" s="30"/>
      <c r="E12" s="31"/>
      <c r="F12" s="32"/>
      <c r="G12" s="29"/>
      <c r="H12" s="28"/>
      <c r="I12" s="29"/>
      <c r="J12" s="30" t="s">
        <v>13</v>
      </c>
      <c r="K12" s="31"/>
      <c r="L12" s="66"/>
      <c r="M12" s="48"/>
      <c r="N12" s="57">
        <f>COUNTA(H14:H14)</f>
        <v>1</v>
      </c>
      <c r="O12" s="213"/>
      <c r="P12" s="214"/>
      <c r="Q12" s="214"/>
      <c r="R12" s="214"/>
      <c r="S12" s="214"/>
      <c r="T12" s="214"/>
      <c r="U12" s="21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16" t="s">
        <v>32</v>
      </c>
      <c r="Q13" s="217"/>
      <c r="R13" s="217"/>
      <c r="S13" s="217"/>
      <c r="T13" s="217"/>
      <c r="U13" s="218"/>
    </row>
    <row r="14" spans="1:21" ht="15.75" customHeight="1">
      <c r="A14" s="85" t="s">
        <v>188</v>
      </c>
      <c r="B14" s="37">
        <f t="shared" ref="B14:B25" si="0">ROW()-13</f>
        <v>1</v>
      </c>
      <c r="C14" s="145" t="s">
        <v>186</v>
      </c>
      <c r="D14" s="80"/>
      <c r="E14" s="81"/>
      <c r="F14" s="146" t="s">
        <v>1029</v>
      </c>
      <c r="G14" s="17"/>
      <c r="H14" s="18" t="s">
        <v>49</v>
      </c>
      <c r="I14" s="59"/>
      <c r="J14" s="19">
        <v>1</v>
      </c>
      <c r="K14" s="19"/>
      <c r="L14" s="50" t="s">
        <v>187</v>
      </c>
      <c r="M14" s="73" t="s">
        <v>21</v>
      </c>
      <c r="N14" s="54">
        <f t="shared" ref="N14:N32" si="1">IF(H14="NUMBER",IF(J14&gt;0,INT((J14+1)/2+0.9),0),IF(H14="DATE",7,IF(OR(H14="LONG",H14="LONG RAW"),100000,J14)))</f>
        <v>1</v>
      </c>
      <c r="O14" s="167"/>
      <c r="P14" s="203" t="s">
        <v>174</v>
      </c>
      <c r="Q14" s="204"/>
      <c r="R14" s="204"/>
      <c r="S14" s="204"/>
      <c r="T14" s="204"/>
      <c r="U14" s="205"/>
    </row>
    <row r="15" spans="1:21" ht="15.75" customHeight="1">
      <c r="A15" s="85" t="s">
        <v>188</v>
      </c>
      <c r="B15" s="37">
        <f t="shared" si="0"/>
        <v>2</v>
      </c>
      <c r="C15" s="145" t="s">
        <v>352</v>
      </c>
      <c r="D15" s="80"/>
      <c r="E15" s="81"/>
      <c r="F15" s="146" t="s">
        <v>353</v>
      </c>
      <c r="G15" s="17"/>
      <c r="H15" s="18" t="s">
        <v>51</v>
      </c>
      <c r="I15" s="59"/>
      <c r="J15" s="19">
        <v>14</v>
      </c>
      <c r="K15" s="19"/>
      <c r="L15" s="50" t="s">
        <v>187</v>
      </c>
      <c r="M15" s="73" t="s">
        <v>21</v>
      </c>
      <c r="N15" s="54">
        <f t="shared" si="1"/>
        <v>14</v>
      </c>
      <c r="O15" s="167"/>
      <c r="P15" s="203" t="s">
        <v>327</v>
      </c>
      <c r="Q15" s="204"/>
      <c r="R15" s="204"/>
      <c r="S15" s="204"/>
      <c r="T15" s="204"/>
      <c r="U15" s="205"/>
    </row>
    <row r="16" spans="1:21" ht="15.75" customHeight="1">
      <c r="A16" s="85" t="s">
        <v>188</v>
      </c>
      <c r="B16" s="37">
        <f t="shared" si="0"/>
        <v>3</v>
      </c>
      <c r="C16" s="145" t="s">
        <v>354</v>
      </c>
      <c r="D16" s="80"/>
      <c r="E16" s="81"/>
      <c r="F16" s="146" t="s">
        <v>355</v>
      </c>
      <c r="G16" s="17"/>
      <c r="H16" s="18" t="s">
        <v>51</v>
      </c>
      <c r="I16" s="59"/>
      <c r="J16" s="19">
        <v>4</v>
      </c>
      <c r="K16" s="19"/>
      <c r="L16" s="50" t="s">
        <v>187</v>
      </c>
      <c r="M16" s="73" t="s">
        <v>21</v>
      </c>
      <c r="N16" s="54">
        <f t="shared" si="1"/>
        <v>4</v>
      </c>
      <c r="O16" s="167"/>
      <c r="P16" s="203" t="s">
        <v>356</v>
      </c>
      <c r="Q16" s="204"/>
      <c r="R16" s="204"/>
      <c r="S16" s="204"/>
      <c r="T16" s="204"/>
      <c r="U16" s="205"/>
    </row>
    <row r="17" spans="1:21" ht="15.75" customHeight="1">
      <c r="A17" s="85"/>
      <c r="B17" s="37">
        <f t="shared" si="0"/>
        <v>4</v>
      </c>
      <c r="C17" s="145" t="s">
        <v>357</v>
      </c>
      <c r="D17" s="80"/>
      <c r="E17" s="81"/>
      <c r="F17" s="146" t="s">
        <v>358</v>
      </c>
      <c r="G17" s="17"/>
      <c r="H17" s="18" t="s">
        <v>51</v>
      </c>
      <c r="I17" s="59"/>
      <c r="J17" s="19">
        <v>14</v>
      </c>
      <c r="K17" s="19"/>
      <c r="L17" s="50" t="s">
        <v>187</v>
      </c>
      <c r="M17" s="73" t="s">
        <v>21</v>
      </c>
      <c r="N17" s="54">
        <f t="shared" si="1"/>
        <v>14</v>
      </c>
      <c r="O17" s="167"/>
      <c r="P17" s="203"/>
      <c r="Q17" s="204"/>
      <c r="R17" s="204"/>
      <c r="S17" s="204"/>
      <c r="T17" s="204"/>
      <c r="U17" s="205"/>
    </row>
    <row r="18" spans="1:21" ht="15.75" customHeight="1">
      <c r="A18" s="85"/>
      <c r="B18" s="37">
        <f t="shared" si="0"/>
        <v>5</v>
      </c>
      <c r="C18" s="145" t="s">
        <v>195</v>
      </c>
      <c r="D18" s="80"/>
      <c r="E18" s="81"/>
      <c r="F18" s="146" t="s">
        <v>1058</v>
      </c>
      <c r="G18" s="17"/>
      <c r="H18" s="18" t="s">
        <v>49</v>
      </c>
      <c r="I18" s="59"/>
      <c r="J18" s="19">
        <v>1</v>
      </c>
      <c r="K18" s="19"/>
      <c r="L18" s="50" t="s">
        <v>187</v>
      </c>
      <c r="M18" s="73" t="s">
        <v>21</v>
      </c>
      <c r="N18" s="54">
        <f t="shared" si="1"/>
        <v>1</v>
      </c>
      <c r="O18" s="167"/>
      <c r="P18" s="203" t="s">
        <v>174</v>
      </c>
      <c r="Q18" s="204"/>
      <c r="R18" s="204"/>
      <c r="S18" s="204"/>
      <c r="T18" s="204"/>
      <c r="U18" s="205"/>
    </row>
    <row r="19" spans="1:21" ht="15.75" customHeight="1">
      <c r="A19" s="85"/>
      <c r="B19" s="37">
        <f t="shared" si="0"/>
        <v>6</v>
      </c>
      <c r="C19" s="145" t="s">
        <v>196</v>
      </c>
      <c r="D19" s="80"/>
      <c r="E19" s="81"/>
      <c r="F19" s="146" t="s">
        <v>197</v>
      </c>
      <c r="G19" s="17"/>
      <c r="H19" s="18" t="s">
        <v>51</v>
      </c>
      <c r="I19" s="59"/>
      <c r="J19" s="19">
        <v>25</v>
      </c>
      <c r="K19" s="19"/>
      <c r="L19" s="50" t="s">
        <v>187</v>
      </c>
      <c r="M19" s="73" t="s">
        <v>21</v>
      </c>
      <c r="N19" s="54">
        <f t="shared" si="1"/>
        <v>25</v>
      </c>
      <c r="O19" s="167"/>
      <c r="P19" s="203"/>
      <c r="Q19" s="204"/>
      <c r="R19" s="204"/>
      <c r="S19" s="204"/>
      <c r="T19" s="204"/>
      <c r="U19" s="205"/>
    </row>
    <row r="20" spans="1:21" ht="15.75" customHeight="1">
      <c r="A20" s="85"/>
      <c r="B20" s="37">
        <f t="shared" si="0"/>
        <v>7</v>
      </c>
      <c r="C20" s="145" t="s">
        <v>198</v>
      </c>
      <c r="D20" s="80"/>
      <c r="E20" s="81"/>
      <c r="F20" s="146" t="s">
        <v>199</v>
      </c>
      <c r="G20" s="17"/>
      <c r="H20" s="18" t="s">
        <v>51</v>
      </c>
      <c r="I20" s="59"/>
      <c r="J20" s="19">
        <v>4</v>
      </c>
      <c r="K20" s="19"/>
      <c r="L20" s="50" t="s">
        <v>187</v>
      </c>
      <c r="M20" s="73" t="s">
        <v>21</v>
      </c>
      <c r="N20" s="54">
        <f t="shared" si="1"/>
        <v>4</v>
      </c>
      <c r="O20" s="167"/>
      <c r="P20" s="203" t="s">
        <v>200</v>
      </c>
      <c r="Q20" s="204"/>
      <c r="R20" s="204"/>
      <c r="S20" s="204"/>
      <c r="T20" s="204"/>
      <c r="U20" s="205"/>
    </row>
    <row r="21" spans="1:21" ht="62.85" customHeight="1">
      <c r="A21" s="85"/>
      <c r="B21" s="37">
        <f t="shared" si="0"/>
        <v>8</v>
      </c>
      <c r="C21" s="145" t="s">
        <v>201</v>
      </c>
      <c r="D21" s="80"/>
      <c r="E21" s="81"/>
      <c r="F21" s="146" t="s">
        <v>202</v>
      </c>
      <c r="G21" s="17"/>
      <c r="H21" s="18" t="s">
        <v>49</v>
      </c>
      <c r="I21" s="59"/>
      <c r="J21" s="19">
        <v>1</v>
      </c>
      <c r="K21" s="19"/>
      <c r="L21" s="50" t="s">
        <v>187</v>
      </c>
      <c r="M21" s="73" t="s">
        <v>21</v>
      </c>
      <c r="N21" s="54">
        <f t="shared" si="1"/>
        <v>1</v>
      </c>
      <c r="O21" s="167"/>
      <c r="P21" s="206" t="s">
        <v>328</v>
      </c>
      <c r="Q21" s="204"/>
      <c r="R21" s="204"/>
      <c r="S21" s="204"/>
      <c r="T21" s="204"/>
      <c r="U21" s="205"/>
    </row>
    <row r="22" spans="1:21" ht="27.6" customHeight="1">
      <c r="A22" s="85"/>
      <c r="B22" s="37">
        <f t="shared" si="0"/>
        <v>9</v>
      </c>
      <c r="C22" s="145" t="s">
        <v>204</v>
      </c>
      <c r="D22" s="80"/>
      <c r="E22" s="81"/>
      <c r="F22" s="146" t="s">
        <v>205</v>
      </c>
      <c r="G22" s="17"/>
      <c r="H22" s="18" t="s">
        <v>49</v>
      </c>
      <c r="I22" s="59"/>
      <c r="J22" s="19">
        <v>1</v>
      </c>
      <c r="K22" s="19"/>
      <c r="L22" s="50" t="s">
        <v>187</v>
      </c>
      <c r="M22" s="73" t="s">
        <v>21</v>
      </c>
      <c r="N22" s="54">
        <f t="shared" si="1"/>
        <v>1</v>
      </c>
      <c r="O22" s="167"/>
      <c r="P22" s="206" t="s">
        <v>206</v>
      </c>
      <c r="Q22" s="204"/>
      <c r="R22" s="204"/>
      <c r="S22" s="204"/>
      <c r="T22" s="204"/>
      <c r="U22" s="205"/>
    </row>
    <row r="23" spans="1:21" ht="15.75" customHeight="1">
      <c r="A23" s="85"/>
      <c r="B23" s="37">
        <f t="shared" si="0"/>
        <v>10</v>
      </c>
      <c r="C23" s="145" t="s">
        <v>359</v>
      </c>
      <c r="D23" s="80"/>
      <c r="E23" s="81"/>
      <c r="F23" s="146" t="s">
        <v>360</v>
      </c>
      <c r="G23" s="17"/>
      <c r="H23" s="260" t="s">
        <v>51</v>
      </c>
      <c r="I23" s="261"/>
      <c r="J23" s="19">
        <v>2</v>
      </c>
      <c r="K23" s="19"/>
      <c r="L23" s="50" t="s">
        <v>187</v>
      </c>
      <c r="M23" s="73" t="s">
        <v>21</v>
      </c>
      <c r="N23" s="54">
        <v>2</v>
      </c>
      <c r="O23" s="167"/>
      <c r="P23" s="203" t="s">
        <v>361</v>
      </c>
      <c r="Q23" s="204"/>
      <c r="R23" s="204"/>
      <c r="S23" s="204"/>
      <c r="T23" s="204"/>
      <c r="U23" s="205"/>
    </row>
    <row r="24" spans="1:21" ht="15.75" customHeight="1">
      <c r="A24" s="85"/>
      <c r="B24" s="37">
        <f t="shared" si="0"/>
        <v>11</v>
      </c>
      <c r="C24" s="145" t="s">
        <v>362</v>
      </c>
      <c r="D24" s="80"/>
      <c r="E24" s="81"/>
      <c r="F24" s="146" t="s">
        <v>363</v>
      </c>
      <c r="G24" s="17"/>
      <c r="H24" s="18" t="s">
        <v>51</v>
      </c>
      <c r="I24" s="59"/>
      <c r="J24" s="19">
        <v>10</v>
      </c>
      <c r="K24" s="19"/>
      <c r="L24" s="50"/>
      <c r="M24" s="73" t="s">
        <v>21</v>
      </c>
      <c r="N24" s="54">
        <f t="shared" si="1"/>
        <v>10</v>
      </c>
      <c r="O24" s="167"/>
      <c r="P24" s="203" t="s">
        <v>361</v>
      </c>
      <c r="Q24" s="204"/>
      <c r="R24" s="204"/>
      <c r="S24" s="204"/>
      <c r="T24" s="204"/>
      <c r="U24" s="205"/>
    </row>
    <row r="25" spans="1:21" ht="27.6" customHeight="1">
      <c r="A25" s="85"/>
      <c r="B25" s="37">
        <f t="shared" si="0"/>
        <v>12</v>
      </c>
      <c r="C25" s="145" t="s">
        <v>364</v>
      </c>
      <c r="D25" s="80"/>
      <c r="E25" s="81"/>
      <c r="F25" s="146" t="s">
        <v>365</v>
      </c>
      <c r="G25" s="17"/>
      <c r="H25" s="18" t="s">
        <v>49</v>
      </c>
      <c r="I25" s="59"/>
      <c r="J25" s="19">
        <v>1</v>
      </c>
      <c r="K25" s="19"/>
      <c r="L25" s="50"/>
      <c r="M25" s="73" t="s">
        <v>21</v>
      </c>
      <c r="N25" s="54">
        <f t="shared" si="1"/>
        <v>1</v>
      </c>
      <c r="O25" s="167"/>
      <c r="P25" s="206" t="s">
        <v>366</v>
      </c>
      <c r="Q25" s="204"/>
      <c r="R25" s="204"/>
      <c r="S25" s="204"/>
      <c r="T25" s="204"/>
      <c r="U25" s="205"/>
    </row>
    <row r="26" spans="1:21" ht="15.75">
      <c r="A26" s="85"/>
      <c r="B26" s="37">
        <f t="shared" ref="B26:B32" si="2">ROW()-13</f>
        <v>13</v>
      </c>
      <c r="C26" s="107" t="s">
        <v>36</v>
      </c>
      <c r="D26" s="107"/>
      <c r="E26" s="108"/>
      <c r="F26" s="109" t="s">
        <v>78</v>
      </c>
      <c r="G26" s="110"/>
      <c r="H26" s="18" t="s">
        <v>51</v>
      </c>
      <c r="I26" s="59"/>
      <c r="J26" s="113">
        <v>12</v>
      </c>
      <c r="K26" s="113"/>
      <c r="L26" s="114"/>
      <c r="M26" s="115" t="s">
        <v>35</v>
      </c>
      <c r="N26" s="116">
        <f t="shared" si="1"/>
        <v>12</v>
      </c>
      <c r="O26" s="168"/>
      <c r="P26" s="200"/>
      <c r="Q26" s="201"/>
      <c r="R26" s="201"/>
      <c r="S26" s="201"/>
      <c r="T26" s="201"/>
      <c r="U26" s="202"/>
    </row>
    <row r="27" spans="1:21" ht="15.75">
      <c r="A27" s="85"/>
      <c r="B27" s="37">
        <f t="shared" si="2"/>
        <v>14</v>
      </c>
      <c r="C27" s="107" t="s">
        <v>37</v>
      </c>
      <c r="D27" s="107"/>
      <c r="E27" s="108"/>
      <c r="F27" s="109" t="s">
        <v>43</v>
      </c>
      <c r="G27" s="110"/>
      <c r="H27" s="18" t="s">
        <v>51</v>
      </c>
      <c r="I27" s="59"/>
      <c r="J27" s="113">
        <v>10</v>
      </c>
      <c r="K27" s="113"/>
      <c r="L27" s="114"/>
      <c r="M27" s="115" t="s">
        <v>21</v>
      </c>
      <c r="N27" s="116">
        <f t="shared" si="1"/>
        <v>10</v>
      </c>
      <c r="O27" s="168"/>
      <c r="P27" s="200"/>
      <c r="Q27" s="201"/>
      <c r="R27" s="201"/>
      <c r="S27" s="201"/>
      <c r="T27" s="201"/>
      <c r="U27" s="202"/>
    </row>
    <row r="28" spans="1:21" ht="15.75">
      <c r="A28" s="85"/>
      <c r="B28" s="37">
        <f t="shared" si="2"/>
        <v>15</v>
      </c>
      <c r="C28" s="107" t="s">
        <v>38</v>
      </c>
      <c r="D28" s="107"/>
      <c r="E28" s="108"/>
      <c r="F28" s="109" t="s">
        <v>80</v>
      </c>
      <c r="G28" s="110"/>
      <c r="H28" s="18" t="s">
        <v>86</v>
      </c>
      <c r="I28" s="59"/>
      <c r="J28" s="113"/>
      <c r="K28" s="113"/>
      <c r="L28" s="114"/>
      <c r="M28" s="115" t="s">
        <v>21</v>
      </c>
      <c r="N28" s="116">
        <f t="shared" si="1"/>
        <v>0</v>
      </c>
      <c r="O28" s="168"/>
      <c r="P28" s="200"/>
      <c r="Q28" s="201"/>
      <c r="R28" s="201"/>
      <c r="S28" s="201"/>
      <c r="T28" s="201"/>
      <c r="U28" s="202"/>
    </row>
    <row r="29" spans="1:21" ht="15.75">
      <c r="A29" s="85"/>
      <c r="B29" s="37">
        <f t="shared" si="2"/>
        <v>16</v>
      </c>
      <c r="C29" s="107" t="s">
        <v>39</v>
      </c>
      <c r="D29" s="107"/>
      <c r="E29" s="108"/>
      <c r="F29" s="109" t="s">
        <v>79</v>
      </c>
      <c r="G29" s="110"/>
      <c r="H29" s="18" t="s">
        <v>51</v>
      </c>
      <c r="I29" s="59"/>
      <c r="J29" s="113">
        <v>12</v>
      </c>
      <c r="K29" s="113"/>
      <c r="L29" s="114"/>
      <c r="M29" s="115" t="s">
        <v>35</v>
      </c>
      <c r="N29" s="116">
        <f t="shared" si="1"/>
        <v>12</v>
      </c>
      <c r="O29" s="168"/>
      <c r="P29" s="200"/>
      <c r="Q29" s="201"/>
      <c r="R29" s="201"/>
      <c r="S29" s="201"/>
      <c r="T29" s="201"/>
      <c r="U29" s="202"/>
    </row>
    <row r="30" spans="1:21" ht="15.75">
      <c r="A30" s="85"/>
      <c r="B30" s="37">
        <f t="shared" si="2"/>
        <v>17</v>
      </c>
      <c r="C30" s="107" t="s">
        <v>40</v>
      </c>
      <c r="D30" s="107"/>
      <c r="E30" s="108"/>
      <c r="F30" s="109" t="s">
        <v>44</v>
      </c>
      <c r="G30" s="110"/>
      <c r="H30" s="18" t="s">
        <v>51</v>
      </c>
      <c r="I30" s="59"/>
      <c r="J30" s="113">
        <v>10</v>
      </c>
      <c r="K30" s="113"/>
      <c r="L30" s="114"/>
      <c r="M30" s="115" t="s">
        <v>21</v>
      </c>
      <c r="N30" s="116">
        <f t="shared" si="1"/>
        <v>10</v>
      </c>
      <c r="O30" s="168"/>
      <c r="P30" s="200"/>
      <c r="Q30" s="201"/>
      <c r="R30" s="201"/>
      <c r="S30" s="201"/>
      <c r="T30" s="201"/>
      <c r="U30" s="202"/>
    </row>
    <row r="31" spans="1:21" ht="15.75">
      <c r="A31" s="85"/>
      <c r="B31" s="37">
        <f t="shared" si="2"/>
        <v>18</v>
      </c>
      <c r="C31" s="107" t="s">
        <v>41</v>
      </c>
      <c r="D31" s="107"/>
      <c r="E31" s="108"/>
      <c r="F31" s="109" t="s">
        <v>81</v>
      </c>
      <c r="G31" s="110"/>
      <c r="H31" s="18" t="s">
        <v>86</v>
      </c>
      <c r="I31" s="59"/>
      <c r="J31" s="113"/>
      <c r="K31" s="113"/>
      <c r="L31" s="114"/>
      <c r="M31" s="115" t="s">
        <v>21</v>
      </c>
      <c r="N31" s="116">
        <f t="shared" si="1"/>
        <v>0</v>
      </c>
      <c r="O31" s="168"/>
      <c r="P31" s="200"/>
      <c r="Q31" s="201"/>
      <c r="R31" s="201"/>
      <c r="S31" s="201"/>
      <c r="T31" s="201"/>
      <c r="U31" s="202"/>
    </row>
    <row r="32" spans="1:21" ht="15.75">
      <c r="A32" s="85"/>
      <c r="B32" s="37">
        <f t="shared" si="2"/>
        <v>19</v>
      </c>
      <c r="C32" s="80" t="s">
        <v>46</v>
      </c>
      <c r="D32" s="80"/>
      <c r="E32" s="81"/>
      <c r="F32" s="84" t="s">
        <v>71</v>
      </c>
      <c r="G32" s="17"/>
      <c r="H32" s="18" t="s">
        <v>62</v>
      </c>
      <c r="I32" s="59"/>
      <c r="J32" s="19">
        <v>8</v>
      </c>
      <c r="K32" s="19"/>
      <c r="L32" s="50" t="s">
        <v>47</v>
      </c>
      <c r="M32" s="73" t="s">
        <v>35</v>
      </c>
      <c r="N32" s="54">
        <f t="shared" si="1"/>
        <v>8</v>
      </c>
      <c r="O32" s="167">
        <v>0</v>
      </c>
      <c r="P32" s="203" t="s">
        <v>48</v>
      </c>
      <c r="Q32" s="204"/>
      <c r="R32" s="204"/>
      <c r="S32" s="204"/>
      <c r="T32" s="204"/>
      <c r="U32" s="205"/>
    </row>
    <row r="33" spans="1:21" ht="16.5" thickBot="1">
      <c r="A33" s="118"/>
      <c r="B33" s="119"/>
      <c r="C33" s="120"/>
      <c r="D33" s="120"/>
      <c r="E33" s="121"/>
      <c r="F33" s="129"/>
      <c r="G33" s="122"/>
      <c r="H33" s="147"/>
      <c r="I33" s="148"/>
      <c r="J33" s="125"/>
      <c r="K33" s="125"/>
      <c r="L33" s="126"/>
      <c r="M33" s="126"/>
      <c r="N33" s="127"/>
      <c r="O33" s="169"/>
      <c r="P33" s="197"/>
      <c r="Q33" s="198"/>
      <c r="R33" s="198"/>
      <c r="S33" s="198"/>
      <c r="T33" s="198"/>
      <c r="U33" s="199"/>
    </row>
  </sheetData>
  <mergeCells count="51">
    <mergeCell ref="O1:U1"/>
    <mergeCell ref="J2:K2"/>
    <mergeCell ref="L2:M2"/>
    <mergeCell ref="O2:U2"/>
    <mergeCell ref="J3:K3"/>
    <mergeCell ref="L3:M3"/>
    <mergeCell ref="O3:U3"/>
    <mergeCell ref="J4:K4"/>
    <mergeCell ref="L4:M4"/>
    <mergeCell ref="O4:U4"/>
    <mergeCell ref="J5:K5"/>
    <mergeCell ref="L5:M5"/>
    <mergeCell ref="O5:U5"/>
    <mergeCell ref="E10:H10"/>
    <mergeCell ref="O10:U10"/>
    <mergeCell ref="E6:H6"/>
    <mergeCell ref="K6:M6"/>
    <mergeCell ref="O6:U6"/>
    <mergeCell ref="E7:H7"/>
    <mergeCell ref="K7:M7"/>
    <mergeCell ref="O7:U7"/>
    <mergeCell ref="E8:H8"/>
    <mergeCell ref="K8:M8"/>
    <mergeCell ref="O8:U8"/>
    <mergeCell ref="E9:H9"/>
    <mergeCell ref="O9:U9"/>
    <mergeCell ref="P21:U21"/>
    <mergeCell ref="E11:H11"/>
    <mergeCell ref="O11:U11"/>
    <mergeCell ref="O12:U12"/>
    <mergeCell ref="P13:U13"/>
    <mergeCell ref="P14:U14"/>
    <mergeCell ref="P15:U15"/>
    <mergeCell ref="P16:U16"/>
    <mergeCell ref="P17:U17"/>
    <mergeCell ref="P18:U18"/>
    <mergeCell ref="P19:U19"/>
    <mergeCell ref="P20:U20"/>
    <mergeCell ref="H23:I23"/>
    <mergeCell ref="P33:U33"/>
    <mergeCell ref="P22:U22"/>
    <mergeCell ref="P23:U23"/>
    <mergeCell ref="P24:U24"/>
    <mergeCell ref="P25:U25"/>
    <mergeCell ref="P26:U26"/>
    <mergeCell ref="P27:U27"/>
    <mergeCell ref="P28:U28"/>
    <mergeCell ref="P29:U29"/>
    <mergeCell ref="P30:U30"/>
    <mergeCell ref="P31:U31"/>
    <mergeCell ref="P32:U32"/>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22530"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22531"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22532"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22533"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22534"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A24FC85B-1033-48A5-9DDB-12E80FCF186F}">
            <xm:f>(AND(H14&lt;&gt;"",ISERROR(VLOOKUP(H14,system!$E:$E,1,FALSE))))</xm:f>
            <x14:dxf>
              <fill>
                <patternFill patternType="solid">
                  <bgColor rgb="FFFF0000"/>
                </patternFill>
              </fill>
            </x14:dxf>
          </x14:cfRule>
          <xm:sqref>H14:H25</xm:sqref>
        </x14:conditionalFormatting>
        <x14:conditionalFormatting xmlns:xm="http://schemas.microsoft.com/office/excel/2006/main">
          <x14:cfRule type="expression" priority="3" id="{14E8C8F9-0694-48E3-AF7C-6DA478B43955}">
            <xm:f>(AND(H14&lt;&gt;"",ISERROR(VLOOKUP(H14,system!$E:$E,1,FALSE))))</xm:f>
            <x14:dxf>
              <fill>
                <patternFill>
                  <bgColor rgb="FFFF0000"/>
                </patternFill>
              </fill>
            </x14:dxf>
          </x14:cfRule>
          <xm:sqref>I14:I22 I24:I25</xm:sqref>
        </x14:conditionalFormatting>
        <x14:conditionalFormatting xmlns:xm="http://schemas.microsoft.com/office/excel/2006/main">
          <x14:cfRule type="expression" priority="2" id="{67E6816A-993F-49F1-AF27-52201C5BE877}">
            <xm:f>(AND(H26&lt;&gt;"",ISERROR(VLOOKUP(H26,system!$E:$E,1,FALSE))))</xm:f>
            <x14:dxf>
              <fill>
                <patternFill patternType="solid">
                  <bgColor rgb="FFFF0000"/>
                </patternFill>
              </fill>
            </x14:dxf>
          </x14:cfRule>
          <xm:sqref>H26:H33</xm:sqref>
        </x14:conditionalFormatting>
        <x14:conditionalFormatting xmlns:xm="http://schemas.microsoft.com/office/excel/2006/main">
          <x14:cfRule type="expression" priority="1" id="{D7A0B86F-F749-4652-B0BA-6E7A061095D8}">
            <xm:f>(AND(H26&lt;&gt;"",ISERROR(VLOOKUP(H26,system!$E:$E,1,FALSE))))</xm:f>
            <x14:dxf>
              <fill>
                <patternFill>
                  <bgColor rgb="FFFF0000"/>
                </patternFill>
              </fill>
            </x14:dxf>
          </x14:cfRule>
          <xm:sqref>I26:I33</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A1:U49"/>
  <sheetViews>
    <sheetView showGridLines="0" zoomScaleNormal="100" workbookViewId="0">
      <pane ySplit="13" topLeftCell="A14" activePane="bottomLeft" state="frozen"/>
      <selection activeCell="D13" sqref="D13"/>
      <selection pane="bottomLeft" activeCell="A14" sqref="A14"/>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7" t="s">
        <v>27</v>
      </c>
      <c r="P1" s="248"/>
      <c r="Q1" s="248"/>
      <c r="R1" s="248"/>
      <c r="S1" s="248"/>
      <c r="T1" s="248"/>
      <c r="U1" s="249"/>
    </row>
    <row r="2" spans="1:21" ht="14.45" customHeight="1">
      <c r="A2" s="39"/>
      <c r="B2" s="100" t="s">
        <v>64</v>
      </c>
      <c r="C2" s="5"/>
      <c r="D2" s="5"/>
      <c r="E2" s="5"/>
      <c r="F2" s="5"/>
      <c r="G2" s="6"/>
      <c r="H2" s="7"/>
      <c r="I2" s="8"/>
      <c r="J2" s="250"/>
      <c r="K2" s="251"/>
      <c r="L2" s="250"/>
      <c r="M2" s="251"/>
      <c r="N2" s="52"/>
      <c r="O2" s="252" t="s">
        <v>371</v>
      </c>
      <c r="P2" s="253"/>
      <c r="Q2" s="253"/>
      <c r="R2" s="253"/>
      <c r="S2" s="253"/>
      <c r="T2" s="253"/>
      <c r="U2" s="254"/>
    </row>
    <row r="3" spans="1:21" ht="14.25" customHeight="1">
      <c r="A3" s="40"/>
      <c r="B3" s="35"/>
      <c r="C3" s="5"/>
      <c r="D3" s="5"/>
      <c r="E3" s="5"/>
      <c r="F3" s="5"/>
      <c r="G3" s="9"/>
      <c r="H3" s="10"/>
      <c r="I3" s="176" t="s">
        <v>1032</v>
      </c>
      <c r="J3" s="255" t="s">
        <v>1032</v>
      </c>
      <c r="K3" s="256"/>
      <c r="L3" s="255" t="s">
        <v>1032</v>
      </c>
      <c r="M3" s="256"/>
      <c r="N3" s="52"/>
      <c r="O3" s="257"/>
      <c r="P3" s="258"/>
      <c r="Q3" s="258"/>
      <c r="R3" s="258"/>
      <c r="S3" s="258"/>
      <c r="T3" s="258"/>
      <c r="U3" s="259"/>
    </row>
    <row r="4" spans="1:21" ht="14.45" customHeight="1">
      <c r="A4" s="41"/>
      <c r="B4" s="36" t="s">
        <v>3</v>
      </c>
      <c r="C4" s="5"/>
      <c r="D4" s="5"/>
      <c r="E4" s="5"/>
      <c r="F4" s="5"/>
      <c r="G4" s="6"/>
      <c r="H4" s="10"/>
      <c r="I4" s="177" t="s">
        <v>1035</v>
      </c>
      <c r="J4" s="240" t="s">
        <v>1034</v>
      </c>
      <c r="K4" s="241"/>
      <c r="L4" s="240" t="s">
        <v>1033</v>
      </c>
      <c r="M4" s="241"/>
      <c r="N4" s="52"/>
      <c r="O4" s="210"/>
      <c r="P4" s="211"/>
      <c r="Q4" s="211"/>
      <c r="R4" s="211"/>
      <c r="S4" s="211"/>
      <c r="T4" s="211"/>
      <c r="U4" s="212"/>
    </row>
    <row r="5" spans="1:21" ht="14.45" customHeight="1" thickBot="1">
      <c r="A5" s="42"/>
      <c r="B5" s="11"/>
      <c r="C5" s="11"/>
      <c r="D5" s="11"/>
      <c r="E5" s="11"/>
      <c r="F5" s="11"/>
      <c r="G5" s="12"/>
      <c r="H5" s="13"/>
      <c r="I5" s="14"/>
      <c r="J5" s="242"/>
      <c r="K5" s="243"/>
      <c r="L5" s="244"/>
      <c r="M5" s="245"/>
      <c r="N5" s="53"/>
      <c r="O5" s="246"/>
      <c r="P5" s="211"/>
      <c r="Q5" s="211"/>
      <c r="R5" s="211"/>
      <c r="S5" s="211"/>
      <c r="T5" s="211"/>
      <c r="U5" s="212"/>
    </row>
    <row r="6" spans="1:21" ht="14.45" customHeight="1">
      <c r="A6" s="43"/>
      <c r="B6" s="101" t="s">
        <v>4</v>
      </c>
      <c r="C6" s="20"/>
      <c r="D6" s="21"/>
      <c r="E6" s="222" t="s">
        <v>65</v>
      </c>
      <c r="F6" s="223"/>
      <c r="G6" s="223"/>
      <c r="H6" s="224"/>
      <c r="I6" s="60" t="s">
        <v>26</v>
      </c>
      <c r="J6" s="26"/>
      <c r="K6" s="225" t="s">
        <v>33</v>
      </c>
      <c r="L6" s="226"/>
      <c r="M6" s="227"/>
      <c r="N6" s="91" t="s">
        <v>5</v>
      </c>
      <c r="O6" s="210"/>
      <c r="P6" s="211"/>
      <c r="Q6" s="211"/>
      <c r="R6" s="211"/>
      <c r="S6" s="211"/>
      <c r="T6" s="211"/>
      <c r="U6" s="212"/>
    </row>
    <row r="7" spans="1:21" ht="15.75" customHeight="1">
      <c r="A7" s="44"/>
      <c r="B7" s="102" t="s">
        <v>6</v>
      </c>
      <c r="C7" s="22"/>
      <c r="D7" s="23"/>
      <c r="E7" s="228" t="s">
        <v>136</v>
      </c>
      <c r="F7" s="229"/>
      <c r="G7" s="229"/>
      <c r="H7" s="230"/>
      <c r="I7" s="61" t="s">
        <v>28</v>
      </c>
      <c r="J7" s="27"/>
      <c r="K7" s="231" t="s">
        <v>34</v>
      </c>
      <c r="L7" s="232"/>
      <c r="M7" s="233"/>
      <c r="N7" s="92">
        <f>COUNTIF(H14:H14,"LONG")+COUNTIF(H14:H14,"LONG RAW")</f>
        <v>0</v>
      </c>
      <c r="O7" s="210"/>
      <c r="P7" s="211"/>
      <c r="Q7" s="211"/>
      <c r="R7" s="211"/>
      <c r="S7" s="211"/>
      <c r="T7" s="211"/>
      <c r="U7" s="212"/>
    </row>
    <row r="8" spans="1:21" ht="14.45" customHeight="1">
      <c r="A8" s="45"/>
      <c r="B8" s="22" t="s">
        <v>7</v>
      </c>
      <c r="C8" s="22"/>
      <c r="D8" s="23"/>
      <c r="E8" s="228" t="s">
        <v>367</v>
      </c>
      <c r="F8" s="229"/>
      <c r="G8" s="229"/>
      <c r="H8" s="230"/>
      <c r="I8" s="62"/>
      <c r="J8" s="27"/>
      <c r="K8" s="234"/>
      <c r="L8" s="235"/>
      <c r="M8" s="236"/>
      <c r="N8" s="92"/>
      <c r="O8" s="210"/>
      <c r="P8" s="211"/>
      <c r="Q8" s="211"/>
      <c r="R8" s="211"/>
      <c r="S8" s="211"/>
      <c r="T8" s="211"/>
      <c r="U8" s="212"/>
    </row>
    <row r="9" spans="1:21" ht="14.45" customHeight="1">
      <c r="A9" s="45"/>
      <c r="B9" s="22" t="s">
        <v>8</v>
      </c>
      <c r="C9" s="22"/>
      <c r="D9" s="23"/>
      <c r="E9" s="237" t="s">
        <v>68</v>
      </c>
      <c r="F9" s="238"/>
      <c r="G9" s="238"/>
      <c r="H9" s="239"/>
      <c r="I9" s="61" t="s">
        <v>9</v>
      </c>
      <c r="J9" s="27"/>
      <c r="K9" s="86"/>
      <c r="L9" s="88">
        <f>SUM(N14:N50)</f>
        <v>182</v>
      </c>
      <c r="M9" s="82"/>
      <c r="N9" s="93">
        <f>SUMIF(M14:M14,"■",N14:N14)</f>
        <v>0</v>
      </c>
      <c r="O9" s="210"/>
      <c r="P9" s="211"/>
      <c r="Q9" s="211"/>
      <c r="R9" s="211"/>
      <c r="S9" s="211"/>
      <c r="T9" s="211"/>
      <c r="U9" s="212"/>
    </row>
    <row r="10" spans="1:21" ht="14.45" customHeight="1">
      <c r="A10" s="45"/>
      <c r="B10" s="22" t="s">
        <v>10</v>
      </c>
      <c r="C10" s="22"/>
      <c r="D10" s="23"/>
      <c r="E10" s="219" t="s">
        <v>68</v>
      </c>
      <c r="F10" s="220"/>
      <c r="G10" s="220"/>
      <c r="H10" s="221"/>
      <c r="I10" s="61" t="s">
        <v>11</v>
      </c>
      <c r="J10" s="27"/>
      <c r="K10" s="86"/>
      <c r="L10" s="89">
        <f>E11*L9/1000</f>
        <v>0</v>
      </c>
      <c r="M10" s="82"/>
      <c r="N10" s="55"/>
      <c r="O10" s="210"/>
      <c r="P10" s="211"/>
      <c r="Q10" s="211"/>
      <c r="R10" s="211"/>
      <c r="S10" s="211"/>
      <c r="T10" s="211"/>
      <c r="U10" s="212"/>
    </row>
    <row r="11" spans="1:21" ht="17.25" customHeight="1" thickBot="1">
      <c r="A11" s="46"/>
      <c r="B11" s="24" t="s">
        <v>29</v>
      </c>
      <c r="C11" s="24"/>
      <c r="D11" s="25"/>
      <c r="E11" s="207"/>
      <c r="F11" s="208"/>
      <c r="G11" s="208"/>
      <c r="H11" s="209"/>
      <c r="I11" s="103" t="s">
        <v>12</v>
      </c>
      <c r="J11" s="104"/>
      <c r="K11" s="87"/>
      <c r="L11" s="90"/>
      <c r="M11" s="83"/>
      <c r="N11" s="56"/>
      <c r="O11" s="210"/>
      <c r="P11" s="211"/>
      <c r="Q11" s="211"/>
      <c r="R11" s="211"/>
      <c r="S11" s="211"/>
      <c r="T11" s="211"/>
      <c r="U11" s="212"/>
    </row>
    <row r="12" spans="1:21" ht="15.75" customHeight="1" thickBot="1">
      <c r="A12" s="64"/>
      <c r="B12" s="65"/>
      <c r="C12" s="30"/>
      <c r="D12" s="30"/>
      <c r="E12" s="31"/>
      <c r="F12" s="32"/>
      <c r="G12" s="29"/>
      <c r="H12" s="28"/>
      <c r="I12" s="29"/>
      <c r="J12" s="30" t="s">
        <v>13</v>
      </c>
      <c r="K12" s="31"/>
      <c r="L12" s="66"/>
      <c r="M12" s="48"/>
      <c r="N12" s="57">
        <f>COUNTA(H14:H14)</f>
        <v>1</v>
      </c>
      <c r="O12" s="213"/>
      <c r="P12" s="214"/>
      <c r="Q12" s="214"/>
      <c r="R12" s="214"/>
      <c r="S12" s="214"/>
      <c r="T12" s="214"/>
      <c r="U12" s="21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16" t="s">
        <v>32</v>
      </c>
      <c r="Q13" s="217"/>
      <c r="R13" s="217"/>
      <c r="S13" s="217"/>
      <c r="T13" s="217"/>
      <c r="U13" s="218"/>
    </row>
    <row r="14" spans="1:21" ht="15.75" customHeight="1">
      <c r="A14" s="85" t="s">
        <v>188</v>
      </c>
      <c r="B14" s="37">
        <f t="shared" ref="B14:B41" si="0">ROW()-13</f>
        <v>1</v>
      </c>
      <c r="C14" s="145" t="s">
        <v>186</v>
      </c>
      <c r="D14" s="80"/>
      <c r="E14" s="81"/>
      <c r="F14" s="146" t="s">
        <v>1029</v>
      </c>
      <c r="G14" s="17"/>
      <c r="H14" s="18" t="s">
        <v>49</v>
      </c>
      <c r="I14" s="59"/>
      <c r="J14" s="19">
        <v>1</v>
      </c>
      <c r="K14" s="19"/>
      <c r="L14" s="50" t="s">
        <v>187</v>
      </c>
      <c r="M14" s="73" t="s">
        <v>21</v>
      </c>
      <c r="N14" s="54">
        <f t="shared" ref="N14:N48" si="1">IF(H14="NUMBER",IF(J14&gt;0,INT((J14+1)/2+0.9),0),IF(H14="DATE",7,IF(OR(H14="LONG",H14="LONG RAW"),100000,J14)))</f>
        <v>1</v>
      </c>
      <c r="O14" s="167"/>
      <c r="P14" s="203" t="s">
        <v>174</v>
      </c>
      <c r="Q14" s="204"/>
      <c r="R14" s="204"/>
      <c r="S14" s="204"/>
      <c r="T14" s="204"/>
      <c r="U14" s="205"/>
    </row>
    <row r="15" spans="1:21" ht="15.75" customHeight="1">
      <c r="A15" s="85" t="s">
        <v>188</v>
      </c>
      <c r="B15" s="37">
        <f t="shared" si="0"/>
        <v>2</v>
      </c>
      <c r="C15" s="145" t="s">
        <v>372</v>
      </c>
      <c r="D15" s="80"/>
      <c r="E15" s="81"/>
      <c r="F15" s="146" t="s">
        <v>373</v>
      </c>
      <c r="G15" s="17"/>
      <c r="H15" s="18" t="s">
        <v>51</v>
      </c>
      <c r="I15" s="59"/>
      <c r="J15" s="19">
        <v>14</v>
      </c>
      <c r="K15" s="19"/>
      <c r="L15" s="50" t="s">
        <v>187</v>
      </c>
      <c r="M15" s="73" t="s">
        <v>21</v>
      </c>
      <c r="N15" s="54">
        <f t="shared" si="1"/>
        <v>14</v>
      </c>
      <c r="O15" s="167"/>
      <c r="P15" s="203"/>
      <c r="Q15" s="204"/>
      <c r="R15" s="204"/>
      <c r="S15" s="204"/>
      <c r="T15" s="204"/>
      <c r="U15" s="205"/>
    </row>
    <row r="16" spans="1:21" ht="15.75" customHeight="1">
      <c r="A16" s="85"/>
      <c r="B16" s="37">
        <f t="shared" si="0"/>
        <v>3</v>
      </c>
      <c r="C16" s="145" t="s">
        <v>193</v>
      </c>
      <c r="D16" s="80"/>
      <c r="E16" s="81"/>
      <c r="F16" s="146" t="s">
        <v>194</v>
      </c>
      <c r="G16" s="17"/>
      <c r="H16" s="18" t="s">
        <v>49</v>
      </c>
      <c r="I16" s="59"/>
      <c r="J16" s="19">
        <v>12</v>
      </c>
      <c r="K16" s="19"/>
      <c r="L16" s="50"/>
      <c r="M16" s="73" t="s">
        <v>21</v>
      </c>
      <c r="N16" s="54">
        <f t="shared" si="1"/>
        <v>12</v>
      </c>
      <c r="O16" s="167"/>
      <c r="P16" s="203"/>
      <c r="Q16" s="204"/>
      <c r="R16" s="204"/>
      <c r="S16" s="204"/>
      <c r="T16" s="204"/>
      <c r="U16" s="205"/>
    </row>
    <row r="17" spans="1:21" ht="15.75" customHeight="1">
      <c r="A17" s="85"/>
      <c r="B17" s="37">
        <f t="shared" si="0"/>
        <v>4</v>
      </c>
      <c r="C17" s="145" t="s">
        <v>195</v>
      </c>
      <c r="D17" s="80"/>
      <c r="E17" s="81"/>
      <c r="F17" s="146" t="s">
        <v>1058</v>
      </c>
      <c r="G17" s="17"/>
      <c r="H17" s="18" t="s">
        <v>49</v>
      </c>
      <c r="I17" s="59"/>
      <c r="J17" s="19">
        <v>1</v>
      </c>
      <c r="K17" s="19"/>
      <c r="L17" s="50" t="s">
        <v>187</v>
      </c>
      <c r="M17" s="73" t="s">
        <v>21</v>
      </c>
      <c r="N17" s="54">
        <f t="shared" si="1"/>
        <v>1</v>
      </c>
      <c r="O17" s="167"/>
      <c r="P17" s="203" t="s">
        <v>174</v>
      </c>
      <c r="Q17" s="204"/>
      <c r="R17" s="204"/>
      <c r="S17" s="204"/>
      <c r="T17" s="204"/>
      <c r="U17" s="205"/>
    </row>
    <row r="18" spans="1:21" ht="15.75" customHeight="1">
      <c r="A18" s="85"/>
      <c r="B18" s="37">
        <f t="shared" si="0"/>
        <v>5</v>
      </c>
      <c r="C18" s="145" t="s">
        <v>196</v>
      </c>
      <c r="D18" s="80"/>
      <c r="E18" s="81"/>
      <c r="F18" s="146" t="s">
        <v>197</v>
      </c>
      <c r="G18" s="17"/>
      <c r="H18" s="18" t="s">
        <v>51</v>
      </c>
      <c r="I18" s="59"/>
      <c r="J18" s="19">
        <v>25</v>
      </c>
      <c r="K18" s="19"/>
      <c r="L18" s="50" t="s">
        <v>187</v>
      </c>
      <c r="M18" s="73" t="s">
        <v>21</v>
      </c>
      <c r="N18" s="54">
        <f t="shared" si="1"/>
        <v>25</v>
      </c>
      <c r="O18" s="167"/>
      <c r="P18" s="203"/>
      <c r="Q18" s="204"/>
      <c r="R18" s="204"/>
      <c r="S18" s="204"/>
      <c r="T18" s="204"/>
      <c r="U18" s="205"/>
    </row>
    <row r="19" spans="1:21" ht="15.75" customHeight="1">
      <c r="A19" s="85"/>
      <c r="B19" s="37">
        <f t="shared" si="0"/>
        <v>6</v>
      </c>
      <c r="C19" s="145" t="s">
        <v>198</v>
      </c>
      <c r="D19" s="80"/>
      <c r="E19" s="81"/>
      <c r="F19" s="146" t="s">
        <v>199</v>
      </c>
      <c r="G19" s="17"/>
      <c r="H19" s="18" t="s">
        <v>51</v>
      </c>
      <c r="I19" s="59"/>
      <c r="J19" s="19">
        <v>4</v>
      </c>
      <c r="K19" s="19"/>
      <c r="L19" s="50" t="s">
        <v>187</v>
      </c>
      <c r="M19" s="73" t="s">
        <v>21</v>
      </c>
      <c r="N19" s="54">
        <f t="shared" si="1"/>
        <v>4</v>
      </c>
      <c r="O19" s="167"/>
      <c r="P19" s="203" t="s">
        <v>200</v>
      </c>
      <c r="Q19" s="204"/>
      <c r="R19" s="204"/>
      <c r="S19" s="204"/>
      <c r="T19" s="204"/>
      <c r="U19" s="205"/>
    </row>
    <row r="20" spans="1:21" ht="62.85" customHeight="1">
      <c r="A20" s="85"/>
      <c r="B20" s="37">
        <f t="shared" si="0"/>
        <v>7</v>
      </c>
      <c r="C20" s="145" t="s">
        <v>201</v>
      </c>
      <c r="D20" s="80"/>
      <c r="E20" s="81"/>
      <c r="F20" s="146" t="s">
        <v>202</v>
      </c>
      <c r="G20" s="17"/>
      <c r="H20" s="18" t="s">
        <v>49</v>
      </c>
      <c r="I20" s="59"/>
      <c r="J20" s="19">
        <v>1</v>
      </c>
      <c r="K20" s="19"/>
      <c r="L20" s="50" t="s">
        <v>187</v>
      </c>
      <c r="M20" s="73" t="s">
        <v>21</v>
      </c>
      <c r="N20" s="54">
        <f t="shared" si="1"/>
        <v>1</v>
      </c>
      <c r="O20" s="167"/>
      <c r="P20" s="206" t="s">
        <v>267</v>
      </c>
      <c r="Q20" s="204"/>
      <c r="R20" s="204"/>
      <c r="S20" s="204"/>
      <c r="T20" s="204"/>
      <c r="U20" s="205"/>
    </row>
    <row r="21" spans="1:21" ht="27.6" customHeight="1">
      <c r="A21" s="85"/>
      <c r="B21" s="37">
        <f t="shared" si="0"/>
        <v>8</v>
      </c>
      <c r="C21" s="145" t="s">
        <v>204</v>
      </c>
      <c r="D21" s="80"/>
      <c r="E21" s="81"/>
      <c r="F21" s="146" t="s">
        <v>205</v>
      </c>
      <c r="G21" s="17"/>
      <c r="H21" s="18" t="s">
        <v>49</v>
      </c>
      <c r="I21" s="59"/>
      <c r="J21" s="19">
        <v>1</v>
      </c>
      <c r="K21" s="19"/>
      <c r="L21" s="50" t="s">
        <v>187</v>
      </c>
      <c r="M21" s="73" t="s">
        <v>21</v>
      </c>
      <c r="N21" s="54">
        <f t="shared" si="1"/>
        <v>1</v>
      </c>
      <c r="O21" s="167"/>
      <c r="P21" s="206" t="s">
        <v>206</v>
      </c>
      <c r="Q21" s="204"/>
      <c r="R21" s="204"/>
      <c r="S21" s="204"/>
      <c r="T21" s="204"/>
      <c r="U21" s="205"/>
    </row>
    <row r="22" spans="1:21" ht="15.75" customHeight="1">
      <c r="A22" s="85"/>
      <c r="B22" s="37">
        <f t="shared" si="0"/>
        <v>9</v>
      </c>
      <c r="C22" s="145" t="s">
        <v>354</v>
      </c>
      <c r="D22" s="80"/>
      <c r="E22" s="81"/>
      <c r="F22" s="146" t="s">
        <v>355</v>
      </c>
      <c r="G22" s="17"/>
      <c r="H22" s="18" t="s">
        <v>51</v>
      </c>
      <c r="I22" s="59"/>
      <c r="J22" s="19">
        <v>4</v>
      </c>
      <c r="K22" s="19"/>
      <c r="L22" s="50" t="s">
        <v>187</v>
      </c>
      <c r="M22" s="73" t="s">
        <v>21</v>
      </c>
      <c r="N22" s="54">
        <f t="shared" si="1"/>
        <v>4</v>
      </c>
      <c r="O22" s="167"/>
      <c r="P22" s="203" t="s">
        <v>200</v>
      </c>
      <c r="Q22" s="204"/>
      <c r="R22" s="204"/>
      <c r="S22" s="204"/>
      <c r="T22" s="204"/>
      <c r="U22" s="205"/>
    </row>
    <row r="23" spans="1:21" ht="15.75" customHeight="1">
      <c r="A23" s="85"/>
      <c r="B23" s="37">
        <f t="shared" si="0"/>
        <v>10</v>
      </c>
      <c r="C23" s="145" t="s">
        <v>374</v>
      </c>
      <c r="D23" s="80"/>
      <c r="E23" s="81"/>
      <c r="F23" s="146" t="s">
        <v>375</v>
      </c>
      <c r="G23" s="17"/>
      <c r="H23" s="18" t="s">
        <v>209</v>
      </c>
      <c r="I23" s="59"/>
      <c r="J23" s="19">
        <v>4</v>
      </c>
      <c r="K23" s="19"/>
      <c r="L23" s="50" t="s">
        <v>187</v>
      </c>
      <c r="M23" s="73" t="s">
        <v>21</v>
      </c>
      <c r="N23" s="54">
        <f t="shared" si="1"/>
        <v>4</v>
      </c>
      <c r="O23" s="167"/>
      <c r="P23" s="203" t="s">
        <v>376</v>
      </c>
      <c r="Q23" s="204"/>
      <c r="R23" s="204"/>
      <c r="S23" s="204"/>
      <c r="T23" s="204"/>
      <c r="U23" s="205"/>
    </row>
    <row r="24" spans="1:21" ht="15.75" customHeight="1">
      <c r="A24" s="85"/>
      <c r="B24" s="37">
        <f t="shared" si="0"/>
        <v>11</v>
      </c>
      <c r="C24" s="145" t="s">
        <v>215</v>
      </c>
      <c r="D24" s="80"/>
      <c r="E24" s="81"/>
      <c r="F24" s="146" t="s">
        <v>216</v>
      </c>
      <c r="G24" s="17"/>
      <c r="H24" s="18" t="s">
        <v>24</v>
      </c>
      <c r="I24" s="59"/>
      <c r="J24" s="19"/>
      <c r="K24" s="19"/>
      <c r="L24" s="50" t="s">
        <v>187</v>
      </c>
      <c r="M24" s="73" t="s">
        <v>21</v>
      </c>
      <c r="N24" s="54">
        <f t="shared" si="1"/>
        <v>7</v>
      </c>
      <c r="O24" s="167"/>
      <c r="P24" s="203"/>
      <c r="Q24" s="204"/>
      <c r="R24" s="204"/>
      <c r="S24" s="204"/>
      <c r="T24" s="204"/>
      <c r="U24" s="205"/>
    </row>
    <row r="25" spans="1:21" ht="15.75" customHeight="1">
      <c r="A25" s="85"/>
      <c r="B25" s="37">
        <f t="shared" si="0"/>
        <v>12</v>
      </c>
      <c r="C25" s="145" t="s">
        <v>329</v>
      </c>
      <c r="D25" s="80"/>
      <c r="E25" s="81"/>
      <c r="F25" s="146" t="s">
        <v>330</v>
      </c>
      <c r="G25" s="17"/>
      <c r="H25" s="18" t="s">
        <v>54</v>
      </c>
      <c r="I25" s="59"/>
      <c r="J25" s="19"/>
      <c r="K25" s="19"/>
      <c r="L25" s="50" t="s">
        <v>187</v>
      </c>
      <c r="M25" s="73" t="s">
        <v>21</v>
      </c>
      <c r="N25" s="54">
        <f t="shared" si="1"/>
        <v>0</v>
      </c>
      <c r="O25" s="167"/>
      <c r="P25" s="203"/>
      <c r="Q25" s="204"/>
      <c r="R25" s="204"/>
      <c r="S25" s="204"/>
      <c r="T25" s="204"/>
      <c r="U25" s="205"/>
    </row>
    <row r="26" spans="1:21" ht="15.75" customHeight="1">
      <c r="A26" s="85"/>
      <c r="B26" s="37">
        <f t="shared" si="0"/>
        <v>13</v>
      </c>
      <c r="C26" s="145" t="s">
        <v>189</v>
      </c>
      <c r="D26" s="80"/>
      <c r="E26" s="81"/>
      <c r="F26" s="146" t="s">
        <v>190</v>
      </c>
      <c r="G26" s="17"/>
      <c r="H26" s="18" t="s">
        <v>49</v>
      </c>
      <c r="I26" s="59"/>
      <c r="J26" s="19">
        <v>7</v>
      </c>
      <c r="K26" s="19"/>
      <c r="L26" s="50" t="s">
        <v>187</v>
      </c>
      <c r="M26" s="73" t="s">
        <v>21</v>
      </c>
      <c r="N26" s="54">
        <f t="shared" si="1"/>
        <v>7</v>
      </c>
      <c r="O26" s="167"/>
      <c r="P26" s="203"/>
      <c r="Q26" s="204"/>
      <c r="R26" s="204"/>
      <c r="S26" s="204"/>
      <c r="T26" s="204"/>
      <c r="U26" s="205"/>
    </row>
    <row r="27" spans="1:21" ht="15.75" customHeight="1">
      <c r="A27" s="85"/>
      <c r="B27" s="37">
        <f t="shared" si="0"/>
        <v>14</v>
      </c>
      <c r="C27" s="145" t="s">
        <v>191</v>
      </c>
      <c r="D27" s="80"/>
      <c r="E27" s="81"/>
      <c r="F27" s="146" t="s">
        <v>192</v>
      </c>
      <c r="G27" s="17"/>
      <c r="H27" s="18" t="s">
        <v>49</v>
      </c>
      <c r="I27" s="59"/>
      <c r="J27" s="19">
        <v>3</v>
      </c>
      <c r="K27" s="19"/>
      <c r="L27" s="50" t="s">
        <v>187</v>
      </c>
      <c r="M27" s="73" t="s">
        <v>21</v>
      </c>
      <c r="N27" s="54">
        <f t="shared" si="1"/>
        <v>3</v>
      </c>
      <c r="O27" s="167"/>
      <c r="P27" s="203" t="s">
        <v>361</v>
      </c>
      <c r="Q27" s="204"/>
      <c r="R27" s="204"/>
      <c r="S27" s="204"/>
      <c r="T27" s="204"/>
      <c r="U27" s="205"/>
    </row>
    <row r="28" spans="1:21" ht="15.75" customHeight="1">
      <c r="A28" s="85"/>
      <c r="B28" s="37">
        <f t="shared" si="0"/>
        <v>15</v>
      </c>
      <c r="C28" s="145" t="s">
        <v>377</v>
      </c>
      <c r="D28" s="80"/>
      <c r="E28" s="81"/>
      <c r="F28" s="146" t="s">
        <v>378</v>
      </c>
      <c r="G28" s="17"/>
      <c r="H28" s="18" t="s">
        <v>51</v>
      </c>
      <c r="I28" s="59"/>
      <c r="J28" s="19">
        <v>10</v>
      </c>
      <c r="K28" s="19"/>
      <c r="L28" s="50" t="s">
        <v>187</v>
      </c>
      <c r="M28" s="73" t="s">
        <v>21</v>
      </c>
      <c r="N28" s="54">
        <f t="shared" si="1"/>
        <v>10</v>
      </c>
      <c r="O28" s="167"/>
      <c r="P28" s="203" t="s">
        <v>361</v>
      </c>
      <c r="Q28" s="204"/>
      <c r="R28" s="204"/>
      <c r="S28" s="204"/>
      <c r="T28" s="204"/>
      <c r="U28" s="205"/>
    </row>
    <row r="29" spans="1:21" ht="15.75" customHeight="1">
      <c r="A29" s="85"/>
      <c r="B29" s="37">
        <f t="shared" si="0"/>
        <v>16</v>
      </c>
      <c r="C29" s="145" t="s">
        <v>379</v>
      </c>
      <c r="D29" s="80"/>
      <c r="E29" s="81"/>
      <c r="F29" s="146" t="s">
        <v>380</v>
      </c>
      <c r="G29" s="17"/>
      <c r="H29" s="18" t="s">
        <v>209</v>
      </c>
      <c r="I29" s="59"/>
      <c r="J29" s="19">
        <v>4</v>
      </c>
      <c r="K29" s="19"/>
      <c r="L29" s="50"/>
      <c r="M29" s="73" t="s">
        <v>21</v>
      </c>
      <c r="N29" s="54">
        <f t="shared" si="1"/>
        <v>4</v>
      </c>
      <c r="O29" s="167"/>
      <c r="P29" s="203"/>
      <c r="Q29" s="204"/>
      <c r="R29" s="204"/>
      <c r="S29" s="204"/>
      <c r="T29" s="204"/>
      <c r="U29" s="205"/>
    </row>
    <row r="30" spans="1:21" ht="15.75" customHeight="1">
      <c r="A30" s="85"/>
      <c r="B30" s="37">
        <f t="shared" si="0"/>
        <v>17</v>
      </c>
      <c r="C30" s="145" t="s">
        <v>381</v>
      </c>
      <c r="D30" s="80"/>
      <c r="E30" s="81"/>
      <c r="F30" s="146" t="s">
        <v>382</v>
      </c>
      <c r="G30" s="17"/>
      <c r="H30" s="18" t="s">
        <v>209</v>
      </c>
      <c r="I30" s="59"/>
      <c r="J30" s="19">
        <v>4</v>
      </c>
      <c r="K30" s="19"/>
      <c r="L30" s="50"/>
      <c r="M30" s="73" t="s">
        <v>21</v>
      </c>
      <c r="N30" s="54">
        <f t="shared" si="1"/>
        <v>4</v>
      </c>
      <c r="O30" s="167"/>
      <c r="P30" s="203"/>
      <c r="Q30" s="204"/>
      <c r="R30" s="204"/>
      <c r="S30" s="204"/>
      <c r="T30" s="204"/>
      <c r="U30" s="205"/>
    </row>
    <row r="31" spans="1:21" ht="156.75" customHeight="1">
      <c r="A31" s="85"/>
      <c r="B31" s="37">
        <f t="shared" si="0"/>
        <v>18</v>
      </c>
      <c r="C31" s="145" t="s">
        <v>383</v>
      </c>
      <c r="D31" s="80"/>
      <c r="E31" s="81"/>
      <c r="F31" s="146" t="s">
        <v>384</v>
      </c>
      <c r="G31" s="17"/>
      <c r="H31" s="18" t="s">
        <v>49</v>
      </c>
      <c r="I31" s="59"/>
      <c r="J31" s="19">
        <v>1</v>
      </c>
      <c r="K31" s="19"/>
      <c r="L31" s="50"/>
      <c r="M31" s="73" t="s">
        <v>21</v>
      </c>
      <c r="N31" s="54">
        <f t="shared" si="1"/>
        <v>1</v>
      </c>
      <c r="O31" s="167"/>
      <c r="P31" s="206" t="s">
        <v>385</v>
      </c>
      <c r="Q31" s="204"/>
      <c r="R31" s="204"/>
      <c r="S31" s="204"/>
      <c r="T31" s="204"/>
      <c r="U31" s="205"/>
    </row>
    <row r="32" spans="1:21" ht="15.75" customHeight="1">
      <c r="A32" s="85"/>
      <c r="B32" s="37">
        <f t="shared" si="0"/>
        <v>19</v>
      </c>
      <c r="C32" s="145" t="s">
        <v>386</v>
      </c>
      <c r="D32" s="80"/>
      <c r="E32" s="81"/>
      <c r="F32" s="146" t="s">
        <v>387</v>
      </c>
      <c r="G32" s="17"/>
      <c r="H32" s="18" t="s">
        <v>1065</v>
      </c>
      <c r="I32" s="59"/>
      <c r="J32" s="19">
        <v>2</v>
      </c>
      <c r="K32" s="19"/>
      <c r="L32" s="50"/>
      <c r="M32" s="73" t="s">
        <v>21</v>
      </c>
      <c r="N32" s="54">
        <f t="shared" si="1"/>
        <v>2</v>
      </c>
      <c r="O32" s="167"/>
      <c r="P32" s="203" t="s">
        <v>171</v>
      </c>
      <c r="Q32" s="204"/>
      <c r="R32" s="204"/>
      <c r="S32" s="204"/>
      <c r="T32" s="204"/>
      <c r="U32" s="205"/>
    </row>
    <row r="33" spans="1:21" ht="192" customHeight="1">
      <c r="A33" s="85"/>
      <c r="B33" s="37">
        <f t="shared" si="0"/>
        <v>20</v>
      </c>
      <c r="C33" s="145" t="s">
        <v>388</v>
      </c>
      <c r="D33" s="80"/>
      <c r="E33" s="81"/>
      <c r="F33" s="146" t="s">
        <v>389</v>
      </c>
      <c r="G33" s="17"/>
      <c r="H33" s="18" t="s">
        <v>51</v>
      </c>
      <c r="I33" s="59"/>
      <c r="J33" s="19">
        <v>2</v>
      </c>
      <c r="K33" s="19"/>
      <c r="L33" s="50"/>
      <c r="M33" s="73" t="s">
        <v>21</v>
      </c>
      <c r="N33" s="54">
        <f t="shared" si="1"/>
        <v>2</v>
      </c>
      <c r="O33" s="167"/>
      <c r="P33" s="206" t="s">
        <v>390</v>
      </c>
      <c r="Q33" s="204"/>
      <c r="R33" s="204"/>
      <c r="S33" s="204"/>
      <c r="T33" s="204"/>
      <c r="U33" s="205"/>
    </row>
    <row r="34" spans="1:21" ht="39.200000000000003" customHeight="1">
      <c r="A34" s="85"/>
      <c r="B34" s="37">
        <f t="shared" si="0"/>
        <v>21</v>
      </c>
      <c r="C34" s="145" t="s">
        <v>391</v>
      </c>
      <c r="D34" s="80"/>
      <c r="E34" s="81"/>
      <c r="F34" s="146" t="s">
        <v>392</v>
      </c>
      <c r="G34" s="17"/>
      <c r="H34" s="18" t="s">
        <v>49</v>
      </c>
      <c r="I34" s="59"/>
      <c r="J34" s="19">
        <v>1</v>
      </c>
      <c r="K34" s="19"/>
      <c r="L34" s="50"/>
      <c r="M34" s="73" t="s">
        <v>21</v>
      </c>
      <c r="N34" s="54">
        <f t="shared" si="1"/>
        <v>1</v>
      </c>
      <c r="O34" s="167"/>
      <c r="P34" s="206" t="s">
        <v>393</v>
      </c>
      <c r="Q34" s="204"/>
      <c r="R34" s="204"/>
      <c r="S34" s="204"/>
      <c r="T34" s="204"/>
      <c r="U34" s="205"/>
    </row>
    <row r="35" spans="1:21" ht="51" customHeight="1">
      <c r="A35" s="85"/>
      <c r="B35" s="37">
        <f t="shared" si="0"/>
        <v>22</v>
      </c>
      <c r="C35" s="145" t="s">
        <v>394</v>
      </c>
      <c r="D35" s="80"/>
      <c r="E35" s="81"/>
      <c r="F35" s="146" t="s">
        <v>395</v>
      </c>
      <c r="G35" s="17"/>
      <c r="H35" s="18" t="s">
        <v>49</v>
      </c>
      <c r="I35" s="59"/>
      <c r="J35" s="19">
        <v>1</v>
      </c>
      <c r="K35" s="19"/>
      <c r="L35" s="50"/>
      <c r="M35" s="73" t="s">
        <v>21</v>
      </c>
      <c r="N35" s="54">
        <f t="shared" si="1"/>
        <v>1</v>
      </c>
      <c r="O35" s="167"/>
      <c r="P35" s="206" t="s">
        <v>396</v>
      </c>
      <c r="Q35" s="204"/>
      <c r="R35" s="204"/>
      <c r="S35" s="204"/>
      <c r="T35" s="204"/>
      <c r="U35" s="205"/>
    </row>
    <row r="36" spans="1:21" ht="15.75" customHeight="1">
      <c r="A36" s="85"/>
      <c r="B36" s="37">
        <f t="shared" si="0"/>
        <v>23</v>
      </c>
      <c r="C36" s="145" t="s">
        <v>397</v>
      </c>
      <c r="D36" s="80"/>
      <c r="E36" s="81"/>
      <c r="F36" s="146" t="s">
        <v>398</v>
      </c>
      <c r="G36" s="17"/>
      <c r="H36" s="18" t="s">
        <v>51</v>
      </c>
      <c r="I36" s="59"/>
      <c r="J36" s="19">
        <v>4</v>
      </c>
      <c r="K36" s="19"/>
      <c r="L36" s="50"/>
      <c r="M36" s="73" t="s">
        <v>21</v>
      </c>
      <c r="N36" s="54">
        <f t="shared" si="1"/>
        <v>4</v>
      </c>
      <c r="O36" s="167"/>
      <c r="P36" s="203" t="s">
        <v>399</v>
      </c>
      <c r="Q36" s="204"/>
      <c r="R36" s="204"/>
      <c r="S36" s="204"/>
      <c r="T36" s="204"/>
      <c r="U36" s="205"/>
    </row>
    <row r="37" spans="1:21" ht="15.75" customHeight="1">
      <c r="A37" s="85"/>
      <c r="B37" s="37">
        <f t="shared" si="0"/>
        <v>24</v>
      </c>
      <c r="C37" s="145" t="s">
        <v>400</v>
      </c>
      <c r="D37" s="80"/>
      <c r="E37" s="81"/>
      <c r="F37" s="146" t="s">
        <v>401</v>
      </c>
      <c r="G37" s="17"/>
      <c r="H37" s="18" t="s">
        <v>49</v>
      </c>
      <c r="I37" s="59"/>
      <c r="J37" s="19">
        <v>7</v>
      </c>
      <c r="K37" s="19"/>
      <c r="L37" s="50"/>
      <c r="M37" s="73" t="s">
        <v>21</v>
      </c>
      <c r="N37" s="54">
        <f t="shared" si="1"/>
        <v>7</v>
      </c>
      <c r="O37" s="167"/>
      <c r="P37" s="203"/>
      <c r="Q37" s="204"/>
      <c r="R37" s="204"/>
      <c r="S37" s="204"/>
      <c r="T37" s="204"/>
      <c r="U37" s="205"/>
    </row>
    <row r="38" spans="1:21" ht="15.75" customHeight="1">
      <c r="A38" s="85"/>
      <c r="B38" s="37">
        <f t="shared" si="0"/>
        <v>25</v>
      </c>
      <c r="C38" s="145" t="s">
        <v>210</v>
      </c>
      <c r="D38" s="80"/>
      <c r="E38" s="81"/>
      <c r="F38" s="146" t="s">
        <v>211</v>
      </c>
      <c r="G38" s="17"/>
      <c r="H38" s="18" t="s">
        <v>49</v>
      </c>
      <c r="I38" s="59"/>
      <c r="J38" s="19">
        <v>4</v>
      </c>
      <c r="K38" s="19"/>
      <c r="L38" s="50"/>
      <c r="M38" s="73" t="s">
        <v>21</v>
      </c>
      <c r="N38" s="54">
        <f t="shared" si="1"/>
        <v>4</v>
      </c>
      <c r="O38" s="167"/>
      <c r="P38" s="203"/>
      <c r="Q38" s="204"/>
      <c r="R38" s="204"/>
      <c r="S38" s="204"/>
      <c r="T38" s="204"/>
      <c r="U38" s="205"/>
    </row>
    <row r="39" spans="1:21" ht="15.75" customHeight="1">
      <c r="A39" s="85"/>
      <c r="B39" s="37">
        <f t="shared" si="0"/>
        <v>26</v>
      </c>
      <c r="C39" s="145" t="s">
        <v>402</v>
      </c>
      <c r="D39" s="80"/>
      <c r="E39" s="81"/>
      <c r="F39" s="146" t="s">
        <v>282</v>
      </c>
      <c r="G39" s="17"/>
      <c r="H39" s="18" t="s">
        <v>49</v>
      </c>
      <c r="I39" s="59"/>
      <c r="J39" s="19">
        <v>5</v>
      </c>
      <c r="K39" s="19"/>
      <c r="L39" s="50"/>
      <c r="M39" s="73" t="s">
        <v>21</v>
      </c>
      <c r="N39" s="54">
        <f t="shared" si="1"/>
        <v>5</v>
      </c>
      <c r="O39" s="167"/>
      <c r="P39" s="203"/>
      <c r="Q39" s="204"/>
      <c r="R39" s="204"/>
      <c r="S39" s="204"/>
      <c r="T39" s="204"/>
      <c r="U39" s="205"/>
    </row>
    <row r="40" spans="1:21" ht="15.75" customHeight="1">
      <c r="A40" s="85"/>
      <c r="B40" s="37">
        <f t="shared" si="0"/>
        <v>27</v>
      </c>
      <c r="C40" s="145" t="s">
        <v>285</v>
      </c>
      <c r="D40" s="80"/>
      <c r="E40" s="81"/>
      <c r="F40" s="146" t="s">
        <v>286</v>
      </c>
      <c r="G40" s="17"/>
      <c r="H40" s="18" t="s">
        <v>49</v>
      </c>
      <c r="I40" s="59"/>
      <c r="J40" s="19">
        <v>1</v>
      </c>
      <c r="K40" s="19"/>
      <c r="L40" s="50"/>
      <c r="M40" s="73" t="s">
        <v>21</v>
      </c>
      <c r="N40" s="54">
        <f t="shared" si="1"/>
        <v>1</v>
      </c>
      <c r="O40" s="167"/>
      <c r="P40" s="203" t="s">
        <v>403</v>
      </c>
      <c r="Q40" s="204"/>
      <c r="R40" s="204"/>
      <c r="S40" s="204"/>
      <c r="T40" s="204"/>
      <c r="U40" s="205"/>
    </row>
    <row r="41" spans="1:21" ht="15.75" customHeight="1">
      <c r="A41" s="85"/>
      <c r="B41" s="37">
        <f t="shared" si="0"/>
        <v>28</v>
      </c>
      <c r="C41" s="145" t="s">
        <v>404</v>
      </c>
      <c r="D41" s="80"/>
      <c r="E41" s="81"/>
      <c r="F41" s="146" t="s">
        <v>405</v>
      </c>
      <c r="G41" s="17"/>
      <c r="H41" s="18" t="s">
        <v>209</v>
      </c>
      <c r="I41" s="59"/>
      <c r="J41" s="19"/>
      <c r="K41" s="19"/>
      <c r="L41" s="50"/>
      <c r="M41" s="73" t="s">
        <v>21</v>
      </c>
      <c r="N41" s="54">
        <f t="shared" si="1"/>
        <v>0</v>
      </c>
      <c r="O41" s="167"/>
      <c r="P41" s="203" t="s">
        <v>406</v>
      </c>
      <c r="Q41" s="204"/>
      <c r="R41" s="204"/>
      <c r="S41" s="204"/>
      <c r="T41" s="204"/>
      <c r="U41" s="205"/>
    </row>
    <row r="42" spans="1:21" ht="15.75">
      <c r="A42" s="85"/>
      <c r="B42" s="37">
        <f t="shared" ref="B42:B48" si="2">ROW()-13</f>
        <v>29</v>
      </c>
      <c r="C42" s="107" t="s">
        <v>36</v>
      </c>
      <c r="D42" s="107"/>
      <c r="E42" s="108"/>
      <c r="F42" s="109" t="s">
        <v>78</v>
      </c>
      <c r="G42" s="110"/>
      <c r="H42" s="18" t="s">
        <v>51</v>
      </c>
      <c r="I42" s="59"/>
      <c r="J42" s="113">
        <v>12</v>
      </c>
      <c r="K42" s="113"/>
      <c r="L42" s="114"/>
      <c r="M42" s="115" t="s">
        <v>35</v>
      </c>
      <c r="N42" s="116">
        <f t="shared" si="1"/>
        <v>12</v>
      </c>
      <c r="O42" s="168"/>
      <c r="P42" s="200"/>
      <c r="Q42" s="201"/>
      <c r="R42" s="201"/>
      <c r="S42" s="201"/>
      <c r="T42" s="201"/>
      <c r="U42" s="202"/>
    </row>
    <row r="43" spans="1:21" ht="15.75">
      <c r="A43" s="85"/>
      <c r="B43" s="37">
        <f t="shared" si="2"/>
        <v>30</v>
      </c>
      <c r="C43" s="107" t="s">
        <v>37</v>
      </c>
      <c r="D43" s="107"/>
      <c r="E43" s="108"/>
      <c r="F43" s="109" t="s">
        <v>43</v>
      </c>
      <c r="G43" s="110"/>
      <c r="H43" s="18" t="s">
        <v>51</v>
      </c>
      <c r="I43" s="59"/>
      <c r="J43" s="113">
        <v>10</v>
      </c>
      <c r="K43" s="113"/>
      <c r="L43" s="114"/>
      <c r="M43" s="115" t="s">
        <v>21</v>
      </c>
      <c r="N43" s="116">
        <f t="shared" si="1"/>
        <v>10</v>
      </c>
      <c r="O43" s="168"/>
      <c r="P43" s="200"/>
      <c r="Q43" s="201"/>
      <c r="R43" s="201"/>
      <c r="S43" s="201"/>
      <c r="T43" s="201"/>
      <c r="U43" s="202"/>
    </row>
    <row r="44" spans="1:21" ht="15.75">
      <c r="A44" s="85"/>
      <c r="B44" s="37">
        <f t="shared" si="2"/>
        <v>31</v>
      </c>
      <c r="C44" s="107" t="s">
        <v>38</v>
      </c>
      <c r="D44" s="107"/>
      <c r="E44" s="108"/>
      <c r="F44" s="109" t="s">
        <v>80</v>
      </c>
      <c r="G44" s="110"/>
      <c r="H44" s="18" t="s">
        <v>86</v>
      </c>
      <c r="I44" s="59"/>
      <c r="J44" s="113"/>
      <c r="K44" s="113"/>
      <c r="L44" s="114"/>
      <c r="M44" s="115" t="s">
        <v>21</v>
      </c>
      <c r="N44" s="116">
        <f t="shared" si="1"/>
        <v>0</v>
      </c>
      <c r="O44" s="168"/>
      <c r="P44" s="200"/>
      <c r="Q44" s="201"/>
      <c r="R44" s="201"/>
      <c r="S44" s="201"/>
      <c r="T44" s="201"/>
      <c r="U44" s="202"/>
    </row>
    <row r="45" spans="1:21" ht="15.75">
      <c r="A45" s="85"/>
      <c r="B45" s="37">
        <f t="shared" si="2"/>
        <v>32</v>
      </c>
      <c r="C45" s="107" t="s">
        <v>39</v>
      </c>
      <c r="D45" s="107"/>
      <c r="E45" s="108"/>
      <c r="F45" s="109" t="s">
        <v>79</v>
      </c>
      <c r="G45" s="110"/>
      <c r="H45" s="18" t="s">
        <v>51</v>
      </c>
      <c r="I45" s="59"/>
      <c r="J45" s="113">
        <v>12</v>
      </c>
      <c r="K45" s="113"/>
      <c r="L45" s="114"/>
      <c r="M45" s="115" t="s">
        <v>35</v>
      </c>
      <c r="N45" s="116">
        <f t="shared" si="1"/>
        <v>12</v>
      </c>
      <c r="O45" s="168"/>
      <c r="P45" s="200"/>
      <c r="Q45" s="201"/>
      <c r="R45" s="201"/>
      <c r="S45" s="201"/>
      <c r="T45" s="201"/>
      <c r="U45" s="202"/>
    </row>
    <row r="46" spans="1:21" ht="15.75">
      <c r="A46" s="85"/>
      <c r="B46" s="37">
        <f t="shared" si="2"/>
        <v>33</v>
      </c>
      <c r="C46" s="107" t="s">
        <v>40</v>
      </c>
      <c r="D46" s="107"/>
      <c r="E46" s="108"/>
      <c r="F46" s="109" t="s">
        <v>44</v>
      </c>
      <c r="G46" s="110"/>
      <c r="H46" s="18" t="s">
        <v>51</v>
      </c>
      <c r="I46" s="59"/>
      <c r="J46" s="113">
        <v>10</v>
      </c>
      <c r="K46" s="113"/>
      <c r="L46" s="114"/>
      <c r="M46" s="115" t="s">
        <v>21</v>
      </c>
      <c r="N46" s="116">
        <f t="shared" si="1"/>
        <v>10</v>
      </c>
      <c r="O46" s="168"/>
      <c r="P46" s="200"/>
      <c r="Q46" s="201"/>
      <c r="R46" s="201"/>
      <c r="S46" s="201"/>
      <c r="T46" s="201"/>
      <c r="U46" s="202"/>
    </row>
    <row r="47" spans="1:21" ht="15.75">
      <c r="A47" s="85"/>
      <c r="B47" s="37">
        <f t="shared" si="2"/>
        <v>34</v>
      </c>
      <c r="C47" s="107" t="s">
        <v>41</v>
      </c>
      <c r="D47" s="107"/>
      <c r="E47" s="108"/>
      <c r="F47" s="109" t="s">
        <v>81</v>
      </c>
      <c r="G47" s="110"/>
      <c r="H47" s="18" t="s">
        <v>86</v>
      </c>
      <c r="I47" s="59"/>
      <c r="J47" s="113"/>
      <c r="K47" s="113"/>
      <c r="L47" s="114"/>
      <c r="M47" s="115" t="s">
        <v>21</v>
      </c>
      <c r="N47" s="116">
        <f t="shared" si="1"/>
        <v>0</v>
      </c>
      <c r="O47" s="168"/>
      <c r="P47" s="200"/>
      <c r="Q47" s="201"/>
      <c r="R47" s="201"/>
      <c r="S47" s="201"/>
      <c r="T47" s="201"/>
      <c r="U47" s="202"/>
    </row>
    <row r="48" spans="1:21" ht="15.75">
      <c r="A48" s="85"/>
      <c r="B48" s="37">
        <f t="shared" si="2"/>
        <v>35</v>
      </c>
      <c r="C48" s="80" t="s">
        <v>46</v>
      </c>
      <c r="D48" s="80"/>
      <c r="E48" s="81"/>
      <c r="F48" s="84" t="s">
        <v>71</v>
      </c>
      <c r="G48" s="17"/>
      <c r="H48" s="18" t="s">
        <v>62</v>
      </c>
      <c r="I48" s="59"/>
      <c r="J48" s="19">
        <v>8</v>
      </c>
      <c r="K48" s="19"/>
      <c r="L48" s="50" t="s">
        <v>47</v>
      </c>
      <c r="M48" s="73" t="s">
        <v>35</v>
      </c>
      <c r="N48" s="54">
        <f t="shared" si="1"/>
        <v>8</v>
      </c>
      <c r="O48" s="167">
        <v>0</v>
      </c>
      <c r="P48" s="203" t="s">
        <v>48</v>
      </c>
      <c r="Q48" s="204"/>
      <c r="R48" s="204"/>
      <c r="S48" s="204"/>
      <c r="T48" s="204"/>
      <c r="U48" s="205"/>
    </row>
    <row r="49" spans="1:21" ht="16.5" thickBot="1">
      <c r="A49" s="118"/>
      <c r="B49" s="119"/>
      <c r="C49" s="120"/>
      <c r="D49" s="120"/>
      <c r="E49" s="121"/>
      <c r="F49" s="129"/>
      <c r="G49" s="122"/>
      <c r="H49" s="147"/>
      <c r="I49" s="148"/>
      <c r="J49" s="125"/>
      <c r="K49" s="125"/>
      <c r="L49" s="126"/>
      <c r="M49" s="126"/>
      <c r="N49" s="127"/>
      <c r="O49" s="169"/>
      <c r="P49" s="197"/>
      <c r="Q49" s="198"/>
      <c r="R49" s="198"/>
      <c r="S49" s="198"/>
      <c r="T49" s="198"/>
      <c r="U49" s="199"/>
    </row>
  </sheetData>
  <mergeCells count="66">
    <mergeCell ref="O1:U1"/>
    <mergeCell ref="J2:K2"/>
    <mergeCell ref="L2:M2"/>
    <mergeCell ref="O2:U2"/>
    <mergeCell ref="J3:K3"/>
    <mergeCell ref="L3:M3"/>
    <mergeCell ref="O3:U3"/>
    <mergeCell ref="J4:K4"/>
    <mergeCell ref="L4:M4"/>
    <mergeCell ref="O4:U4"/>
    <mergeCell ref="J5:K5"/>
    <mergeCell ref="L5:M5"/>
    <mergeCell ref="O5:U5"/>
    <mergeCell ref="E6:H6"/>
    <mergeCell ref="K6:M6"/>
    <mergeCell ref="O6:U6"/>
    <mergeCell ref="E7:H7"/>
    <mergeCell ref="K7:M7"/>
    <mergeCell ref="O7:U7"/>
    <mergeCell ref="P15:U15"/>
    <mergeCell ref="E8:H8"/>
    <mergeCell ref="K8:M8"/>
    <mergeCell ref="O8:U8"/>
    <mergeCell ref="E9:H9"/>
    <mergeCell ref="O9:U9"/>
    <mergeCell ref="E10:H10"/>
    <mergeCell ref="O10:U10"/>
    <mergeCell ref="E11:H11"/>
    <mergeCell ref="O11:U11"/>
    <mergeCell ref="O12:U12"/>
    <mergeCell ref="P13:U13"/>
    <mergeCell ref="P14:U14"/>
    <mergeCell ref="P27:U27"/>
    <mergeCell ref="P16:U16"/>
    <mergeCell ref="P17:U17"/>
    <mergeCell ref="P18:U18"/>
    <mergeCell ref="P19:U19"/>
    <mergeCell ref="P20:U20"/>
    <mergeCell ref="P21:U21"/>
    <mergeCell ref="P22:U22"/>
    <mergeCell ref="P23:U23"/>
    <mergeCell ref="P24:U24"/>
    <mergeCell ref="P25:U25"/>
    <mergeCell ref="P26:U26"/>
    <mergeCell ref="P39:U39"/>
    <mergeCell ref="P28:U28"/>
    <mergeCell ref="P29:U29"/>
    <mergeCell ref="P30:U30"/>
    <mergeCell ref="P31:U31"/>
    <mergeCell ref="P32:U32"/>
    <mergeCell ref="P33:U33"/>
    <mergeCell ref="P34:U34"/>
    <mergeCell ref="P35:U35"/>
    <mergeCell ref="P36:U36"/>
    <mergeCell ref="P37:U37"/>
    <mergeCell ref="P38:U38"/>
    <mergeCell ref="P46:U46"/>
    <mergeCell ref="P47:U47"/>
    <mergeCell ref="P48:U48"/>
    <mergeCell ref="P49:U49"/>
    <mergeCell ref="P40:U40"/>
    <mergeCell ref="P41:U41"/>
    <mergeCell ref="P42:U42"/>
    <mergeCell ref="P43:U43"/>
    <mergeCell ref="P44:U44"/>
    <mergeCell ref="P45:U45"/>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3553"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23554"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23555"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23556"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23557"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23558"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42A1E284-C373-497B-A90C-14BD687B5A27}">
            <xm:f>(AND(H14&lt;&gt;"",ISERROR(VLOOKUP(H14,system!$E:$E,1,FALSE))))</xm:f>
            <x14:dxf>
              <fill>
                <patternFill patternType="solid">
                  <bgColor rgb="FFFF0000"/>
                </patternFill>
              </fill>
            </x14:dxf>
          </x14:cfRule>
          <xm:sqref>H14:H41</xm:sqref>
        </x14:conditionalFormatting>
        <x14:conditionalFormatting xmlns:xm="http://schemas.microsoft.com/office/excel/2006/main">
          <x14:cfRule type="expression" priority="3" id="{4AD1FE65-B016-45EC-82E2-4EC184B5050D}">
            <xm:f>(AND(H14&lt;&gt;"",ISERROR(VLOOKUP(H14,system!$E:$E,1,FALSE))))</xm:f>
            <x14:dxf>
              <fill>
                <patternFill>
                  <bgColor rgb="FFFF0000"/>
                </patternFill>
              </fill>
            </x14:dxf>
          </x14:cfRule>
          <xm:sqref>I14:I41</xm:sqref>
        </x14:conditionalFormatting>
        <x14:conditionalFormatting xmlns:xm="http://schemas.microsoft.com/office/excel/2006/main">
          <x14:cfRule type="expression" priority="2" id="{7072A95E-32A7-458C-88E0-5D7E8BDCC45D}">
            <xm:f>(AND(H42&lt;&gt;"",ISERROR(VLOOKUP(H42,system!$E:$E,1,FALSE))))</xm:f>
            <x14:dxf>
              <fill>
                <patternFill patternType="solid">
                  <bgColor rgb="FFFF0000"/>
                </patternFill>
              </fill>
            </x14:dxf>
          </x14:cfRule>
          <xm:sqref>H42:H49</xm:sqref>
        </x14:conditionalFormatting>
        <x14:conditionalFormatting xmlns:xm="http://schemas.microsoft.com/office/excel/2006/main">
          <x14:cfRule type="expression" priority="1" id="{D4C83115-690D-4D58-8E5A-FA187F9DCE7B}">
            <xm:f>(AND(H42&lt;&gt;"",ISERROR(VLOOKUP(H42,system!$E:$E,1,FALSE))))</xm:f>
            <x14:dxf>
              <fill>
                <patternFill>
                  <bgColor rgb="FFFF0000"/>
                </patternFill>
              </fill>
            </x14:dxf>
          </x14:cfRule>
          <xm:sqref>I42:I49</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pageSetUpPr fitToPage="1"/>
  </sheetPr>
  <dimension ref="A1:U43"/>
  <sheetViews>
    <sheetView showGridLines="0" zoomScaleNormal="100" workbookViewId="0">
      <pane ySplit="13" topLeftCell="A14" activePane="bottomLeft" state="frozen"/>
      <selection activeCell="D13" sqref="D13"/>
      <selection pane="bottomLeft" activeCell="A14" sqref="A14"/>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7" t="s">
        <v>27</v>
      </c>
      <c r="P1" s="248"/>
      <c r="Q1" s="248"/>
      <c r="R1" s="248"/>
      <c r="S1" s="248"/>
      <c r="T1" s="248"/>
      <c r="U1" s="249"/>
    </row>
    <row r="2" spans="1:21" ht="14.45" customHeight="1">
      <c r="A2" s="39"/>
      <c r="B2" s="100" t="s">
        <v>64</v>
      </c>
      <c r="C2" s="5"/>
      <c r="D2" s="5"/>
      <c r="E2" s="5"/>
      <c r="F2" s="5"/>
      <c r="G2" s="6"/>
      <c r="H2" s="7"/>
      <c r="I2" s="8"/>
      <c r="J2" s="250"/>
      <c r="K2" s="251"/>
      <c r="L2" s="250"/>
      <c r="M2" s="251"/>
      <c r="N2" s="52"/>
      <c r="O2" s="252" t="s">
        <v>410</v>
      </c>
      <c r="P2" s="253"/>
      <c r="Q2" s="253"/>
      <c r="R2" s="253"/>
      <c r="S2" s="253"/>
      <c r="T2" s="253"/>
      <c r="U2" s="254"/>
    </row>
    <row r="3" spans="1:21" ht="14.25" customHeight="1">
      <c r="A3" s="40"/>
      <c r="B3" s="35"/>
      <c r="C3" s="5"/>
      <c r="D3" s="5"/>
      <c r="E3" s="5"/>
      <c r="F3" s="5"/>
      <c r="G3" s="9"/>
      <c r="H3" s="10"/>
      <c r="I3" s="176" t="s">
        <v>1032</v>
      </c>
      <c r="J3" s="255" t="s">
        <v>1032</v>
      </c>
      <c r="K3" s="256"/>
      <c r="L3" s="255" t="s">
        <v>1032</v>
      </c>
      <c r="M3" s="256"/>
      <c r="N3" s="52"/>
      <c r="O3" s="257"/>
      <c r="P3" s="258"/>
      <c r="Q3" s="258"/>
      <c r="R3" s="258"/>
      <c r="S3" s="258"/>
      <c r="T3" s="258"/>
      <c r="U3" s="259"/>
    </row>
    <row r="4" spans="1:21" ht="14.45" customHeight="1">
      <c r="A4" s="41"/>
      <c r="B4" s="36" t="s">
        <v>3</v>
      </c>
      <c r="C4" s="5"/>
      <c r="D4" s="5"/>
      <c r="E4" s="5"/>
      <c r="F4" s="5"/>
      <c r="G4" s="6"/>
      <c r="H4" s="10"/>
      <c r="I4" s="177" t="s">
        <v>1035</v>
      </c>
      <c r="J4" s="240" t="s">
        <v>1034</v>
      </c>
      <c r="K4" s="241"/>
      <c r="L4" s="240" t="s">
        <v>1033</v>
      </c>
      <c r="M4" s="241"/>
      <c r="N4" s="52"/>
      <c r="O4" s="210"/>
      <c r="P4" s="211"/>
      <c r="Q4" s="211"/>
      <c r="R4" s="211"/>
      <c r="S4" s="211"/>
      <c r="T4" s="211"/>
      <c r="U4" s="212"/>
    </row>
    <row r="5" spans="1:21" ht="14.45" customHeight="1" thickBot="1">
      <c r="A5" s="42"/>
      <c r="B5" s="11"/>
      <c r="C5" s="11"/>
      <c r="D5" s="11"/>
      <c r="E5" s="11"/>
      <c r="F5" s="11"/>
      <c r="G5" s="12"/>
      <c r="H5" s="13"/>
      <c r="I5" s="14"/>
      <c r="J5" s="242"/>
      <c r="K5" s="243"/>
      <c r="L5" s="244"/>
      <c r="M5" s="245"/>
      <c r="N5" s="53"/>
      <c r="O5" s="246"/>
      <c r="P5" s="211"/>
      <c r="Q5" s="211"/>
      <c r="R5" s="211"/>
      <c r="S5" s="211"/>
      <c r="T5" s="211"/>
      <c r="U5" s="212"/>
    </row>
    <row r="6" spans="1:21" ht="14.45" customHeight="1">
      <c r="A6" s="43"/>
      <c r="B6" s="101" t="s">
        <v>4</v>
      </c>
      <c r="C6" s="20"/>
      <c r="D6" s="21"/>
      <c r="E6" s="222" t="s">
        <v>65</v>
      </c>
      <c r="F6" s="223"/>
      <c r="G6" s="223"/>
      <c r="H6" s="224"/>
      <c r="I6" s="60" t="s">
        <v>26</v>
      </c>
      <c r="J6" s="26"/>
      <c r="K6" s="225" t="s">
        <v>33</v>
      </c>
      <c r="L6" s="226"/>
      <c r="M6" s="227"/>
      <c r="N6" s="91" t="s">
        <v>5</v>
      </c>
      <c r="O6" s="210"/>
      <c r="P6" s="211"/>
      <c r="Q6" s="211"/>
      <c r="R6" s="211"/>
      <c r="S6" s="211"/>
      <c r="T6" s="211"/>
      <c r="U6" s="212"/>
    </row>
    <row r="7" spans="1:21" ht="15.75" customHeight="1">
      <c r="A7" s="44"/>
      <c r="B7" s="102" t="s">
        <v>6</v>
      </c>
      <c r="C7" s="22"/>
      <c r="D7" s="23"/>
      <c r="E7" s="228" t="s">
        <v>137</v>
      </c>
      <c r="F7" s="229"/>
      <c r="G7" s="229"/>
      <c r="H7" s="230"/>
      <c r="I7" s="61" t="s">
        <v>28</v>
      </c>
      <c r="J7" s="27"/>
      <c r="K7" s="231" t="s">
        <v>34</v>
      </c>
      <c r="L7" s="232"/>
      <c r="M7" s="233"/>
      <c r="N7" s="92">
        <f>COUNTIF(H14:H14,"LONG")+COUNTIF(H14:H14,"LONG RAW")</f>
        <v>0</v>
      </c>
      <c r="O7" s="210"/>
      <c r="P7" s="211"/>
      <c r="Q7" s="211"/>
      <c r="R7" s="211"/>
      <c r="S7" s="211"/>
      <c r="T7" s="211"/>
      <c r="U7" s="212"/>
    </row>
    <row r="8" spans="1:21" ht="14.45" customHeight="1">
      <c r="A8" s="45"/>
      <c r="B8" s="22" t="s">
        <v>7</v>
      </c>
      <c r="C8" s="22"/>
      <c r="D8" s="23"/>
      <c r="E8" s="228" t="s">
        <v>407</v>
      </c>
      <c r="F8" s="229"/>
      <c r="G8" s="229"/>
      <c r="H8" s="230"/>
      <c r="I8" s="62"/>
      <c r="J8" s="27"/>
      <c r="K8" s="234"/>
      <c r="L8" s="235"/>
      <c r="M8" s="236"/>
      <c r="N8" s="92"/>
      <c r="O8" s="210"/>
      <c r="P8" s="211"/>
      <c r="Q8" s="211"/>
      <c r="R8" s="211"/>
      <c r="S8" s="211"/>
      <c r="T8" s="211"/>
      <c r="U8" s="212"/>
    </row>
    <row r="9" spans="1:21" ht="14.45" customHeight="1">
      <c r="A9" s="45"/>
      <c r="B9" s="22" t="s">
        <v>8</v>
      </c>
      <c r="C9" s="22"/>
      <c r="D9" s="23"/>
      <c r="E9" s="237" t="s">
        <v>68</v>
      </c>
      <c r="F9" s="238"/>
      <c r="G9" s="238"/>
      <c r="H9" s="239"/>
      <c r="I9" s="61" t="s">
        <v>9</v>
      </c>
      <c r="J9" s="27"/>
      <c r="K9" s="86"/>
      <c r="L9" s="88">
        <f>SUM(N14:N44)</f>
        <v>171</v>
      </c>
      <c r="M9" s="82"/>
      <c r="N9" s="93">
        <f>SUMIF(M14:M14,"■",N14:N14)</f>
        <v>0</v>
      </c>
      <c r="O9" s="210"/>
      <c r="P9" s="211"/>
      <c r="Q9" s="211"/>
      <c r="R9" s="211"/>
      <c r="S9" s="211"/>
      <c r="T9" s="211"/>
      <c r="U9" s="212"/>
    </row>
    <row r="10" spans="1:21" ht="14.45" customHeight="1">
      <c r="A10" s="45"/>
      <c r="B10" s="22" t="s">
        <v>10</v>
      </c>
      <c r="C10" s="22"/>
      <c r="D10" s="23"/>
      <c r="E10" s="219" t="s">
        <v>68</v>
      </c>
      <c r="F10" s="220"/>
      <c r="G10" s="220"/>
      <c r="H10" s="221"/>
      <c r="I10" s="61" t="s">
        <v>11</v>
      </c>
      <c r="J10" s="27"/>
      <c r="K10" s="86"/>
      <c r="L10" s="89">
        <f>E11*L9/1000</f>
        <v>0</v>
      </c>
      <c r="M10" s="82"/>
      <c r="N10" s="55"/>
      <c r="O10" s="210"/>
      <c r="P10" s="211"/>
      <c r="Q10" s="211"/>
      <c r="R10" s="211"/>
      <c r="S10" s="211"/>
      <c r="T10" s="211"/>
      <c r="U10" s="212"/>
    </row>
    <row r="11" spans="1:21" ht="17.25" customHeight="1" thickBot="1">
      <c r="A11" s="46"/>
      <c r="B11" s="24" t="s">
        <v>29</v>
      </c>
      <c r="C11" s="24"/>
      <c r="D11" s="25"/>
      <c r="E11" s="207"/>
      <c r="F11" s="208"/>
      <c r="G11" s="208"/>
      <c r="H11" s="209"/>
      <c r="I11" s="103" t="s">
        <v>12</v>
      </c>
      <c r="J11" s="104"/>
      <c r="K11" s="87"/>
      <c r="L11" s="90"/>
      <c r="M11" s="83"/>
      <c r="N11" s="56"/>
      <c r="O11" s="210"/>
      <c r="P11" s="211"/>
      <c r="Q11" s="211"/>
      <c r="R11" s="211"/>
      <c r="S11" s="211"/>
      <c r="T11" s="211"/>
      <c r="U11" s="212"/>
    </row>
    <row r="12" spans="1:21" ht="15.75" customHeight="1" thickBot="1">
      <c r="A12" s="64"/>
      <c r="B12" s="65"/>
      <c r="C12" s="30"/>
      <c r="D12" s="30"/>
      <c r="E12" s="31"/>
      <c r="F12" s="32"/>
      <c r="G12" s="29"/>
      <c r="H12" s="28"/>
      <c r="I12" s="29"/>
      <c r="J12" s="30" t="s">
        <v>13</v>
      </c>
      <c r="K12" s="31"/>
      <c r="L12" s="66"/>
      <c r="M12" s="48"/>
      <c r="N12" s="57">
        <f>COUNTA(H14:H14)</f>
        <v>1</v>
      </c>
      <c r="O12" s="213"/>
      <c r="P12" s="214"/>
      <c r="Q12" s="214"/>
      <c r="R12" s="214"/>
      <c r="S12" s="214"/>
      <c r="T12" s="214"/>
      <c r="U12" s="21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16" t="s">
        <v>32</v>
      </c>
      <c r="Q13" s="217"/>
      <c r="R13" s="217"/>
      <c r="S13" s="217"/>
      <c r="T13" s="217"/>
      <c r="U13" s="218"/>
    </row>
    <row r="14" spans="1:21" ht="15.75" customHeight="1">
      <c r="A14" s="85" t="s">
        <v>188</v>
      </c>
      <c r="B14" s="37">
        <f t="shared" ref="B14:B35" si="0">ROW()-13</f>
        <v>1</v>
      </c>
      <c r="C14" s="145" t="s">
        <v>186</v>
      </c>
      <c r="D14" s="80"/>
      <c r="E14" s="81"/>
      <c r="F14" s="146" t="s">
        <v>1029</v>
      </c>
      <c r="G14" s="17"/>
      <c r="H14" s="18" t="s">
        <v>49</v>
      </c>
      <c r="I14" s="59"/>
      <c r="J14" s="19">
        <v>1</v>
      </c>
      <c r="K14" s="19"/>
      <c r="L14" s="50" t="s">
        <v>187</v>
      </c>
      <c r="M14" s="73" t="s">
        <v>21</v>
      </c>
      <c r="N14" s="54">
        <f t="shared" ref="N14:N42" si="1">IF(H14="NUMBER",IF(J14&gt;0,INT((J14+1)/2+0.9),0),IF(H14="DATE",7,IF(OR(H14="LONG",H14="LONG RAW"),100000,J14)))</f>
        <v>1</v>
      </c>
      <c r="O14" s="167"/>
      <c r="P14" s="203" t="s">
        <v>174</v>
      </c>
      <c r="Q14" s="204"/>
      <c r="R14" s="204"/>
      <c r="S14" s="204"/>
      <c r="T14" s="204"/>
      <c r="U14" s="205"/>
    </row>
    <row r="15" spans="1:21" ht="15.75" customHeight="1">
      <c r="A15" s="85" t="s">
        <v>188</v>
      </c>
      <c r="B15" s="37">
        <f t="shared" si="0"/>
        <v>2</v>
      </c>
      <c r="C15" s="145" t="s">
        <v>325</v>
      </c>
      <c r="D15" s="80"/>
      <c r="E15" s="81"/>
      <c r="F15" s="146" t="s">
        <v>326</v>
      </c>
      <c r="G15" s="17"/>
      <c r="H15" s="18" t="s">
        <v>51</v>
      </c>
      <c r="I15" s="59"/>
      <c r="J15" s="19">
        <v>14</v>
      </c>
      <c r="K15" s="19"/>
      <c r="L15" s="50" t="s">
        <v>187</v>
      </c>
      <c r="M15" s="73" t="s">
        <v>21</v>
      </c>
      <c r="N15" s="54">
        <f t="shared" si="1"/>
        <v>14</v>
      </c>
      <c r="O15" s="167"/>
      <c r="P15" s="203"/>
      <c r="Q15" s="204"/>
      <c r="R15" s="204"/>
      <c r="S15" s="204"/>
      <c r="T15" s="204"/>
      <c r="U15" s="205"/>
    </row>
    <row r="16" spans="1:21" ht="15.75" customHeight="1">
      <c r="A16" s="85" t="s">
        <v>188</v>
      </c>
      <c r="B16" s="37">
        <f t="shared" si="0"/>
        <v>3</v>
      </c>
      <c r="C16" s="145" t="s">
        <v>345</v>
      </c>
      <c r="D16" s="80"/>
      <c r="E16" s="81"/>
      <c r="F16" s="146" t="s">
        <v>346</v>
      </c>
      <c r="G16" s="17"/>
      <c r="H16" s="18" t="s">
        <v>209</v>
      </c>
      <c r="I16" s="59"/>
      <c r="J16" s="19"/>
      <c r="K16" s="19"/>
      <c r="L16" s="50" t="s">
        <v>187</v>
      </c>
      <c r="M16" s="73" t="s">
        <v>21</v>
      </c>
      <c r="N16" s="54">
        <f t="shared" si="1"/>
        <v>0</v>
      </c>
      <c r="O16" s="167"/>
      <c r="P16" s="203" t="s">
        <v>411</v>
      </c>
      <c r="Q16" s="204"/>
      <c r="R16" s="204"/>
      <c r="S16" s="204"/>
      <c r="T16" s="204"/>
      <c r="U16" s="205"/>
    </row>
    <row r="17" spans="1:21" ht="15.75" customHeight="1">
      <c r="A17" s="85"/>
      <c r="B17" s="37">
        <f t="shared" si="0"/>
        <v>4</v>
      </c>
      <c r="C17" s="145" t="s">
        <v>412</v>
      </c>
      <c r="D17" s="80"/>
      <c r="E17" s="81"/>
      <c r="F17" s="146" t="s">
        <v>373</v>
      </c>
      <c r="G17" s="17"/>
      <c r="H17" s="18" t="s">
        <v>51</v>
      </c>
      <c r="I17" s="59"/>
      <c r="J17" s="19">
        <v>14</v>
      </c>
      <c r="K17" s="19"/>
      <c r="L17" s="50" t="s">
        <v>187</v>
      </c>
      <c r="M17" s="73" t="s">
        <v>21</v>
      </c>
      <c r="N17" s="54">
        <f t="shared" si="1"/>
        <v>14</v>
      </c>
      <c r="O17" s="167"/>
      <c r="P17" s="203"/>
      <c r="Q17" s="204"/>
      <c r="R17" s="204"/>
      <c r="S17" s="204"/>
      <c r="T17" s="204"/>
      <c r="U17" s="205"/>
    </row>
    <row r="18" spans="1:21" ht="15.75" customHeight="1">
      <c r="A18" s="85"/>
      <c r="B18" s="37">
        <f t="shared" si="0"/>
        <v>5</v>
      </c>
      <c r="C18" s="145" t="s">
        <v>413</v>
      </c>
      <c r="D18" s="80"/>
      <c r="E18" s="81"/>
      <c r="F18" s="146" t="s">
        <v>211</v>
      </c>
      <c r="G18" s="17"/>
      <c r="H18" s="18" t="s">
        <v>49</v>
      </c>
      <c r="I18" s="59"/>
      <c r="J18" s="19">
        <v>3</v>
      </c>
      <c r="K18" s="19"/>
      <c r="L18" s="50" t="s">
        <v>187</v>
      </c>
      <c r="M18" s="73" t="s">
        <v>21</v>
      </c>
      <c r="N18" s="54">
        <f t="shared" si="1"/>
        <v>3</v>
      </c>
      <c r="O18" s="167"/>
      <c r="P18" s="203" t="s">
        <v>162</v>
      </c>
      <c r="Q18" s="204"/>
      <c r="R18" s="204"/>
      <c r="S18" s="204"/>
      <c r="T18" s="204"/>
      <c r="U18" s="205"/>
    </row>
    <row r="19" spans="1:21" ht="15.75" customHeight="1">
      <c r="A19" s="85"/>
      <c r="B19" s="37">
        <f t="shared" si="0"/>
        <v>6</v>
      </c>
      <c r="C19" s="145" t="s">
        <v>189</v>
      </c>
      <c r="D19" s="80"/>
      <c r="E19" s="81"/>
      <c r="F19" s="146" t="s">
        <v>190</v>
      </c>
      <c r="G19" s="17"/>
      <c r="H19" s="18" t="s">
        <v>49</v>
      </c>
      <c r="I19" s="59"/>
      <c r="J19" s="19">
        <v>7</v>
      </c>
      <c r="K19" s="19"/>
      <c r="L19" s="50" t="s">
        <v>187</v>
      </c>
      <c r="M19" s="73" t="s">
        <v>21</v>
      </c>
      <c r="N19" s="54">
        <f t="shared" si="1"/>
        <v>7</v>
      </c>
      <c r="O19" s="167"/>
      <c r="P19" s="203"/>
      <c r="Q19" s="204"/>
      <c r="R19" s="204"/>
      <c r="S19" s="204"/>
      <c r="T19" s="204"/>
      <c r="U19" s="205"/>
    </row>
    <row r="20" spans="1:21" ht="15.75" customHeight="1">
      <c r="A20" s="85"/>
      <c r="B20" s="37">
        <f t="shared" si="0"/>
        <v>7</v>
      </c>
      <c r="C20" s="145" t="s">
        <v>215</v>
      </c>
      <c r="D20" s="80"/>
      <c r="E20" s="81"/>
      <c r="F20" s="146" t="s">
        <v>216</v>
      </c>
      <c r="G20" s="17"/>
      <c r="H20" s="18" t="s">
        <v>24</v>
      </c>
      <c r="I20" s="59"/>
      <c r="J20" s="19"/>
      <c r="K20" s="19"/>
      <c r="L20" s="50" t="s">
        <v>187</v>
      </c>
      <c r="M20" s="73" t="s">
        <v>21</v>
      </c>
      <c r="N20" s="54">
        <f t="shared" si="1"/>
        <v>7</v>
      </c>
      <c r="O20" s="167"/>
      <c r="P20" s="203"/>
      <c r="Q20" s="204"/>
      <c r="R20" s="204"/>
      <c r="S20" s="204"/>
      <c r="T20" s="204"/>
      <c r="U20" s="205"/>
    </row>
    <row r="21" spans="1:21" ht="15.75" customHeight="1">
      <c r="A21" s="85"/>
      <c r="B21" s="37">
        <f t="shared" si="0"/>
        <v>8</v>
      </c>
      <c r="C21" s="145" t="s">
        <v>329</v>
      </c>
      <c r="D21" s="80"/>
      <c r="E21" s="81"/>
      <c r="F21" s="146" t="s">
        <v>330</v>
      </c>
      <c r="G21" s="17"/>
      <c r="H21" s="18" t="s">
        <v>54</v>
      </c>
      <c r="I21" s="59"/>
      <c r="J21" s="19"/>
      <c r="K21" s="19"/>
      <c r="L21" s="50" t="s">
        <v>187</v>
      </c>
      <c r="M21" s="73" t="s">
        <v>21</v>
      </c>
      <c r="N21" s="54">
        <f t="shared" si="1"/>
        <v>0</v>
      </c>
      <c r="O21" s="167"/>
      <c r="P21" s="203"/>
      <c r="Q21" s="204"/>
      <c r="R21" s="204"/>
      <c r="S21" s="204"/>
      <c r="T21" s="204"/>
      <c r="U21" s="205"/>
    </row>
    <row r="22" spans="1:21" ht="15.75" customHeight="1">
      <c r="A22" s="85"/>
      <c r="B22" s="37">
        <f t="shared" si="0"/>
        <v>9</v>
      </c>
      <c r="C22" s="145" t="s">
        <v>193</v>
      </c>
      <c r="D22" s="80"/>
      <c r="E22" s="81"/>
      <c r="F22" s="146" t="s">
        <v>194</v>
      </c>
      <c r="G22" s="17"/>
      <c r="H22" s="18" t="s">
        <v>49</v>
      </c>
      <c r="I22" s="59"/>
      <c r="J22" s="19">
        <v>12</v>
      </c>
      <c r="K22" s="19"/>
      <c r="L22" s="50"/>
      <c r="M22" s="73" t="s">
        <v>21</v>
      </c>
      <c r="N22" s="54">
        <f t="shared" si="1"/>
        <v>12</v>
      </c>
      <c r="O22" s="167"/>
      <c r="P22" s="203"/>
      <c r="Q22" s="204"/>
      <c r="R22" s="204"/>
      <c r="S22" s="204"/>
      <c r="T22" s="204"/>
      <c r="U22" s="205"/>
    </row>
    <row r="23" spans="1:21" ht="15.75" customHeight="1">
      <c r="A23" s="85"/>
      <c r="B23" s="37">
        <f t="shared" si="0"/>
        <v>10</v>
      </c>
      <c r="C23" s="145" t="s">
        <v>195</v>
      </c>
      <c r="D23" s="80"/>
      <c r="E23" s="81"/>
      <c r="F23" s="146" t="s">
        <v>1058</v>
      </c>
      <c r="G23" s="17"/>
      <c r="H23" s="18" t="s">
        <v>49</v>
      </c>
      <c r="I23" s="59"/>
      <c r="J23" s="19">
        <v>1</v>
      </c>
      <c r="K23" s="19"/>
      <c r="L23" s="50" t="s">
        <v>187</v>
      </c>
      <c r="M23" s="73" t="s">
        <v>21</v>
      </c>
      <c r="N23" s="54">
        <f t="shared" si="1"/>
        <v>1</v>
      </c>
      <c r="O23" s="167"/>
      <c r="P23" s="203" t="s">
        <v>174</v>
      </c>
      <c r="Q23" s="204"/>
      <c r="R23" s="204"/>
      <c r="S23" s="204"/>
      <c r="T23" s="204"/>
      <c r="U23" s="205"/>
    </row>
    <row r="24" spans="1:21" ht="15.75" customHeight="1">
      <c r="A24" s="85"/>
      <c r="B24" s="37">
        <f t="shared" si="0"/>
        <v>11</v>
      </c>
      <c r="C24" s="145" t="s">
        <v>196</v>
      </c>
      <c r="D24" s="80"/>
      <c r="E24" s="81"/>
      <c r="F24" s="146" t="s">
        <v>197</v>
      </c>
      <c r="G24" s="17"/>
      <c r="H24" s="18" t="s">
        <v>51</v>
      </c>
      <c r="I24" s="59"/>
      <c r="J24" s="19">
        <v>25</v>
      </c>
      <c r="K24" s="19"/>
      <c r="L24" s="50" t="s">
        <v>187</v>
      </c>
      <c r="M24" s="73" t="s">
        <v>21</v>
      </c>
      <c r="N24" s="54">
        <f t="shared" si="1"/>
        <v>25</v>
      </c>
      <c r="O24" s="167"/>
      <c r="P24" s="203"/>
      <c r="Q24" s="204"/>
      <c r="R24" s="204"/>
      <c r="S24" s="204"/>
      <c r="T24" s="204"/>
      <c r="U24" s="205"/>
    </row>
    <row r="25" spans="1:21" ht="15.75" customHeight="1">
      <c r="A25" s="85"/>
      <c r="B25" s="37">
        <f t="shared" si="0"/>
        <v>12</v>
      </c>
      <c r="C25" s="145" t="s">
        <v>198</v>
      </c>
      <c r="D25" s="80"/>
      <c r="E25" s="81"/>
      <c r="F25" s="146" t="s">
        <v>199</v>
      </c>
      <c r="G25" s="17"/>
      <c r="H25" s="18" t="s">
        <v>51</v>
      </c>
      <c r="I25" s="59"/>
      <c r="J25" s="19">
        <v>4</v>
      </c>
      <c r="K25" s="19"/>
      <c r="L25" s="50" t="s">
        <v>187</v>
      </c>
      <c r="M25" s="73" t="s">
        <v>21</v>
      </c>
      <c r="N25" s="54">
        <f t="shared" si="1"/>
        <v>4</v>
      </c>
      <c r="O25" s="167"/>
      <c r="P25" s="203" t="s">
        <v>200</v>
      </c>
      <c r="Q25" s="204"/>
      <c r="R25" s="204"/>
      <c r="S25" s="204"/>
      <c r="T25" s="204"/>
      <c r="U25" s="205"/>
    </row>
    <row r="26" spans="1:21" ht="62.85" customHeight="1">
      <c r="A26" s="85"/>
      <c r="B26" s="37">
        <f t="shared" si="0"/>
        <v>13</v>
      </c>
      <c r="C26" s="145" t="s">
        <v>201</v>
      </c>
      <c r="D26" s="80"/>
      <c r="E26" s="81"/>
      <c r="F26" s="146" t="s">
        <v>202</v>
      </c>
      <c r="G26" s="17"/>
      <c r="H26" s="18" t="s">
        <v>49</v>
      </c>
      <c r="I26" s="59"/>
      <c r="J26" s="19">
        <v>1</v>
      </c>
      <c r="K26" s="19"/>
      <c r="L26" s="50" t="s">
        <v>187</v>
      </c>
      <c r="M26" s="73" t="s">
        <v>21</v>
      </c>
      <c r="N26" s="54">
        <f t="shared" si="1"/>
        <v>1</v>
      </c>
      <c r="O26" s="167"/>
      <c r="P26" s="206" t="s">
        <v>267</v>
      </c>
      <c r="Q26" s="204"/>
      <c r="R26" s="204"/>
      <c r="S26" s="204"/>
      <c r="T26" s="204"/>
      <c r="U26" s="205"/>
    </row>
    <row r="27" spans="1:21" ht="27.6" customHeight="1">
      <c r="A27" s="85"/>
      <c r="B27" s="37">
        <f t="shared" si="0"/>
        <v>14</v>
      </c>
      <c r="C27" s="145" t="s">
        <v>204</v>
      </c>
      <c r="D27" s="80"/>
      <c r="E27" s="81"/>
      <c r="F27" s="146" t="s">
        <v>205</v>
      </c>
      <c r="G27" s="17"/>
      <c r="H27" s="18" t="s">
        <v>49</v>
      </c>
      <c r="I27" s="59"/>
      <c r="J27" s="19">
        <v>1</v>
      </c>
      <c r="K27" s="19"/>
      <c r="L27" s="50" t="s">
        <v>187</v>
      </c>
      <c r="M27" s="73" t="s">
        <v>21</v>
      </c>
      <c r="N27" s="54">
        <f t="shared" si="1"/>
        <v>1</v>
      </c>
      <c r="O27" s="167"/>
      <c r="P27" s="206" t="s">
        <v>206</v>
      </c>
      <c r="Q27" s="204"/>
      <c r="R27" s="204"/>
      <c r="S27" s="204"/>
      <c r="T27" s="204"/>
      <c r="U27" s="205"/>
    </row>
    <row r="28" spans="1:21" ht="15.75" customHeight="1">
      <c r="A28" s="85"/>
      <c r="B28" s="37">
        <f t="shared" si="0"/>
        <v>15</v>
      </c>
      <c r="C28" s="145" t="s">
        <v>354</v>
      </c>
      <c r="D28" s="80"/>
      <c r="E28" s="81"/>
      <c r="F28" s="146" t="s">
        <v>355</v>
      </c>
      <c r="G28" s="17"/>
      <c r="H28" s="18" t="s">
        <v>51</v>
      </c>
      <c r="I28" s="59"/>
      <c r="J28" s="19">
        <v>4</v>
      </c>
      <c r="K28" s="19"/>
      <c r="L28" s="50" t="s">
        <v>187</v>
      </c>
      <c r="M28" s="73" t="s">
        <v>21</v>
      </c>
      <c r="N28" s="54">
        <f t="shared" si="1"/>
        <v>4</v>
      </c>
      <c r="O28" s="167"/>
      <c r="P28" s="203" t="s">
        <v>200</v>
      </c>
      <c r="Q28" s="204"/>
      <c r="R28" s="204"/>
      <c r="S28" s="204"/>
      <c r="T28" s="204"/>
      <c r="U28" s="205"/>
    </row>
    <row r="29" spans="1:21" ht="15.75" customHeight="1">
      <c r="A29" s="85"/>
      <c r="B29" s="37">
        <f t="shared" si="0"/>
        <v>16</v>
      </c>
      <c r="C29" s="145" t="s">
        <v>191</v>
      </c>
      <c r="D29" s="80"/>
      <c r="E29" s="81"/>
      <c r="F29" s="146" t="s">
        <v>192</v>
      </c>
      <c r="G29" s="17"/>
      <c r="H29" s="18" t="s">
        <v>49</v>
      </c>
      <c r="I29" s="59"/>
      <c r="J29" s="19">
        <v>3</v>
      </c>
      <c r="K29" s="19"/>
      <c r="L29" s="50" t="s">
        <v>187</v>
      </c>
      <c r="M29" s="73" t="s">
        <v>21</v>
      </c>
      <c r="N29" s="54">
        <f t="shared" si="1"/>
        <v>3</v>
      </c>
      <c r="O29" s="167"/>
      <c r="P29" s="203" t="s">
        <v>361</v>
      </c>
      <c r="Q29" s="204"/>
      <c r="R29" s="204"/>
      <c r="S29" s="204"/>
      <c r="T29" s="204"/>
      <c r="U29" s="205"/>
    </row>
    <row r="30" spans="1:21" ht="15.75" customHeight="1">
      <c r="A30" s="85"/>
      <c r="B30" s="37">
        <f t="shared" si="0"/>
        <v>17</v>
      </c>
      <c r="C30" s="145" t="s">
        <v>377</v>
      </c>
      <c r="D30" s="80"/>
      <c r="E30" s="81"/>
      <c r="F30" s="146" t="s">
        <v>378</v>
      </c>
      <c r="G30" s="17"/>
      <c r="H30" s="18" t="s">
        <v>51</v>
      </c>
      <c r="I30" s="59"/>
      <c r="J30" s="19">
        <v>10</v>
      </c>
      <c r="K30" s="19"/>
      <c r="L30" s="50" t="s">
        <v>187</v>
      </c>
      <c r="M30" s="73" t="s">
        <v>21</v>
      </c>
      <c r="N30" s="54">
        <f t="shared" si="1"/>
        <v>10</v>
      </c>
      <c r="O30" s="167"/>
      <c r="P30" s="203" t="s">
        <v>361</v>
      </c>
      <c r="Q30" s="204"/>
      <c r="R30" s="204"/>
      <c r="S30" s="204"/>
      <c r="T30" s="204"/>
      <c r="U30" s="205"/>
    </row>
    <row r="31" spans="1:21" ht="156.75" customHeight="1">
      <c r="A31" s="85"/>
      <c r="B31" s="37">
        <f t="shared" si="0"/>
        <v>18</v>
      </c>
      <c r="C31" s="145" t="s">
        <v>383</v>
      </c>
      <c r="D31" s="80"/>
      <c r="E31" s="81"/>
      <c r="F31" s="146" t="s">
        <v>384</v>
      </c>
      <c r="G31" s="17"/>
      <c r="H31" s="18" t="s">
        <v>49</v>
      </c>
      <c r="I31" s="59"/>
      <c r="J31" s="19">
        <v>1</v>
      </c>
      <c r="K31" s="19"/>
      <c r="L31" s="50" t="s">
        <v>187</v>
      </c>
      <c r="M31" s="73" t="s">
        <v>21</v>
      </c>
      <c r="N31" s="54">
        <f t="shared" si="1"/>
        <v>1</v>
      </c>
      <c r="O31" s="167"/>
      <c r="P31" s="206" t="s">
        <v>385</v>
      </c>
      <c r="Q31" s="204"/>
      <c r="R31" s="204"/>
      <c r="S31" s="204"/>
      <c r="T31" s="204"/>
      <c r="U31" s="205"/>
    </row>
    <row r="32" spans="1:21" ht="15.75" customHeight="1">
      <c r="A32" s="85"/>
      <c r="B32" s="37">
        <f t="shared" si="0"/>
        <v>19</v>
      </c>
      <c r="C32" s="145" t="s">
        <v>386</v>
      </c>
      <c r="D32" s="80"/>
      <c r="E32" s="81"/>
      <c r="F32" s="146" t="s">
        <v>387</v>
      </c>
      <c r="G32" s="17"/>
      <c r="H32" s="18" t="s">
        <v>1065</v>
      </c>
      <c r="I32" s="59"/>
      <c r="J32" s="19">
        <v>2</v>
      </c>
      <c r="K32" s="19"/>
      <c r="L32" s="50"/>
      <c r="M32" s="73" t="s">
        <v>21</v>
      </c>
      <c r="N32" s="54">
        <f t="shared" si="1"/>
        <v>2</v>
      </c>
      <c r="O32" s="167"/>
      <c r="P32" s="203" t="s">
        <v>171</v>
      </c>
      <c r="Q32" s="204"/>
      <c r="R32" s="204"/>
      <c r="S32" s="204"/>
      <c r="T32" s="204"/>
      <c r="U32" s="205"/>
    </row>
    <row r="33" spans="1:21" ht="297.75" customHeight="1">
      <c r="A33" s="85"/>
      <c r="B33" s="37">
        <f t="shared" si="0"/>
        <v>20</v>
      </c>
      <c r="C33" s="145" t="s">
        <v>414</v>
      </c>
      <c r="D33" s="80"/>
      <c r="E33" s="81"/>
      <c r="F33" s="146" t="s">
        <v>415</v>
      </c>
      <c r="G33" s="17"/>
      <c r="H33" s="18" t="s">
        <v>51</v>
      </c>
      <c r="I33" s="59"/>
      <c r="J33" s="19">
        <v>2</v>
      </c>
      <c r="K33" s="19"/>
      <c r="L33" s="50" t="s">
        <v>187</v>
      </c>
      <c r="M33" s="73" t="s">
        <v>21</v>
      </c>
      <c r="N33" s="54">
        <f t="shared" si="1"/>
        <v>2</v>
      </c>
      <c r="O33" s="167"/>
      <c r="P33" s="206" t="s">
        <v>416</v>
      </c>
      <c r="Q33" s="204"/>
      <c r="R33" s="204"/>
      <c r="S33" s="204"/>
      <c r="T33" s="204"/>
      <c r="U33" s="205"/>
    </row>
    <row r="34" spans="1:21" ht="27.6" customHeight="1">
      <c r="A34" s="85"/>
      <c r="B34" s="37">
        <f t="shared" si="0"/>
        <v>21</v>
      </c>
      <c r="C34" s="145" t="s">
        <v>417</v>
      </c>
      <c r="D34" s="80"/>
      <c r="E34" s="81"/>
      <c r="F34" s="146" t="s">
        <v>418</v>
      </c>
      <c r="G34" s="17"/>
      <c r="H34" s="18" t="s">
        <v>49</v>
      </c>
      <c r="I34" s="59"/>
      <c r="J34" s="19">
        <v>1</v>
      </c>
      <c r="K34" s="19"/>
      <c r="L34" s="50"/>
      <c r="M34" s="73" t="s">
        <v>21</v>
      </c>
      <c r="N34" s="54">
        <f t="shared" si="1"/>
        <v>1</v>
      </c>
      <c r="O34" s="167"/>
      <c r="P34" s="206" t="s">
        <v>419</v>
      </c>
      <c r="Q34" s="204"/>
      <c r="R34" s="204"/>
      <c r="S34" s="204"/>
      <c r="T34" s="204"/>
      <c r="U34" s="205"/>
    </row>
    <row r="35" spans="1:21" ht="15.75" customHeight="1">
      <c r="A35" s="85"/>
      <c r="B35" s="37">
        <f t="shared" si="0"/>
        <v>22</v>
      </c>
      <c r="C35" s="145" t="s">
        <v>420</v>
      </c>
      <c r="D35" s="80"/>
      <c r="E35" s="81"/>
      <c r="F35" s="146" t="s">
        <v>421</v>
      </c>
      <c r="G35" s="17"/>
      <c r="H35" s="18" t="s">
        <v>51</v>
      </c>
      <c r="I35" s="59"/>
      <c r="J35" s="19">
        <v>6</v>
      </c>
      <c r="K35" s="19"/>
      <c r="L35" s="50"/>
      <c r="M35" s="73" t="s">
        <v>21</v>
      </c>
      <c r="N35" s="54">
        <f t="shared" si="1"/>
        <v>6</v>
      </c>
      <c r="O35" s="167"/>
      <c r="P35" s="203" t="s">
        <v>173</v>
      </c>
      <c r="Q35" s="204"/>
      <c r="R35" s="204"/>
      <c r="S35" s="204"/>
      <c r="T35" s="204"/>
      <c r="U35" s="205"/>
    </row>
    <row r="36" spans="1:21" ht="15.75">
      <c r="A36" s="85"/>
      <c r="B36" s="37">
        <f t="shared" ref="B36:B42" si="2">ROW()-13</f>
        <v>23</v>
      </c>
      <c r="C36" s="107" t="s">
        <v>36</v>
      </c>
      <c r="D36" s="107"/>
      <c r="E36" s="108"/>
      <c r="F36" s="109" t="s">
        <v>78</v>
      </c>
      <c r="G36" s="110"/>
      <c r="H36" s="18" t="s">
        <v>51</v>
      </c>
      <c r="I36" s="59"/>
      <c r="J36" s="113">
        <v>12</v>
      </c>
      <c r="K36" s="113"/>
      <c r="L36" s="114"/>
      <c r="M36" s="115" t="s">
        <v>35</v>
      </c>
      <c r="N36" s="116">
        <f t="shared" si="1"/>
        <v>12</v>
      </c>
      <c r="O36" s="168"/>
      <c r="P36" s="200"/>
      <c r="Q36" s="201"/>
      <c r="R36" s="201"/>
      <c r="S36" s="201"/>
      <c r="T36" s="201"/>
      <c r="U36" s="202"/>
    </row>
    <row r="37" spans="1:21" ht="15.75">
      <c r="A37" s="85"/>
      <c r="B37" s="37">
        <f t="shared" si="2"/>
        <v>24</v>
      </c>
      <c r="C37" s="107" t="s">
        <v>37</v>
      </c>
      <c r="D37" s="107"/>
      <c r="E37" s="108"/>
      <c r="F37" s="109" t="s">
        <v>43</v>
      </c>
      <c r="G37" s="110"/>
      <c r="H37" s="18" t="s">
        <v>51</v>
      </c>
      <c r="I37" s="59"/>
      <c r="J37" s="113">
        <v>10</v>
      </c>
      <c r="K37" s="113"/>
      <c r="L37" s="114"/>
      <c r="M37" s="115" t="s">
        <v>21</v>
      </c>
      <c r="N37" s="116">
        <f t="shared" si="1"/>
        <v>10</v>
      </c>
      <c r="O37" s="168"/>
      <c r="P37" s="200"/>
      <c r="Q37" s="201"/>
      <c r="R37" s="201"/>
      <c r="S37" s="201"/>
      <c r="T37" s="201"/>
      <c r="U37" s="202"/>
    </row>
    <row r="38" spans="1:21" ht="15.75">
      <c r="A38" s="85"/>
      <c r="B38" s="37">
        <f t="shared" si="2"/>
        <v>25</v>
      </c>
      <c r="C38" s="107" t="s">
        <v>38</v>
      </c>
      <c r="D38" s="107"/>
      <c r="E38" s="108"/>
      <c r="F38" s="109" t="s">
        <v>80</v>
      </c>
      <c r="G38" s="110"/>
      <c r="H38" s="18" t="s">
        <v>86</v>
      </c>
      <c r="I38" s="59"/>
      <c r="J38" s="113"/>
      <c r="K38" s="113"/>
      <c r="L38" s="114"/>
      <c r="M38" s="115" t="s">
        <v>21</v>
      </c>
      <c r="N38" s="116">
        <f t="shared" si="1"/>
        <v>0</v>
      </c>
      <c r="O38" s="168"/>
      <c r="P38" s="200"/>
      <c r="Q38" s="201"/>
      <c r="R38" s="201"/>
      <c r="S38" s="201"/>
      <c r="T38" s="201"/>
      <c r="U38" s="202"/>
    </row>
    <row r="39" spans="1:21" ht="15.75">
      <c r="A39" s="85"/>
      <c r="B39" s="37">
        <f t="shared" si="2"/>
        <v>26</v>
      </c>
      <c r="C39" s="107" t="s">
        <v>39</v>
      </c>
      <c r="D39" s="107"/>
      <c r="E39" s="108"/>
      <c r="F39" s="109" t="s">
        <v>79</v>
      </c>
      <c r="G39" s="110"/>
      <c r="H39" s="18" t="s">
        <v>51</v>
      </c>
      <c r="I39" s="59"/>
      <c r="J39" s="113">
        <v>12</v>
      </c>
      <c r="K39" s="113"/>
      <c r="L39" s="114"/>
      <c r="M39" s="115" t="s">
        <v>35</v>
      </c>
      <c r="N39" s="116">
        <f t="shared" si="1"/>
        <v>12</v>
      </c>
      <c r="O39" s="168"/>
      <c r="P39" s="200"/>
      <c r="Q39" s="201"/>
      <c r="R39" s="201"/>
      <c r="S39" s="201"/>
      <c r="T39" s="201"/>
      <c r="U39" s="202"/>
    </row>
    <row r="40" spans="1:21" ht="15.75">
      <c r="A40" s="85"/>
      <c r="B40" s="37">
        <f t="shared" si="2"/>
        <v>27</v>
      </c>
      <c r="C40" s="107" t="s">
        <v>40</v>
      </c>
      <c r="D40" s="107"/>
      <c r="E40" s="108"/>
      <c r="F40" s="109" t="s">
        <v>44</v>
      </c>
      <c r="G40" s="110"/>
      <c r="H40" s="18" t="s">
        <v>51</v>
      </c>
      <c r="I40" s="59"/>
      <c r="J40" s="113">
        <v>10</v>
      </c>
      <c r="K40" s="113"/>
      <c r="L40" s="114"/>
      <c r="M40" s="115" t="s">
        <v>21</v>
      </c>
      <c r="N40" s="116">
        <f t="shared" si="1"/>
        <v>10</v>
      </c>
      <c r="O40" s="168"/>
      <c r="P40" s="200"/>
      <c r="Q40" s="201"/>
      <c r="R40" s="201"/>
      <c r="S40" s="201"/>
      <c r="T40" s="201"/>
      <c r="U40" s="202"/>
    </row>
    <row r="41" spans="1:21" ht="15.75">
      <c r="A41" s="85"/>
      <c r="B41" s="37">
        <f t="shared" si="2"/>
        <v>28</v>
      </c>
      <c r="C41" s="107" t="s">
        <v>41</v>
      </c>
      <c r="D41" s="107"/>
      <c r="E41" s="108"/>
      <c r="F41" s="109" t="s">
        <v>81</v>
      </c>
      <c r="G41" s="110"/>
      <c r="H41" s="18" t="s">
        <v>86</v>
      </c>
      <c r="I41" s="59"/>
      <c r="J41" s="113"/>
      <c r="K41" s="113"/>
      <c r="L41" s="114"/>
      <c r="M41" s="115" t="s">
        <v>21</v>
      </c>
      <c r="N41" s="116">
        <f t="shared" si="1"/>
        <v>0</v>
      </c>
      <c r="O41" s="168"/>
      <c r="P41" s="200"/>
      <c r="Q41" s="201"/>
      <c r="R41" s="201"/>
      <c r="S41" s="201"/>
      <c r="T41" s="201"/>
      <c r="U41" s="202"/>
    </row>
    <row r="42" spans="1:21" ht="15.75">
      <c r="A42" s="85"/>
      <c r="B42" s="37">
        <f t="shared" si="2"/>
        <v>29</v>
      </c>
      <c r="C42" s="80" t="s">
        <v>46</v>
      </c>
      <c r="D42" s="80"/>
      <c r="E42" s="81"/>
      <c r="F42" s="84" t="s">
        <v>71</v>
      </c>
      <c r="G42" s="17"/>
      <c r="H42" s="18" t="s">
        <v>62</v>
      </c>
      <c r="I42" s="59"/>
      <c r="J42" s="19">
        <v>8</v>
      </c>
      <c r="K42" s="19"/>
      <c r="L42" s="50" t="s">
        <v>47</v>
      </c>
      <c r="M42" s="73" t="s">
        <v>35</v>
      </c>
      <c r="N42" s="54">
        <f t="shared" si="1"/>
        <v>8</v>
      </c>
      <c r="O42" s="167">
        <v>0</v>
      </c>
      <c r="P42" s="203" t="s">
        <v>48</v>
      </c>
      <c r="Q42" s="204"/>
      <c r="R42" s="204"/>
      <c r="S42" s="204"/>
      <c r="T42" s="204"/>
      <c r="U42" s="205"/>
    </row>
    <row r="43" spans="1:21" ht="16.5" thickBot="1">
      <c r="A43" s="118"/>
      <c r="B43" s="119"/>
      <c r="C43" s="120"/>
      <c r="D43" s="120"/>
      <c r="E43" s="121"/>
      <c r="F43" s="129"/>
      <c r="G43" s="122"/>
      <c r="H43" s="147"/>
      <c r="I43" s="148"/>
      <c r="J43" s="125"/>
      <c r="K43" s="125"/>
      <c r="L43" s="126"/>
      <c r="M43" s="126"/>
      <c r="N43" s="127"/>
      <c r="O43" s="169"/>
      <c r="P43" s="197"/>
      <c r="Q43" s="198"/>
      <c r="R43" s="198"/>
      <c r="S43" s="198"/>
      <c r="T43" s="198"/>
      <c r="U43" s="199"/>
    </row>
  </sheetData>
  <mergeCells count="60">
    <mergeCell ref="O1:U1"/>
    <mergeCell ref="J2:K2"/>
    <mergeCell ref="L2:M2"/>
    <mergeCell ref="O2:U2"/>
    <mergeCell ref="J3:K3"/>
    <mergeCell ref="L3:M3"/>
    <mergeCell ref="O3:U3"/>
    <mergeCell ref="J4:K4"/>
    <mergeCell ref="L4:M4"/>
    <mergeCell ref="O4:U4"/>
    <mergeCell ref="J5:K5"/>
    <mergeCell ref="L5:M5"/>
    <mergeCell ref="O5:U5"/>
    <mergeCell ref="E10:H10"/>
    <mergeCell ref="O10:U10"/>
    <mergeCell ref="E6:H6"/>
    <mergeCell ref="K6:M6"/>
    <mergeCell ref="O6:U6"/>
    <mergeCell ref="E7:H7"/>
    <mergeCell ref="K7:M7"/>
    <mergeCell ref="O7:U7"/>
    <mergeCell ref="E8:H8"/>
    <mergeCell ref="K8:M8"/>
    <mergeCell ref="O8:U8"/>
    <mergeCell ref="E9:H9"/>
    <mergeCell ref="O9:U9"/>
    <mergeCell ref="P21:U21"/>
    <mergeCell ref="E11:H11"/>
    <mergeCell ref="O11:U11"/>
    <mergeCell ref="O12:U12"/>
    <mergeCell ref="P13:U13"/>
    <mergeCell ref="P14:U14"/>
    <mergeCell ref="P15:U15"/>
    <mergeCell ref="P16:U16"/>
    <mergeCell ref="P17:U17"/>
    <mergeCell ref="P18:U18"/>
    <mergeCell ref="P19:U19"/>
    <mergeCell ref="P20:U20"/>
    <mergeCell ref="P33:U33"/>
    <mergeCell ref="P22:U22"/>
    <mergeCell ref="P23:U23"/>
    <mergeCell ref="P24:U24"/>
    <mergeCell ref="P25:U25"/>
    <mergeCell ref="P26:U26"/>
    <mergeCell ref="P27:U27"/>
    <mergeCell ref="P28:U28"/>
    <mergeCell ref="P29:U29"/>
    <mergeCell ref="P30:U30"/>
    <mergeCell ref="P31:U31"/>
    <mergeCell ref="P32:U32"/>
    <mergeCell ref="P40:U40"/>
    <mergeCell ref="P41:U41"/>
    <mergeCell ref="P42:U42"/>
    <mergeCell ref="P43:U43"/>
    <mergeCell ref="P34:U34"/>
    <mergeCell ref="P35:U35"/>
    <mergeCell ref="P36:U36"/>
    <mergeCell ref="P37:U37"/>
    <mergeCell ref="P38:U38"/>
    <mergeCell ref="P39:U39"/>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4577"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24578"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24579"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24580"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24581"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24582"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29FB534C-419E-4E7D-83B0-97C6D2030FA4}">
            <xm:f>(AND(H14&lt;&gt;"",ISERROR(VLOOKUP(H14,system!$E:$E,1,FALSE))))</xm:f>
            <x14:dxf>
              <fill>
                <patternFill patternType="solid">
                  <bgColor rgb="FFFF0000"/>
                </patternFill>
              </fill>
            </x14:dxf>
          </x14:cfRule>
          <xm:sqref>H14:H35</xm:sqref>
        </x14:conditionalFormatting>
        <x14:conditionalFormatting xmlns:xm="http://schemas.microsoft.com/office/excel/2006/main">
          <x14:cfRule type="expression" priority="3" id="{5A4C5877-5212-4900-B04F-DAD1B73E4555}">
            <xm:f>(AND(H14&lt;&gt;"",ISERROR(VLOOKUP(H14,system!$E:$E,1,FALSE))))</xm:f>
            <x14:dxf>
              <fill>
                <patternFill>
                  <bgColor rgb="FFFF0000"/>
                </patternFill>
              </fill>
            </x14:dxf>
          </x14:cfRule>
          <xm:sqref>I14:I35</xm:sqref>
        </x14:conditionalFormatting>
        <x14:conditionalFormatting xmlns:xm="http://schemas.microsoft.com/office/excel/2006/main">
          <x14:cfRule type="expression" priority="2" id="{E63B927C-A06A-4A41-90B2-DAB98D0C932A}">
            <xm:f>(AND(H36&lt;&gt;"",ISERROR(VLOOKUP(H36,system!$E:$E,1,FALSE))))</xm:f>
            <x14:dxf>
              <fill>
                <patternFill patternType="solid">
                  <bgColor rgb="FFFF0000"/>
                </patternFill>
              </fill>
            </x14:dxf>
          </x14:cfRule>
          <xm:sqref>H36:H43</xm:sqref>
        </x14:conditionalFormatting>
        <x14:conditionalFormatting xmlns:xm="http://schemas.microsoft.com/office/excel/2006/main">
          <x14:cfRule type="expression" priority="1" id="{9074F98F-A6C8-473B-BFA7-7BF472055A24}">
            <xm:f>(AND(H36&lt;&gt;"",ISERROR(VLOOKUP(H36,system!$E:$E,1,FALSE))))</xm:f>
            <x14:dxf>
              <fill>
                <patternFill>
                  <bgColor rgb="FFFF0000"/>
                </patternFill>
              </fill>
            </x14:dxf>
          </x14:cfRule>
          <xm:sqref>I36:I43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pageSetUpPr fitToPage="1"/>
  </sheetPr>
  <dimension ref="A1:U29"/>
  <sheetViews>
    <sheetView showGridLines="0" zoomScaleNormal="100" workbookViewId="0">
      <pane ySplit="13" topLeftCell="A14" activePane="bottomLeft" state="frozen"/>
      <selection activeCell="D13" sqref="D13"/>
      <selection pane="bottomLeft" activeCell="F13" sqref="F13"/>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7" t="s">
        <v>27</v>
      </c>
      <c r="P1" s="248"/>
      <c r="Q1" s="248"/>
      <c r="R1" s="248"/>
      <c r="S1" s="248"/>
      <c r="T1" s="248"/>
      <c r="U1" s="249"/>
    </row>
    <row r="2" spans="1:21" ht="14.45" customHeight="1">
      <c r="A2" s="39"/>
      <c r="B2" s="100" t="s">
        <v>64</v>
      </c>
      <c r="C2" s="5"/>
      <c r="D2" s="5"/>
      <c r="E2" s="5"/>
      <c r="F2" s="5"/>
      <c r="G2" s="6"/>
      <c r="H2" s="7"/>
      <c r="I2" s="8"/>
      <c r="J2" s="250"/>
      <c r="K2" s="251"/>
      <c r="L2" s="250"/>
      <c r="M2" s="251"/>
      <c r="N2" s="52"/>
      <c r="O2" s="252" t="s">
        <v>425</v>
      </c>
      <c r="P2" s="253"/>
      <c r="Q2" s="253"/>
      <c r="R2" s="253"/>
      <c r="S2" s="253"/>
      <c r="T2" s="253"/>
      <c r="U2" s="254"/>
    </row>
    <row r="3" spans="1:21" ht="14.25" customHeight="1">
      <c r="A3" s="40"/>
      <c r="B3" s="35"/>
      <c r="C3" s="5"/>
      <c r="D3" s="5"/>
      <c r="E3" s="5"/>
      <c r="F3" s="5"/>
      <c r="G3" s="9"/>
      <c r="H3" s="10"/>
      <c r="I3" s="176" t="s">
        <v>1032</v>
      </c>
      <c r="J3" s="255" t="s">
        <v>1032</v>
      </c>
      <c r="K3" s="256"/>
      <c r="L3" s="255" t="s">
        <v>1032</v>
      </c>
      <c r="M3" s="256"/>
      <c r="N3" s="52"/>
      <c r="O3" s="257"/>
      <c r="P3" s="258"/>
      <c r="Q3" s="258"/>
      <c r="R3" s="258"/>
      <c r="S3" s="258"/>
      <c r="T3" s="258"/>
      <c r="U3" s="259"/>
    </row>
    <row r="4" spans="1:21" ht="14.45" customHeight="1">
      <c r="A4" s="41"/>
      <c r="B4" s="36" t="s">
        <v>3</v>
      </c>
      <c r="C4" s="5"/>
      <c r="D4" s="5"/>
      <c r="E4" s="5"/>
      <c r="F4" s="5"/>
      <c r="G4" s="6"/>
      <c r="H4" s="10"/>
      <c r="I4" s="177" t="s">
        <v>1035</v>
      </c>
      <c r="J4" s="240" t="s">
        <v>1034</v>
      </c>
      <c r="K4" s="241"/>
      <c r="L4" s="240" t="s">
        <v>1033</v>
      </c>
      <c r="M4" s="241"/>
      <c r="N4" s="52"/>
      <c r="O4" s="210"/>
      <c r="P4" s="211"/>
      <c r="Q4" s="211"/>
      <c r="R4" s="211"/>
      <c r="S4" s="211"/>
      <c r="T4" s="211"/>
      <c r="U4" s="212"/>
    </row>
    <row r="5" spans="1:21" ht="14.45" customHeight="1" thickBot="1">
      <c r="A5" s="42"/>
      <c r="B5" s="11"/>
      <c r="C5" s="11"/>
      <c r="D5" s="11"/>
      <c r="E5" s="11"/>
      <c r="F5" s="11"/>
      <c r="G5" s="12"/>
      <c r="H5" s="13"/>
      <c r="I5" s="14"/>
      <c r="J5" s="242"/>
      <c r="K5" s="243"/>
      <c r="L5" s="244"/>
      <c r="M5" s="245"/>
      <c r="N5" s="53"/>
      <c r="O5" s="246"/>
      <c r="P5" s="211"/>
      <c r="Q5" s="211"/>
      <c r="R5" s="211"/>
      <c r="S5" s="211"/>
      <c r="T5" s="211"/>
      <c r="U5" s="212"/>
    </row>
    <row r="6" spans="1:21" ht="14.45" customHeight="1">
      <c r="A6" s="43"/>
      <c r="B6" s="101" t="s">
        <v>4</v>
      </c>
      <c r="C6" s="20"/>
      <c r="D6" s="21"/>
      <c r="E6" s="222" t="s">
        <v>65</v>
      </c>
      <c r="F6" s="223"/>
      <c r="G6" s="223"/>
      <c r="H6" s="224"/>
      <c r="I6" s="60" t="s">
        <v>26</v>
      </c>
      <c r="J6" s="26"/>
      <c r="K6" s="225" t="s">
        <v>33</v>
      </c>
      <c r="L6" s="226"/>
      <c r="M6" s="227"/>
      <c r="N6" s="91" t="s">
        <v>5</v>
      </c>
      <c r="O6" s="210"/>
      <c r="P6" s="211"/>
      <c r="Q6" s="211"/>
      <c r="R6" s="211"/>
      <c r="S6" s="211"/>
      <c r="T6" s="211"/>
      <c r="U6" s="212"/>
    </row>
    <row r="7" spans="1:21" ht="15.75" customHeight="1">
      <c r="A7" s="44"/>
      <c r="B7" s="102" t="s">
        <v>6</v>
      </c>
      <c r="C7" s="22"/>
      <c r="D7" s="23"/>
      <c r="E7" s="228" t="s">
        <v>138</v>
      </c>
      <c r="F7" s="229"/>
      <c r="G7" s="229"/>
      <c r="H7" s="230"/>
      <c r="I7" s="61" t="s">
        <v>28</v>
      </c>
      <c r="J7" s="27"/>
      <c r="K7" s="231" t="s">
        <v>34</v>
      </c>
      <c r="L7" s="232"/>
      <c r="M7" s="233"/>
      <c r="N7" s="92">
        <f>COUNTIF(H14:H14,"LONG")+COUNTIF(H14:H14,"LONG RAW")</f>
        <v>0</v>
      </c>
      <c r="O7" s="210"/>
      <c r="P7" s="211"/>
      <c r="Q7" s="211"/>
      <c r="R7" s="211"/>
      <c r="S7" s="211"/>
      <c r="T7" s="211"/>
      <c r="U7" s="212"/>
    </row>
    <row r="8" spans="1:21" ht="14.45" customHeight="1">
      <c r="A8" s="45"/>
      <c r="B8" s="22" t="s">
        <v>7</v>
      </c>
      <c r="C8" s="22"/>
      <c r="D8" s="23"/>
      <c r="E8" s="228" t="s">
        <v>422</v>
      </c>
      <c r="F8" s="229"/>
      <c r="G8" s="229"/>
      <c r="H8" s="230"/>
      <c r="I8" s="62"/>
      <c r="J8" s="27"/>
      <c r="K8" s="234"/>
      <c r="L8" s="235"/>
      <c r="M8" s="236"/>
      <c r="N8" s="92"/>
      <c r="O8" s="210"/>
      <c r="P8" s="211"/>
      <c r="Q8" s="211"/>
      <c r="R8" s="211"/>
      <c r="S8" s="211"/>
      <c r="T8" s="211"/>
      <c r="U8" s="212"/>
    </row>
    <row r="9" spans="1:21" ht="14.45" customHeight="1">
      <c r="A9" s="45"/>
      <c r="B9" s="22" t="s">
        <v>8</v>
      </c>
      <c r="C9" s="22"/>
      <c r="D9" s="23"/>
      <c r="E9" s="237" t="s">
        <v>68</v>
      </c>
      <c r="F9" s="238"/>
      <c r="G9" s="238"/>
      <c r="H9" s="239"/>
      <c r="I9" s="61" t="s">
        <v>9</v>
      </c>
      <c r="J9" s="27"/>
      <c r="K9" s="86"/>
      <c r="L9" s="88">
        <f>SUM(N14:N30)</f>
        <v>117</v>
      </c>
      <c r="M9" s="82"/>
      <c r="N9" s="93">
        <f>SUMIF(M14:M14,"■",N14:N14)</f>
        <v>0</v>
      </c>
      <c r="O9" s="210"/>
      <c r="P9" s="211"/>
      <c r="Q9" s="211"/>
      <c r="R9" s="211"/>
      <c r="S9" s="211"/>
      <c r="T9" s="211"/>
      <c r="U9" s="212"/>
    </row>
    <row r="10" spans="1:21" ht="14.45" customHeight="1">
      <c r="A10" s="45"/>
      <c r="B10" s="22" t="s">
        <v>10</v>
      </c>
      <c r="C10" s="22"/>
      <c r="D10" s="23"/>
      <c r="E10" s="219" t="s">
        <v>68</v>
      </c>
      <c r="F10" s="220"/>
      <c r="G10" s="220"/>
      <c r="H10" s="221"/>
      <c r="I10" s="61" t="s">
        <v>11</v>
      </c>
      <c r="J10" s="27"/>
      <c r="K10" s="86"/>
      <c r="L10" s="89">
        <f>E11*L9/1000</f>
        <v>0</v>
      </c>
      <c r="M10" s="82"/>
      <c r="N10" s="55"/>
      <c r="O10" s="210"/>
      <c r="P10" s="211"/>
      <c r="Q10" s="211"/>
      <c r="R10" s="211"/>
      <c r="S10" s="211"/>
      <c r="T10" s="211"/>
      <c r="U10" s="212"/>
    </row>
    <row r="11" spans="1:21" ht="17.25" customHeight="1" thickBot="1">
      <c r="A11" s="46"/>
      <c r="B11" s="24" t="s">
        <v>29</v>
      </c>
      <c r="C11" s="24"/>
      <c r="D11" s="25"/>
      <c r="E11" s="207"/>
      <c r="F11" s="208"/>
      <c r="G11" s="208"/>
      <c r="H11" s="209"/>
      <c r="I11" s="103" t="s">
        <v>12</v>
      </c>
      <c r="J11" s="104"/>
      <c r="K11" s="87"/>
      <c r="L11" s="90"/>
      <c r="M11" s="83"/>
      <c r="N11" s="56"/>
      <c r="O11" s="210"/>
      <c r="P11" s="211"/>
      <c r="Q11" s="211"/>
      <c r="R11" s="211"/>
      <c r="S11" s="211"/>
      <c r="T11" s="211"/>
      <c r="U11" s="212"/>
    </row>
    <row r="12" spans="1:21" ht="15.75" customHeight="1" thickBot="1">
      <c r="A12" s="64"/>
      <c r="B12" s="65"/>
      <c r="C12" s="30"/>
      <c r="D12" s="30"/>
      <c r="E12" s="31"/>
      <c r="F12" s="32"/>
      <c r="G12" s="29"/>
      <c r="H12" s="28"/>
      <c r="I12" s="29"/>
      <c r="J12" s="30" t="s">
        <v>13</v>
      </c>
      <c r="K12" s="31"/>
      <c r="L12" s="66"/>
      <c r="M12" s="48"/>
      <c r="N12" s="57">
        <f>COUNTA(H14:H14)</f>
        <v>1</v>
      </c>
      <c r="O12" s="213"/>
      <c r="P12" s="214"/>
      <c r="Q12" s="214"/>
      <c r="R12" s="214"/>
      <c r="S12" s="214"/>
      <c r="T12" s="214"/>
      <c r="U12" s="21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16" t="s">
        <v>32</v>
      </c>
      <c r="Q13" s="217"/>
      <c r="R13" s="217"/>
      <c r="S13" s="217"/>
      <c r="T13" s="217"/>
      <c r="U13" s="218"/>
    </row>
    <row r="14" spans="1:21" ht="15.75" customHeight="1">
      <c r="A14" s="85" t="s">
        <v>188</v>
      </c>
      <c r="B14" s="37">
        <f t="shared" ref="B14:B21" si="0">ROW()-13</f>
        <v>1</v>
      </c>
      <c r="C14" s="145" t="s">
        <v>186</v>
      </c>
      <c r="D14" s="80"/>
      <c r="E14" s="81"/>
      <c r="F14" s="146" t="s">
        <v>1029</v>
      </c>
      <c r="G14" s="17"/>
      <c r="H14" s="18" t="s">
        <v>49</v>
      </c>
      <c r="I14" s="59"/>
      <c r="J14" s="19">
        <v>1</v>
      </c>
      <c r="K14" s="19"/>
      <c r="L14" s="50" t="s">
        <v>187</v>
      </c>
      <c r="M14" s="73" t="s">
        <v>21</v>
      </c>
      <c r="N14" s="54">
        <f t="shared" ref="N14:N28" si="1">IF(H14="NUMBER",IF(J14&gt;0,INT((J14+1)/2+0.9),0),IF(H14="DATE",7,IF(OR(H14="LONG",H14="LONG RAW"),100000,J14)))</f>
        <v>1</v>
      </c>
      <c r="O14" s="167"/>
      <c r="P14" s="203" t="s">
        <v>174</v>
      </c>
      <c r="Q14" s="204"/>
      <c r="R14" s="204"/>
      <c r="S14" s="204"/>
      <c r="T14" s="204"/>
      <c r="U14" s="205"/>
    </row>
    <row r="15" spans="1:21" ht="15.75" customHeight="1">
      <c r="A15" s="85" t="s">
        <v>188</v>
      </c>
      <c r="B15" s="37">
        <f t="shared" si="0"/>
        <v>2</v>
      </c>
      <c r="C15" s="145" t="s">
        <v>325</v>
      </c>
      <c r="D15" s="80"/>
      <c r="E15" s="81"/>
      <c r="F15" s="146" t="s">
        <v>326</v>
      </c>
      <c r="G15" s="17"/>
      <c r="H15" s="18" t="s">
        <v>51</v>
      </c>
      <c r="I15" s="59"/>
      <c r="J15" s="19">
        <v>14</v>
      </c>
      <c r="K15" s="19"/>
      <c r="L15" s="50" t="s">
        <v>187</v>
      </c>
      <c r="M15" s="73" t="s">
        <v>21</v>
      </c>
      <c r="N15" s="54">
        <f t="shared" si="1"/>
        <v>14</v>
      </c>
      <c r="O15" s="167"/>
      <c r="P15" s="203"/>
      <c r="Q15" s="204"/>
      <c r="R15" s="204"/>
      <c r="S15" s="204"/>
      <c r="T15" s="204"/>
      <c r="U15" s="205"/>
    </row>
    <row r="16" spans="1:21" ht="15.75" customHeight="1">
      <c r="A16" s="85" t="s">
        <v>188</v>
      </c>
      <c r="B16" s="37">
        <f t="shared" si="0"/>
        <v>3</v>
      </c>
      <c r="C16" s="145" t="s">
        <v>345</v>
      </c>
      <c r="D16" s="80"/>
      <c r="E16" s="81"/>
      <c r="F16" s="146" t="s">
        <v>346</v>
      </c>
      <c r="G16" s="17"/>
      <c r="H16" s="18" t="s">
        <v>209</v>
      </c>
      <c r="I16" s="59"/>
      <c r="J16" s="19"/>
      <c r="K16" s="19"/>
      <c r="L16" s="50" t="s">
        <v>187</v>
      </c>
      <c r="M16" s="73" t="s">
        <v>21</v>
      </c>
      <c r="N16" s="54">
        <f t="shared" si="1"/>
        <v>0</v>
      </c>
      <c r="O16" s="167"/>
      <c r="P16" s="203" t="s">
        <v>426</v>
      </c>
      <c r="Q16" s="204"/>
      <c r="R16" s="204"/>
      <c r="S16" s="204"/>
      <c r="T16" s="204"/>
      <c r="U16" s="205"/>
    </row>
    <row r="17" spans="1:21" ht="15.75" customHeight="1">
      <c r="A17" s="85"/>
      <c r="B17" s="37">
        <f t="shared" si="0"/>
        <v>4</v>
      </c>
      <c r="C17" s="145" t="s">
        <v>427</v>
      </c>
      <c r="D17" s="80"/>
      <c r="E17" s="81"/>
      <c r="F17" s="146" t="s">
        <v>428</v>
      </c>
      <c r="G17" s="17"/>
      <c r="H17" s="18" t="s">
        <v>56</v>
      </c>
      <c r="I17" s="59"/>
      <c r="J17" s="19">
        <v>10</v>
      </c>
      <c r="K17" s="19">
        <v>2</v>
      </c>
      <c r="L17" s="50"/>
      <c r="M17" s="73" t="s">
        <v>21</v>
      </c>
      <c r="N17" s="54">
        <f t="shared" si="1"/>
        <v>10</v>
      </c>
      <c r="O17" s="167"/>
      <c r="P17" s="203"/>
      <c r="Q17" s="204"/>
      <c r="R17" s="204"/>
      <c r="S17" s="204"/>
      <c r="T17" s="204"/>
      <c r="U17" s="205"/>
    </row>
    <row r="18" spans="1:21" ht="15.75" customHeight="1">
      <c r="A18" s="85"/>
      <c r="B18" s="37">
        <f t="shared" si="0"/>
        <v>5</v>
      </c>
      <c r="C18" s="145" t="s">
        <v>429</v>
      </c>
      <c r="D18" s="80"/>
      <c r="E18" s="81"/>
      <c r="F18" s="146" t="s">
        <v>430</v>
      </c>
      <c r="G18" s="17"/>
      <c r="H18" s="18" t="s">
        <v>56</v>
      </c>
      <c r="I18" s="59"/>
      <c r="J18" s="19">
        <v>10</v>
      </c>
      <c r="K18" s="19">
        <v>2</v>
      </c>
      <c r="L18" s="50"/>
      <c r="M18" s="73" t="s">
        <v>21</v>
      </c>
      <c r="N18" s="54">
        <f t="shared" si="1"/>
        <v>10</v>
      </c>
      <c r="O18" s="167"/>
      <c r="P18" s="203"/>
      <c r="Q18" s="204"/>
      <c r="R18" s="204"/>
      <c r="S18" s="204"/>
      <c r="T18" s="204"/>
      <c r="U18" s="205"/>
    </row>
    <row r="19" spans="1:21" ht="15.75" customHeight="1">
      <c r="A19" s="85"/>
      <c r="B19" s="37">
        <f t="shared" si="0"/>
        <v>6</v>
      </c>
      <c r="C19" s="145" t="s">
        <v>431</v>
      </c>
      <c r="D19" s="80"/>
      <c r="E19" s="81"/>
      <c r="F19" s="146" t="s">
        <v>432</v>
      </c>
      <c r="G19" s="17"/>
      <c r="H19" s="18" t="s">
        <v>56</v>
      </c>
      <c r="I19" s="59"/>
      <c r="J19" s="19">
        <v>10</v>
      </c>
      <c r="K19" s="19">
        <v>2</v>
      </c>
      <c r="L19" s="50"/>
      <c r="M19" s="73" t="s">
        <v>21</v>
      </c>
      <c r="N19" s="54">
        <f t="shared" si="1"/>
        <v>10</v>
      </c>
      <c r="O19" s="167"/>
      <c r="P19" s="203"/>
      <c r="Q19" s="204"/>
      <c r="R19" s="204"/>
      <c r="S19" s="204"/>
      <c r="T19" s="204"/>
      <c r="U19" s="205"/>
    </row>
    <row r="20" spans="1:21" ht="15.75" customHeight="1">
      <c r="A20" s="85"/>
      <c r="B20" s="37">
        <f t="shared" si="0"/>
        <v>7</v>
      </c>
      <c r="C20" s="145" t="s">
        <v>433</v>
      </c>
      <c r="D20" s="80"/>
      <c r="E20" s="81"/>
      <c r="F20" s="146" t="s">
        <v>434</v>
      </c>
      <c r="G20" s="17"/>
      <c r="H20" s="18" t="s">
        <v>56</v>
      </c>
      <c r="I20" s="59"/>
      <c r="J20" s="19">
        <v>10</v>
      </c>
      <c r="K20" s="19">
        <v>2</v>
      </c>
      <c r="L20" s="50"/>
      <c r="M20" s="73" t="s">
        <v>21</v>
      </c>
      <c r="N20" s="54">
        <f t="shared" si="1"/>
        <v>10</v>
      </c>
      <c r="O20" s="167"/>
      <c r="P20" s="203"/>
      <c r="Q20" s="204"/>
      <c r="R20" s="204"/>
      <c r="S20" s="204"/>
      <c r="T20" s="204"/>
      <c r="U20" s="205"/>
    </row>
    <row r="21" spans="1:21" ht="15.75" customHeight="1">
      <c r="A21" s="85"/>
      <c r="B21" s="37">
        <f t="shared" si="0"/>
        <v>8</v>
      </c>
      <c r="C21" s="145" t="s">
        <v>435</v>
      </c>
      <c r="D21" s="80"/>
      <c r="E21" s="81"/>
      <c r="F21" s="146" t="s">
        <v>436</v>
      </c>
      <c r="G21" s="17"/>
      <c r="H21" s="18" t="s">
        <v>56</v>
      </c>
      <c r="I21" s="59"/>
      <c r="J21" s="19">
        <v>10</v>
      </c>
      <c r="K21" s="19">
        <v>2</v>
      </c>
      <c r="L21" s="50"/>
      <c r="M21" s="73" t="s">
        <v>21</v>
      </c>
      <c r="N21" s="54">
        <f t="shared" si="1"/>
        <v>10</v>
      </c>
      <c r="O21" s="167"/>
      <c r="P21" s="203"/>
      <c r="Q21" s="204"/>
      <c r="R21" s="204"/>
      <c r="S21" s="204"/>
      <c r="T21" s="204"/>
      <c r="U21" s="205"/>
    </row>
    <row r="22" spans="1:21" ht="15.75">
      <c r="A22" s="85"/>
      <c r="B22" s="37">
        <f t="shared" ref="B22:B28" si="2">ROW()-13</f>
        <v>9</v>
      </c>
      <c r="C22" s="107" t="s">
        <v>36</v>
      </c>
      <c r="D22" s="107"/>
      <c r="E22" s="108"/>
      <c r="F22" s="109" t="s">
        <v>78</v>
      </c>
      <c r="G22" s="110"/>
      <c r="H22" s="18" t="s">
        <v>51</v>
      </c>
      <c r="I22" s="59"/>
      <c r="J22" s="113">
        <v>12</v>
      </c>
      <c r="K22" s="113"/>
      <c r="L22" s="114"/>
      <c r="M22" s="115" t="s">
        <v>35</v>
      </c>
      <c r="N22" s="116">
        <f t="shared" si="1"/>
        <v>12</v>
      </c>
      <c r="O22" s="168"/>
      <c r="P22" s="200"/>
      <c r="Q22" s="201"/>
      <c r="R22" s="201"/>
      <c r="S22" s="201"/>
      <c r="T22" s="201"/>
      <c r="U22" s="202"/>
    </row>
    <row r="23" spans="1:21" ht="15.75">
      <c r="A23" s="85"/>
      <c r="B23" s="37">
        <f t="shared" si="2"/>
        <v>10</v>
      </c>
      <c r="C23" s="107" t="s">
        <v>37</v>
      </c>
      <c r="D23" s="107"/>
      <c r="E23" s="108"/>
      <c r="F23" s="109" t="s">
        <v>43</v>
      </c>
      <c r="G23" s="110"/>
      <c r="H23" s="18" t="s">
        <v>51</v>
      </c>
      <c r="I23" s="59"/>
      <c r="J23" s="113">
        <v>10</v>
      </c>
      <c r="K23" s="113"/>
      <c r="L23" s="114"/>
      <c r="M23" s="115" t="s">
        <v>21</v>
      </c>
      <c r="N23" s="116">
        <f t="shared" si="1"/>
        <v>10</v>
      </c>
      <c r="O23" s="168"/>
      <c r="P23" s="200"/>
      <c r="Q23" s="201"/>
      <c r="R23" s="201"/>
      <c r="S23" s="201"/>
      <c r="T23" s="201"/>
      <c r="U23" s="202"/>
    </row>
    <row r="24" spans="1:21" ht="15.75">
      <c r="A24" s="85"/>
      <c r="B24" s="37">
        <f t="shared" si="2"/>
        <v>11</v>
      </c>
      <c r="C24" s="107" t="s">
        <v>38</v>
      </c>
      <c r="D24" s="107"/>
      <c r="E24" s="108"/>
      <c r="F24" s="109" t="s">
        <v>80</v>
      </c>
      <c r="G24" s="110"/>
      <c r="H24" s="18" t="s">
        <v>86</v>
      </c>
      <c r="I24" s="59"/>
      <c r="J24" s="113"/>
      <c r="K24" s="113"/>
      <c r="L24" s="114"/>
      <c r="M24" s="115" t="s">
        <v>21</v>
      </c>
      <c r="N24" s="116">
        <f t="shared" si="1"/>
        <v>0</v>
      </c>
      <c r="O24" s="168"/>
      <c r="P24" s="200"/>
      <c r="Q24" s="201"/>
      <c r="R24" s="201"/>
      <c r="S24" s="201"/>
      <c r="T24" s="201"/>
      <c r="U24" s="202"/>
    </row>
    <row r="25" spans="1:21" ht="15.75">
      <c r="A25" s="85"/>
      <c r="B25" s="37">
        <f t="shared" si="2"/>
        <v>12</v>
      </c>
      <c r="C25" s="107" t="s">
        <v>39</v>
      </c>
      <c r="D25" s="107"/>
      <c r="E25" s="108"/>
      <c r="F25" s="109" t="s">
        <v>79</v>
      </c>
      <c r="G25" s="110"/>
      <c r="H25" s="18" t="s">
        <v>51</v>
      </c>
      <c r="I25" s="59"/>
      <c r="J25" s="113">
        <v>12</v>
      </c>
      <c r="K25" s="113"/>
      <c r="L25" s="114"/>
      <c r="M25" s="115" t="s">
        <v>35</v>
      </c>
      <c r="N25" s="116">
        <f t="shared" si="1"/>
        <v>12</v>
      </c>
      <c r="O25" s="168"/>
      <c r="P25" s="200"/>
      <c r="Q25" s="201"/>
      <c r="R25" s="201"/>
      <c r="S25" s="201"/>
      <c r="T25" s="201"/>
      <c r="U25" s="202"/>
    </row>
    <row r="26" spans="1:21" ht="15.75">
      <c r="A26" s="85"/>
      <c r="B26" s="37">
        <f t="shared" si="2"/>
        <v>13</v>
      </c>
      <c r="C26" s="107" t="s">
        <v>40</v>
      </c>
      <c r="D26" s="107"/>
      <c r="E26" s="108"/>
      <c r="F26" s="109" t="s">
        <v>44</v>
      </c>
      <c r="G26" s="110"/>
      <c r="H26" s="18" t="s">
        <v>51</v>
      </c>
      <c r="I26" s="59"/>
      <c r="J26" s="113">
        <v>10</v>
      </c>
      <c r="K26" s="113"/>
      <c r="L26" s="114"/>
      <c r="M26" s="115" t="s">
        <v>21</v>
      </c>
      <c r="N26" s="116">
        <f t="shared" si="1"/>
        <v>10</v>
      </c>
      <c r="O26" s="168"/>
      <c r="P26" s="200"/>
      <c r="Q26" s="201"/>
      <c r="R26" s="201"/>
      <c r="S26" s="201"/>
      <c r="T26" s="201"/>
      <c r="U26" s="202"/>
    </row>
    <row r="27" spans="1:21" ht="15.75">
      <c r="A27" s="85"/>
      <c r="B27" s="37">
        <f t="shared" si="2"/>
        <v>14</v>
      </c>
      <c r="C27" s="107" t="s">
        <v>41</v>
      </c>
      <c r="D27" s="107"/>
      <c r="E27" s="108"/>
      <c r="F27" s="109" t="s">
        <v>81</v>
      </c>
      <c r="G27" s="110"/>
      <c r="H27" s="18" t="s">
        <v>86</v>
      </c>
      <c r="I27" s="59"/>
      <c r="J27" s="113"/>
      <c r="K27" s="113"/>
      <c r="L27" s="114"/>
      <c r="M27" s="115" t="s">
        <v>21</v>
      </c>
      <c r="N27" s="116">
        <f t="shared" si="1"/>
        <v>0</v>
      </c>
      <c r="O27" s="168"/>
      <c r="P27" s="200"/>
      <c r="Q27" s="201"/>
      <c r="R27" s="201"/>
      <c r="S27" s="201"/>
      <c r="T27" s="201"/>
      <c r="U27" s="202"/>
    </row>
    <row r="28" spans="1:21" ht="15.75">
      <c r="A28" s="85"/>
      <c r="B28" s="37">
        <f t="shared" si="2"/>
        <v>15</v>
      </c>
      <c r="C28" s="80" t="s">
        <v>46</v>
      </c>
      <c r="D28" s="80"/>
      <c r="E28" s="81"/>
      <c r="F28" s="84" t="s">
        <v>71</v>
      </c>
      <c r="G28" s="17"/>
      <c r="H28" s="18" t="s">
        <v>62</v>
      </c>
      <c r="I28" s="59"/>
      <c r="J28" s="19">
        <v>8</v>
      </c>
      <c r="K28" s="19"/>
      <c r="L28" s="50" t="s">
        <v>47</v>
      </c>
      <c r="M28" s="73" t="s">
        <v>35</v>
      </c>
      <c r="N28" s="54">
        <f t="shared" si="1"/>
        <v>8</v>
      </c>
      <c r="O28" s="167">
        <v>0</v>
      </c>
      <c r="P28" s="203" t="s">
        <v>48</v>
      </c>
      <c r="Q28" s="204"/>
      <c r="R28" s="204"/>
      <c r="S28" s="204"/>
      <c r="T28" s="204"/>
      <c r="U28" s="205"/>
    </row>
    <row r="29" spans="1:21" ht="16.5" thickBot="1">
      <c r="A29" s="118"/>
      <c r="B29" s="119"/>
      <c r="C29" s="120"/>
      <c r="D29" s="120"/>
      <c r="E29" s="121"/>
      <c r="F29" s="129"/>
      <c r="G29" s="122"/>
      <c r="H29" s="147"/>
      <c r="I29" s="148"/>
      <c r="J29" s="125"/>
      <c r="K29" s="125"/>
      <c r="L29" s="126"/>
      <c r="M29" s="126"/>
      <c r="N29" s="127"/>
      <c r="O29" s="169"/>
      <c r="P29" s="197"/>
      <c r="Q29" s="198"/>
      <c r="R29" s="198"/>
      <c r="S29" s="198"/>
      <c r="T29" s="198"/>
      <c r="U29" s="199"/>
    </row>
  </sheetData>
  <mergeCells count="46">
    <mergeCell ref="O1:U1"/>
    <mergeCell ref="J2:K2"/>
    <mergeCell ref="L2:M2"/>
    <mergeCell ref="O2:U2"/>
    <mergeCell ref="J3:K3"/>
    <mergeCell ref="L3:M3"/>
    <mergeCell ref="O3:U3"/>
    <mergeCell ref="J4:K4"/>
    <mergeCell ref="L4:M4"/>
    <mergeCell ref="O4:U4"/>
    <mergeCell ref="J5:K5"/>
    <mergeCell ref="L5:M5"/>
    <mergeCell ref="O5:U5"/>
    <mergeCell ref="E10:H10"/>
    <mergeCell ref="O10:U10"/>
    <mergeCell ref="E6:H6"/>
    <mergeCell ref="K6:M6"/>
    <mergeCell ref="O6:U6"/>
    <mergeCell ref="E7:H7"/>
    <mergeCell ref="K7:M7"/>
    <mergeCell ref="O7:U7"/>
    <mergeCell ref="E8:H8"/>
    <mergeCell ref="K8:M8"/>
    <mergeCell ref="O8:U8"/>
    <mergeCell ref="E9:H9"/>
    <mergeCell ref="O9:U9"/>
    <mergeCell ref="P21:U21"/>
    <mergeCell ref="E11:H11"/>
    <mergeCell ref="O11:U11"/>
    <mergeCell ref="O12:U12"/>
    <mergeCell ref="P13:U13"/>
    <mergeCell ref="P14:U14"/>
    <mergeCell ref="P15:U15"/>
    <mergeCell ref="P16:U16"/>
    <mergeCell ref="P17:U17"/>
    <mergeCell ref="P18:U18"/>
    <mergeCell ref="P19:U19"/>
    <mergeCell ref="P20:U20"/>
    <mergeCell ref="P28:U28"/>
    <mergeCell ref="P29:U29"/>
    <mergeCell ref="P22:U22"/>
    <mergeCell ref="P23:U23"/>
    <mergeCell ref="P24:U24"/>
    <mergeCell ref="P25:U25"/>
    <mergeCell ref="P26:U26"/>
    <mergeCell ref="P27:U27"/>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5601"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25602"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25603"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25604"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25605"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25606"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2CFDB9B9-DD29-403A-8235-3F516268AF49}">
            <xm:f>(AND(H14&lt;&gt;"",ISERROR(VLOOKUP(H14,system!$E:$E,1,FALSE))))</xm:f>
            <x14:dxf>
              <fill>
                <patternFill patternType="solid">
                  <bgColor rgb="FFFF0000"/>
                </patternFill>
              </fill>
            </x14:dxf>
          </x14:cfRule>
          <xm:sqref>H14:H21</xm:sqref>
        </x14:conditionalFormatting>
        <x14:conditionalFormatting xmlns:xm="http://schemas.microsoft.com/office/excel/2006/main">
          <x14:cfRule type="expression" priority="3" id="{C7C5A6EF-90DB-4799-9ACE-1C43DD3D678A}">
            <xm:f>(AND(H14&lt;&gt;"",ISERROR(VLOOKUP(H14,system!$E:$E,1,FALSE))))</xm:f>
            <x14:dxf>
              <fill>
                <patternFill>
                  <bgColor rgb="FFFF0000"/>
                </patternFill>
              </fill>
            </x14:dxf>
          </x14:cfRule>
          <xm:sqref>I14:I21</xm:sqref>
        </x14:conditionalFormatting>
        <x14:conditionalFormatting xmlns:xm="http://schemas.microsoft.com/office/excel/2006/main">
          <x14:cfRule type="expression" priority="2" id="{9A279508-5CBC-4D1A-870A-644CF693B302}">
            <xm:f>(AND(H22&lt;&gt;"",ISERROR(VLOOKUP(H22,system!$E:$E,1,FALSE))))</xm:f>
            <x14:dxf>
              <fill>
                <patternFill patternType="solid">
                  <bgColor rgb="FFFF0000"/>
                </patternFill>
              </fill>
            </x14:dxf>
          </x14:cfRule>
          <xm:sqref>H22:H29</xm:sqref>
        </x14:conditionalFormatting>
        <x14:conditionalFormatting xmlns:xm="http://schemas.microsoft.com/office/excel/2006/main">
          <x14:cfRule type="expression" priority="1" id="{F9F3E794-9E75-43A5-89B1-BA98614CD636}">
            <xm:f>(AND(H22&lt;&gt;"",ISERROR(VLOOKUP(H22,system!$E:$E,1,FALSE))))</xm:f>
            <x14:dxf>
              <fill>
                <patternFill>
                  <bgColor rgb="FFFF0000"/>
                </patternFill>
              </fill>
            </x14:dxf>
          </x14:cfRule>
          <xm:sqref>I22:I29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A1:U26"/>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7" t="s">
        <v>27</v>
      </c>
      <c r="P1" s="248"/>
      <c r="Q1" s="248"/>
      <c r="R1" s="248"/>
      <c r="S1" s="248"/>
      <c r="T1" s="248"/>
      <c r="U1" s="249"/>
    </row>
    <row r="2" spans="1:21" ht="14.45" customHeight="1">
      <c r="A2" s="39"/>
      <c r="B2" s="100" t="s">
        <v>64</v>
      </c>
      <c r="C2" s="5"/>
      <c r="D2" s="5"/>
      <c r="E2" s="5"/>
      <c r="F2" s="5"/>
      <c r="G2" s="6"/>
      <c r="H2" s="7"/>
      <c r="I2" s="8"/>
      <c r="J2" s="250"/>
      <c r="K2" s="251"/>
      <c r="L2" s="250"/>
      <c r="M2" s="251"/>
      <c r="N2" s="52"/>
      <c r="O2" s="252" t="s">
        <v>440</v>
      </c>
      <c r="P2" s="253"/>
      <c r="Q2" s="253"/>
      <c r="R2" s="253"/>
      <c r="S2" s="253"/>
      <c r="T2" s="253"/>
      <c r="U2" s="254"/>
    </row>
    <row r="3" spans="1:21" ht="14.25" customHeight="1">
      <c r="A3" s="40"/>
      <c r="B3" s="35"/>
      <c r="C3" s="5"/>
      <c r="D3" s="5"/>
      <c r="E3" s="5"/>
      <c r="F3" s="5"/>
      <c r="G3" s="9"/>
      <c r="H3" s="10"/>
      <c r="I3" s="176" t="s">
        <v>1032</v>
      </c>
      <c r="J3" s="255" t="s">
        <v>1032</v>
      </c>
      <c r="K3" s="256"/>
      <c r="L3" s="255" t="s">
        <v>1032</v>
      </c>
      <c r="M3" s="256"/>
      <c r="N3" s="52"/>
      <c r="O3" s="257"/>
      <c r="P3" s="258"/>
      <c r="Q3" s="258"/>
      <c r="R3" s="258"/>
      <c r="S3" s="258"/>
      <c r="T3" s="258"/>
      <c r="U3" s="259"/>
    </row>
    <row r="4" spans="1:21" ht="14.45" customHeight="1">
      <c r="A4" s="41"/>
      <c r="B4" s="36" t="s">
        <v>3</v>
      </c>
      <c r="C4" s="5"/>
      <c r="D4" s="5"/>
      <c r="E4" s="5"/>
      <c r="F4" s="5"/>
      <c r="G4" s="6"/>
      <c r="H4" s="10"/>
      <c r="I4" s="177" t="s">
        <v>1035</v>
      </c>
      <c r="J4" s="240" t="s">
        <v>1034</v>
      </c>
      <c r="K4" s="241"/>
      <c r="L4" s="240" t="s">
        <v>1033</v>
      </c>
      <c r="M4" s="241"/>
      <c r="N4" s="52"/>
      <c r="O4" s="210"/>
      <c r="P4" s="211"/>
      <c r="Q4" s="211"/>
      <c r="R4" s="211"/>
      <c r="S4" s="211"/>
      <c r="T4" s="211"/>
      <c r="U4" s="212"/>
    </row>
    <row r="5" spans="1:21" ht="14.45" customHeight="1" thickBot="1">
      <c r="A5" s="42"/>
      <c r="B5" s="11"/>
      <c r="C5" s="11"/>
      <c r="D5" s="11"/>
      <c r="E5" s="11"/>
      <c r="F5" s="11"/>
      <c r="G5" s="12"/>
      <c r="H5" s="13"/>
      <c r="I5" s="14"/>
      <c r="J5" s="242"/>
      <c r="K5" s="243"/>
      <c r="L5" s="244"/>
      <c r="M5" s="245"/>
      <c r="N5" s="53"/>
      <c r="O5" s="246"/>
      <c r="P5" s="211"/>
      <c r="Q5" s="211"/>
      <c r="R5" s="211"/>
      <c r="S5" s="211"/>
      <c r="T5" s="211"/>
      <c r="U5" s="212"/>
    </row>
    <row r="6" spans="1:21" ht="14.45" customHeight="1">
      <c r="A6" s="43"/>
      <c r="B6" s="101" t="s">
        <v>4</v>
      </c>
      <c r="C6" s="20"/>
      <c r="D6" s="21"/>
      <c r="E6" s="222" t="s">
        <v>65</v>
      </c>
      <c r="F6" s="223"/>
      <c r="G6" s="223"/>
      <c r="H6" s="224"/>
      <c r="I6" s="60" t="s">
        <v>26</v>
      </c>
      <c r="J6" s="26"/>
      <c r="K6" s="225" t="s">
        <v>33</v>
      </c>
      <c r="L6" s="226"/>
      <c r="M6" s="227"/>
      <c r="N6" s="91" t="s">
        <v>5</v>
      </c>
      <c r="O6" s="210"/>
      <c r="P6" s="211"/>
      <c r="Q6" s="211"/>
      <c r="R6" s="211"/>
      <c r="S6" s="211"/>
      <c r="T6" s="211"/>
      <c r="U6" s="212"/>
    </row>
    <row r="7" spans="1:21" ht="15.75" customHeight="1">
      <c r="A7" s="44"/>
      <c r="B7" s="102" t="s">
        <v>6</v>
      </c>
      <c r="C7" s="22"/>
      <c r="D7" s="23"/>
      <c r="E7" s="228" t="s">
        <v>140</v>
      </c>
      <c r="F7" s="229"/>
      <c r="G7" s="229"/>
      <c r="H7" s="230"/>
      <c r="I7" s="61" t="s">
        <v>28</v>
      </c>
      <c r="J7" s="27"/>
      <c r="K7" s="231" t="s">
        <v>34</v>
      </c>
      <c r="L7" s="232"/>
      <c r="M7" s="233"/>
      <c r="N7" s="92">
        <f>COUNTIF(H14:H14,"LONG")+COUNTIF(H14:H14,"LONG RAW")</f>
        <v>0</v>
      </c>
      <c r="O7" s="210"/>
      <c r="P7" s="211"/>
      <c r="Q7" s="211"/>
      <c r="R7" s="211"/>
      <c r="S7" s="211"/>
      <c r="T7" s="211"/>
      <c r="U7" s="212"/>
    </row>
    <row r="8" spans="1:21" ht="14.45" customHeight="1">
      <c r="A8" s="45"/>
      <c r="B8" s="22" t="s">
        <v>7</v>
      </c>
      <c r="C8" s="22"/>
      <c r="D8" s="23"/>
      <c r="E8" s="228" t="s">
        <v>437</v>
      </c>
      <c r="F8" s="229"/>
      <c r="G8" s="229"/>
      <c r="H8" s="230"/>
      <c r="I8" s="62"/>
      <c r="J8" s="27"/>
      <c r="K8" s="234"/>
      <c r="L8" s="235"/>
      <c r="M8" s="236"/>
      <c r="N8" s="92"/>
      <c r="O8" s="210"/>
      <c r="P8" s="211"/>
      <c r="Q8" s="211"/>
      <c r="R8" s="211"/>
      <c r="S8" s="211"/>
      <c r="T8" s="211"/>
      <c r="U8" s="212"/>
    </row>
    <row r="9" spans="1:21" ht="14.45" customHeight="1">
      <c r="A9" s="45"/>
      <c r="B9" s="22" t="s">
        <v>8</v>
      </c>
      <c r="C9" s="22"/>
      <c r="D9" s="23"/>
      <c r="E9" s="237" t="s">
        <v>68</v>
      </c>
      <c r="F9" s="238"/>
      <c r="G9" s="238"/>
      <c r="H9" s="239"/>
      <c r="I9" s="61" t="s">
        <v>9</v>
      </c>
      <c r="J9" s="27"/>
      <c r="K9" s="86"/>
      <c r="L9" s="88">
        <f>SUM(N14:N27)</f>
        <v>86</v>
      </c>
      <c r="M9" s="82"/>
      <c r="N9" s="93">
        <f>SUMIF(M14:M14,"■",N14:N14)</f>
        <v>0</v>
      </c>
      <c r="O9" s="210"/>
      <c r="P9" s="211"/>
      <c r="Q9" s="211"/>
      <c r="R9" s="211"/>
      <c r="S9" s="211"/>
      <c r="T9" s="211"/>
      <c r="U9" s="212"/>
    </row>
    <row r="10" spans="1:21" ht="14.45" customHeight="1">
      <c r="A10" s="45"/>
      <c r="B10" s="22" t="s">
        <v>10</v>
      </c>
      <c r="C10" s="22"/>
      <c r="D10" s="23"/>
      <c r="E10" s="219" t="s">
        <v>68</v>
      </c>
      <c r="F10" s="220"/>
      <c r="G10" s="220"/>
      <c r="H10" s="221"/>
      <c r="I10" s="61" t="s">
        <v>11</v>
      </c>
      <c r="J10" s="27"/>
      <c r="K10" s="86"/>
      <c r="L10" s="89">
        <f>E11*L9/1000</f>
        <v>0</v>
      </c>
      <c r="M10" s="82"/>
      <c r="N10" s="55"/>
      <c r="O10" s="210"/>
      <c r="P10" s="211"/>
      <c r="Q10" s="211"/>
      <c r="R10" s="211"/>
      <c r="S10" s="211"/>
      <c r="T10" s="211"/>
      <c r="U10" s="212"/>
    </row>
    <row r="11" spans="1:21" ht="17.25" customHeight="1" thickBot="1">
      <c r="A11" s="46"/>
      <c r="B11" s="24" t="s">
        <v>29</v>
      </c>
      <c r="C11" s="24"/>
      <c r="D11" s="25"/>
      <c r="E11" s="207"/>
      <c r="F11" s="208"/>
      <c r="G11" s="208"/>
      <c r="H11" s="209"/>
      <c r="I11" s="103" t="s">
        <v>12</v>
      </c>
      <c r="J11" s="104"/>
      <c r="K11" s="87"/>
      <c r="L11" s="90"/>
      <c r="M11" s="83"/>
      <c r="N11" s="56"/>
      <c r="O11" s="210"/>
      <c r="P11" s="211"/>
      <c r="Q11" s="211"/>
      <c r="R11" s="211"/>
      <c r="S11" s="211"/>
      <c r="T11" s="211"/>
      <c r="U11" s="212"/>
    </row>
    <row r="12" spans="1:21" ht="15.75" customHeight="1" thickBot="1">
      <c r="A12" s="64"/>
      <c r="B12" s="65"/>
      <c r="C12" s="30"/>
      <c r="D12" s="30"/>
      <c r="E12" s="31"/>
      <c r="F12" s="32"/>
      <c r="G12" s="29"/>
      <c r="H12" s="28"/>
      <c r="I12" s="29"/>
      <c r="J12" s="30" t="s">
        <v>13</v>
      </c>
      <c r="K12" s="31"/>
      <c r="L12" s="66"/>
      <c r="M12" s="48"/>
      <c r="N12" s="57">
        <f>COUNTA(H14:H14)</f>
        <v>1</v>
      </c>
      <c r="O12" s="213"/>
      <c r="P12" s="214"/>
      <c r="Q12" s="214"/>
      <c r="R12" s="214"/>
      <c r="S12" s="214"/>
      <c r="T12" s="214"/>
      <c r="U12" s="21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16" t="s">
        <v>32</v>
      </c>
      <c r="Q13" s="217"/>
      <c r="R13" s="217"/>
      <c r="S13" s="217"/>
      <c r="T13" s="217"/>
      <c r="U13" s="218"/>
    </row>
    <row r="14" spans="1:21" ht="15.75" customHeight="1">
      <c r="A14" s="85" t="s">
        <v>188</v>
      </c>
      <c r="B14" s="37">
        <f>ROW()-13</f>
        <v>1</v>
      </c>
      <c r="C14" s="145" t="s">
        <v>186</v>
      </c>
      <c r="D14" s="80"/>
      <c r="E14" s="81"/>
      <c r="F14" s="146" t="s">
        <v>1029</v>
      </c>
      <c r="G14" s="17"/>
      <c r="H14" s="18" t="s">
        <v>49</v>
      </c>
      <c r="I14" s="59"/>
      <c r="J14" s="19">
        <v>1</v>
      </c>
      <c r="K14" s="19"/>
      <c r="L14" s="50" t="s">
        <v>187</v>
      </c>
      <c r="M14" s="73" t="s">
        <v>21</v>
      </c>
      <c r="N14" s="54">
        <f t="shared" ref="N14:N25" si="0">IF(H14="NUMBER",IF(J14&gt;0,INT((J14+1)/2+0.9),0),IF(H14="DATE",7,IF(OR(H14="LONG",H14="LONG RAW"),100000,J14)))</f>
        <v>1</v>
      </c>
      <c r="O14" s="167"/>
      <c r="P14" s="203" t="s">
        <v>174</v>
      </c>
      <c r="Q14" s="204"/>
      <c r="R14" s="204"/>
      <c r="S14" s="204"/>
      <c r="T14" s="204"/>
      <c r="U14" s="205"/>
    </row>
    <row r="15" spans="1:21" ht="15.75" customHeight="1">
      <c r="A15" s="85" t="s">
        <v>188</v>
      </c>
      <c r="B15" s="37">
        <f>ROW()-13</f>
        <v>2</v>
      </c>
      <c r="C15" s="145" t="s">
        <v>325</v>
      </c>
      <c r="D15" s="80"/>
      <c r="E15" s="81"/>
      <c r="F15" s="146" t="s">
        <v>326</v>
      </c>
      <c r="G15" s="17"/>
      <c r="H15" s="18" t="s">
        <v>51</v>
      </c>
      <c r="I15" s="59"/>
      <c r="J15" s="19">
        <v>14</v>
      </c>
      <c r="K15" s="19"/>
      <c r="L15" s="50" t="s">
        <v>187</v>
      </c>
      <c r="M15" s="73" t="s">
        <v>21</v>
      </c>
      <c r="N15" s="54">
        <f t="shared" si="0"/>
        <v>14</v>
      </c>
      <c r="O15" s="167"/>
      <c r="P15" s="203" t="s">
        <v>441</v>
      </c>
      <c r="Q15" s="204"/>
      <c r="R15" s="204"/>
      <c r="S15" s="204"/>
      <c r="T15" s="204"/>
      <c r="U15" s="205"/>
    </row>
    <row r="16" spans="1:21" ht="39.200000000000003" customHeight="1">
      <c r="A16" s="85" t="s">
        <v>188</v>
      </c>
      <c r="B16" s="37">
        <f>ROW()-13</f>
        <v>3</v>
      </c>
      <c r="C16" s="145" t="s">
        <v>442</v>
      </c>
      <c r="D16" s="80"/>
      <c r="E16" s="81"/>
      <c r="F16" s="146" t="s">
        <v>443</v>
      </c>
      <c r="G16" s="17"/>
      <c r="H16" s="18" t="s">
        <v>49</v>
      </c>
      <c r="I16" s="59"/>
      <c r="J16" s="19">
        <v>1</v>
      </c>
      <c r="K16" s="19"/>
      <c r="L16" s="50" t="s">
        <v>187</v>
      </c>
      <c r="M16" s="73" t="s">
        <v>21</v>
      </c>
      <c r="N16" s="54">
        <f t="shared" si="0"/>
        <v>1</v>
      </c>
      <c r="O16" s="167"/>
      <c r="P16" s="206" t="s">
        <v>444</v>
      </c>
      <c r="Q16" s="204"/>
      <c r="R16" s="204"/>
      <c r="S16" s="204"/>
      <c r="T16" s="204"/>
      <c r="U16" s="205"/>
    </row>
    <row r="17" spans="1:21" ht="15.75" customHeight="1">
      <c r="A17" s="85"/>
      <c r="B17" s="37">
        <f>ROW()-13</f>
        <v>4</v>
      </c>
      <c r="C17" s="145" t="s">
        <v>412</v>
      </c>
      <c r="D17" s="80"/>
      <c r="E17" s="81"/>
      <c r="F17" s="146" t="s">
        <v>373</v>
      </c>
      <c r="G17" s="17"/>
      <c r="H17" s="18" t="s">
        <v>51</v>
      </c>
      <c r="I17" s="59"/>
      <c r="J17" s="19">
        <v>14</v>
      </c>
      <c r="K17" s="19"/>
      <c r="L17" s="50" t="s">
        <v>187</v>
      </c>
      <c r="M17" s="73" t="s">
        <v>21</v>
      </c>
      <c r="N17" s="54">
        <f t="shared" si="0"/>
        <v>14</v>
      </c>
      <c r="O17" s="167"/>
      <c r="P17" s="203" t="s">
        <v>445</v>
      </c>
      <c r="Q17" s="204"/>
      <c r="R17" s="204"/>
      <c r="S17" s="204"/>
      <c r="T17" s="204"/>
      <c r="U17" s="205"/>
    </row>
    <row r="18" spans="1:21" ht="27.6" customHeight="1">
      <c r="A18" s="85"/>
      <c r="B18" s="37">
        <f>ROW()-13</f>
        <v>5</v>
      </c>
      <c r="C18" s="145" t="s">
        <v>354</v>
      </c>
      <c r="D18" s="80"/>
      <c r="E18" s="81"/>
      <c r="F18" s="146" t="s">
        <v>355</v>
      </c>
      <c r="G18" s="17"/>
      <c r="H18" s="18" t="s">
        <v>51</v>
      </c>
      <c r="I18" s="59"/>
      <c r="J18" s="19">
        <v>4</v>
      </c>
      <c r="K18" s="19"/>
      <c r="L18" s="50" t="s">
        <v>187</v>
      </c>
      <c r="M18" s="73" t="s">
        <v>21</v>
      </c>
      <c r="N18" s="54">
        <f t="shared" si="0"/>
        <v>4</v>
      </c>
      <c r="O18" s="167"/>
      <c r="P18" s="206" t="s">
        <v>446</v>
      </c>
      <c r="Q18" s="204"/>
      <c r="R18" s="204"/>
      <c r="S18" s="204"/>
      <c r="T18" s="204"/>
      <c r="U18" s="205"/>
    </row>
    <row r="19" spans="1:21" ht="15.75">
      <c r="A19" s="85"/>
      <c r="B19" s="37">
        <f t="shared" ref="B19:B25" si="1">ROW()-13</f>
        <v>6</v>
      </c>
      <c r="C19" s="107" t="s">
        <v>36</v>
      </c>
      <c r="D19" s="107"/>
      <c r="E19" s="108"/>
      <c r="F19" s="109" t="s">
        <v>78</v>
      </c>
      <c r="G19" s="110"/>
      <c r="H19" s="18" t="s">
        <v>51</v>
      </c>
      <c r="I19" s="59"/>
      <c r="J19" s="113">
        <v>12</v>
      </c>
      <c r="K19" s="113"/>
      <c r="L19" s="114"/>
      <c r="M19" s="115" t="s">
        <v>35</v>
      </c>
      <c r="N19" s="116">
        <f t="shared" si="0"/>
        <v>12</v>
      </c>
      <c r="O19" s="168"/>
      <c r="P19" s="200"/>
      <c r="Q19" s="201"/>
      <c r="R19" s="201"/>
      <c r="S19" s="201"/>
      <c r="T19" s="201"/>
      <c r="U19" s="202"/>
    </row>
    <row r="20" spans="1:21" ht="15.75">
      <c r="A20" s="85"/>
      <c r="B20" s="37">
        <f t="shared" si="1"/>
        <v>7</v>
      </c>
      <c r="C20" s="107" t="s">
        <v>37</v>
      </c>
      <c r="D20" s="107"/>
      <c r="E20" s="108"/>
      <c r="F20" s="109" t="s">
        <v>43</v>
      </c>
      <c r="G20" s="110"/>
      <c r="H20" s="18" t="s">
        <v>51</v>
      </c>
      <c r="I20" s="59"/>
      <c r="J20" s="113">
        <v>10</v>
      </c>
      <c r="K20" s="113"/>
      <c r="L20" s="114"/>
      <c r="M20" s="115" t="s">
        <v>21</v>
      </c>
      <c r="N20" s="116">
        <f t="shared" si="0"/>
        <v>10</v>
      </c>
      <c r="O20" s="168"/>
      <c r="P20" s="200"/>
      <c r="Q20" s="201"/>
      <c r="R20" s="201"/>
      <c r="S20" s="201"/>
      <c r="T20" s="201"/>
      <c r="U20" s="202"/>
    </row>
    <row r="21" spans="1:21" ht="15.75">
      <c r="A21" s="85"/>
      <c r="B21" s="37">
        <f t="shared" si="1"/>
        <v>8</v>
      </c>
      <c r="C21" s="107" t="s">
        <v>38</v>
      </c>
      <c r="D21" s="107"/>
      <c r="E21" s="108"/>
      <c r="F21" s="109" t="s">
        <v>80</v>
      </c>
      <c r="G21" s="110"/>
      <c r="H21" s="18" t="s">
        <v>86</v>
      </c>
      <c r="I21" s="59"/>
      <c r="J21" s="113"/>
      <c r="K21" s="113"/>
      <c r="L21" s="114"/>
      <c r="M21" s="115" t="s">
        <v>21</v>
      </c>
      <c r="N21" s="116">
        <f t="shared" si="0"/>
        <v>0</v>
      </c>
      <c r="O21" s="168"/>
      <c r="P21" s="200"/>
      <c r="Q21" s="201"/>
      <c r="R21" s="201"/>
      <c r="S21" s="201"/>
      <c r="T21" s="201"/>
      <c r="U21" s="202"/>
    </row>
    <row r="22" spans="1:21" ht="15.75">
      <c r="A22" s="85"/>
      <c r="B22" s="37">
        <f t="shared" si="1"/>
        <v>9</v>
      </c>
      <c r="C22" s="107" t="s">
        <v>39</v>
      </c>
      <c r="D22" s="107"/>
      <c r="E22" s="108"/>
      <c r="F22" s="109" t="s">
        <v>79</v>
      </c>
      <c r="G22" s="110"/>
      <c r="H22" s="18" t="s">
        <v>51</v>
      </c>
      <c r="I22" s="59"/>
      <c r="J22" s="113">
        <v>12</v>
      </c>
      <c r="K22" s="113"/>
      <c r="L22" s="114"/>
      <c r="M22" s="115" t="s">
        <v>35</v>
      </c>
      <c r="N22" s="116">
        <f t="shared" si="0"/>
        <v>12</v>
      </c>
      <c r="O22" s="168"/>
      <c r="P22" s="200"/>
      <c r="Q22" s="201"/>
      <c r="R22" s="201"/>
      <c r="S22" s="201"/>
      <c r="T22" s="201"/>
      <c r="U22" s="202"/>
    </row>
    <row r="23" spans="1:21" ht="15.75">
      <c r="A23" s="85"/>
      <c r="B23" s="37">
        <f t="shared" si="1"/>
        <v>10</v>
      </c>
      <c r="C23" s="107" t="s">
        <v>40</v>
      </c>
      <c r="D23" s="107"/>
      <c r="E23" s="108"/>
      <c r="F23" s="109" t="s">
        <v>44</v>
      </c>
      <c r="G23" s="110"/>
      <c r="H23" s="18" t="s">
        <v>51</v>
      </c>
      <c r="I23" s="59"/>
      <c r="J23" s="113">
        <v>10</v>
      </c>
      <c r="K23" s="113"/>
      <c r="L23" s="114"/>
      <c r="M23" s="115" t="s">
        <v>21</v>
      </c>
      <c r="N23" s="116">
        <f t="shared" si="0"/>
        <v>10</v>
      </c>
      <c r="O23" s="168"/>
      <c r="P23" s="200"/>
      <c r="Q23" s="201"/>
      <c r="R23" s="201"/>
      <c r="S23" s="201"/>
      <c r="T23" s="201"/>
      <c r="U23" s="202"/>
    </row>
    <row r="24" spans="1:21" ht="15.75">
      <c r="A24" s="85"/>
      <c r="B24" s="37">
        <f t="shared" si="1"/>
        <v>11</v>
      </c>
      <c r="C24" s="107" t="s">
        <v>41</v>
      </c>
      <c r="D24" s="107"/>
      <c r="E24" s="108"/>
      <c r="F24" s="109" t="s">
        <v>81</v>
      </c>
      <c r="G24" s="110"/>
      <c r="H24" s="18" t="s">
        <v>86</v>
      </c>
      <c r="I24" s="59"/>
      <c r="J24" s="113"/>
      <c r="K24" s="113"/>
      <c r="L24" s="114"/>
      <c r="M24" s="115" t="s">
        <v>21</v>
      </c>
      <c r="N24" s="116">
        <f t="shared" si="0"/>
        <v>0</v>
      </c>
      <c r="O24" s="168"/>
      <c r="P24" s="200"/>
      <c r="Q24" s="201"/>
      <c r="R24" s="201"/>
      <c r="S24" s="201"/>
      <c r="T24" s="201"/>
      <c r="U24" s="202"/>
    </row>
    <row r="25" spans="1:21" ht="15.75">
      <c r="A25" s="85"/>
      <c r="B25" s="37">
        <f t="shared" si="1"/>
        <v>12</v>
      </c>
      <c r="C25" s="80" t="s">
        <v>46</v>
      </c>
      <c r="D25" s="80"/>
      <c r="E25" s="81"/>
      <c r="F25" s="84" t="s">
        <v>71</v>
      </c>
      <c r="G25" s="17"/>
      <c r="H25" s="18" t="s">
        <v>62</v>
      </c>
      <c r="I25" s="59"/>
      <c r="J25" s="19">
        <v>8</v>
      </c>
      <c r="K25" s="19"/>
      <c r="L25" s="50" t="s">
        <v>47</v>
      </c>
      <c r="M25" s="73" t="s">
        <v>35</v>
      </c>
      <c r="N25" s="54">
        <f t="shared" si="0"/>
        <v>8</v>
      </c>
      <c r="O25" s="167">
        <v>0</v>
      </c>
      <c r="P25" s="203" t="s">
        <v>48</v>
      </c>
      <c r="Q25" s="204"/>
      <c r="R25" s="204"/>
      <c r="S25" s="204"/>
      <c r="T25" s="204"/>
      <c r="U25" s="205"/>
    </row>
    <row r="26" spans="1:21" ht="16.5" thickBot="1">
      <c r="A26" s="118"/>
      <c r="B26" s="119"/>
      <c r="C26" s="120"/>
      <c r="D26" s="120"/>
      <c r="E26" s="121"/>
      <c r="F26" s="129"/>
      <c r="G26" s="122"/>
      <c r="H26" s="147"/>
      <c r="I26" s="148"/>
      <c r="J26" s="125"/>
      <c r="K26" s="125"/>
      <c r="L26" s="126"/>
      <c r="M26" s="126"/>
      <c r="N26" s="127"/>
      <c r="O26" s="169"/>
      <c r="P26" s="197"/>
      <c r="Q26" s="198"/>
      <c r="R26" s="198"/>
      <c r="S26" s="198"/>
      <c r="T26" s="198"/>
      <c r="U26" s="199"/>
    </row>
  </sheetData>
  <mergeCells count="43">
    <mergeCell ref="O1:U1"/>
    <mergeCell ref="J2:K2"/>
    <mergeCell ref="L2:M2"/>
    <mergeCell ref="O2:U2"/>
    <mergeCell ref="J3:K3"/>
    <mergeCell ref="L3:M3"/>
    <mergeCell ref="O3:U3"/>
    <mergeCell ref="J4:K4"/>
    <mergeCell ref="L4:M4"/>
    <mergeCell ref="O4:U4"/>
    <mergeCell ref="J5:K5"/>
    <mergeCell ref="L5:M5"/>
    <mergeCell ref="O5:U5"/>
    <mergeCell ref="E10:H10"/>
    <mergeCell ref="O10:U10"/>
    <mergeCell ref="E6:H6"/>
    <mergeCell ref="K6:M6"/>
    <mergeCell ref="O6:U6"/>
    <mergeCell ref="E7:H7"/>
    <mergeCell ref="K7:M7"/>
    <mergeCell ref="O7:U7"/>
    <mergeCell ref="E8:H8"/>
    <mergeCell ref="K8:M8"/>
    <mergeCell ref="O8:U8"/>
    <mergeCell ref="E9:H9"/>
    <mergeCell ref="O9:U9"/>
    <mergeCell ref="P21:U21"/>
    <mergeCell ref="E11:H11"/>
    <mergeCell ref="O11:U11"/>
    <mergeCell ref="O12:U12"/>
    <mergeCell ref="P13:U13"/>
    <mergeCell ref="P14:U14"/>
    <mergeCell ref="P15:U15"/>
    <mergeCell ref="P16:U16"/>
    <mergeCell ref="P17:U17"/>
    <mergeCell ref="P18:U18"/>
    <mergeCell ref="P19:U19"/>
    <mergeCell ref="P20:U20"/>
    <mergeCell ref="P22:U22"/>
    <mergeCell ref="P23:U23"/>
    <mergeCell ref="P24:U24"/>
    <mergeCell ref="P25:U25"/>
    <mergeCell ref="P26:U26"/>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625"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26626"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26627"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26628"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26629"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26630"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85E94F46-01F6-48BF-8C2D-97BB1F9C7848}">
            <xm:f>(AND(H14&lt;&gt;"",ISERROR(VLOOKUP(H14,system!$E:$E,1,FALSE))))</xm:f>
            <x14:dxf>
              <fill>
                <patternFill patternType="solid">
                  <bgColor rgb="FFFF0000"/>
                </patternFill>
              </fill>
            </x14:dxf>
          </x14:cfRule>
          <xm:sqref>H14:H18</xm:sqref>
        </x14:conditionalFormatting>
        <x14:conditionalFormatting xmlns:xm="http://schemas.microsoft.com/office/excel/2006/main">
          <x14:cfRule type="expression" priority="3" id="{11072E4A-A836-41D9-B3A1-28F4A41CC12C}">
            <xm:f>(AND(H14&lt;&gt;"",ISERROR(VLOOKUP(H14,system!$E:$E,1,FALSE))))</xm:f>
            <x14:dxf>
              <fill>
                <patternFill>
                  <bgColor rgb="FFFF0000"/>
                </patternFill>
              </fill>
            </x14:dxf>
          </x14:cfRule>
          <xm:sqref>I14:I18</xm:sqref>
        </x14:conditionalFormatting>
        <x14:conditionalFormatting xmlns:xm="http://schemas.microsoft.com/office/excel/2006/main">
          <x14:cfRule type="expression" priority="2" id="{F424D187-7319-4ADC-A702-3933C3404D00}">
            <xm:f>(AND(H19&lt;&gt;"",ISERROR(VLOOKUP(H19,system!$E:$E,1,FALSE))))</xm:f>
            <x14:dxf>
              <fill>
                <patternFill patternType="solid">
                  <bgColor rgb="FFFF0000"/>
                </patternFill>
              </fill>
            </x14:dxf>
          </x14:cfRule>
          <xm:sqref>H19:H26</xm:sqref>
        </x14:conditionalFormatting>
        <x14:conditionalFormatting xmlns:xm="http://schemas.microsoft.com/office/excel/2006/main">
          <x14:cfRule type="expression" priority="1" id="{E68FA3B3-0F30-4C6A-B3BA-C663A6B224EB}">
            <xm:f>(AND(H19&lt;&gt;"",ISERROR(VLOOKUP(H19,system!$E:$E,1,FALSE))))</xm:f>
            <x14:dxf>
              <fill>
                <patternFill>
                  <bgColor rgb="FFFF0000"/>
                </patternFill>
              </fill>
            </x14:dxf>
          </x14:cfRule>
          <xm:sqref>I19:I26</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pageSetUpPr fitToPage="1"/>
  </sheetPr>
  <dimension ref="A1:U44"/>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7" t="s">
        <v>27</v>
      </c>
      <c r="P1" s="248"/>
      <c r="Q1" s="248"/>
      <c r="R1" s="248"/>
      <c r="S1" s="248"/>
      <c r="T1" s="248"/>
      <c r="U1" s="249"/>
    </row>
    <row r="2" spans="1:21" ht="14.45" customHeight="1">
      <c r="A2" s="39"/>
      <c r="B2" s="100" t="s">
        <v>64</v>
      </c>
      <c r="C2" s="5"/>
      <c r="D2" s="5"/>
      <c r="E2" s="5"/>
      <c r="F2" s="5"/>
      <c r="G2" s="6"/>
      <c r="H2" s="7"/>
      <c r="I2" s="8"/>
      <c r="J2" s="250"/>
      <c r="K2" s="251"/>
      <c r="L2" s="250"/>
      <c r="M2" s="251"/>
      <c r="N2" s="52"/>
      <c r="O2" s="252" t="s">
        <v>450</v>
      </c>
      <c r="P2" s="253"/>
      <c r="Q2" s="253"/>
      <c r="R2" s="253"/>
      <c r="S2" s="253"/>
      <c r="T2" s="253"/>
      <c r="U2" s="254"/>
    </row>
    <row r="3" spans="1:21" ht="14.25" customHeight="1">
      <c r="A3" s="40"/>
      <c r="B3" s="35"/>
      <c r="C3" s="5"/>
      <c r="D3" s="5"/>
      <c r="E3" s="5"/>
      <c r="F3" s="5"/>
      <c r="G3" s="9"/>
      <c r="H3" s="10"/>
      <c r="I3" s="176" t="s">
        <v>1032</v>
      </c>
      <c r="J3" s="255" t="s">
        <v>1032</v>
      </c>
      <c r="K3" s="256"/>
      <c r="L3" s="255" t="s">
        <v>1032</v>
      </c>
      <c r="M3" s="256"/>
      <c r="N3" s="52"/>
      <c r="O3" s="257"/>
      <c r="P3" s="258"/>
      <c r="Q3" s="258"/>
      <c r="R3" s="258"/>
      <c r="S3" s="258"/>
      <c r="T3" s="258"/>
      <c r="U3" s="259"/>
    </row>
    <row r="4" spans="1:21" ht="14.45" customHeight="1">
      <c r="A4" s="41"/>
      <c r="B4" s="36" t="s">
        <v>3</v>
      </c>
      <c r="C4" s="5"/>
      <c r="D4" s="5"/>
      <c r="E4" s="5"/>
      <c r="F4" s="5"/>
      <c r="G4" s="6"/>
      <c r="H4" s="10"/>
      <c r="I4" s="177" t="s">
        <v>1035</v>
      </c>
      <c r="J4" s="240" t="s">
        <v>1034</v>
      </c>
      <c r="K4" s="241"/>
      <c r="L4" s="240" t="s">
        <v>1033</v>
      </c>
      <c r="M4" s="241"/>
      <c r="N4" s="52"/>
      <c r="O4" s="210"/>
      <c r="P4" s="211"/>
      <c r="Q4" s="211"/>
      <c r="R4" s="211"/>
      <c r="S4" s="211"/>
      <c r="T4" s="211"/>
      <c r="U4" s="212"/>
    </row>
    <row r="5" spans="1:21" ht="14.45" customHeight="1" thickBot="1">
      <c r="A5" s="42"/>
      <c r="B5" s="11"/>
      <c r="C5" s="11"/>
      <c r="D5" s="11"/>
      <c r="E5" s="11"/>
      <c r="F5" s="11"/>
      <c r="G5" s="12"/>
      <c r="H5" s="13"/>
      <c r="I5" s="14"/>
      <c r="J5" s="242"/>
      <c r="K5" s="243"/>
      <c r="L5" s="244"/>
      <c r="M5" s="245"/>
      <c r="N5" s="53"/>
      <c r="O5" s="246"/>
      <c r="P5" s="211"/>
      <c r="Q5" s="211"/>
      <c r="R5" s="211"/>
      <c r="S5" s="211"/>
      <c r="T5" s="211"/>
      <c r="U5" s="212"/>
    </row>
    <row r="6" spans="1:21" ht="14.45" customHeight="1">
      <c r="A6" s="43"/>
      <c r="B6" s="101" t="s">
        <v>4</v>
      </c>
      <c r="C6" s="20"/>
      <c r="D6" s="21"/>
      <c r="E6" s="222" t="s">
        <v>65</v>
      </c>
      <c r="F6" s="223"/>
      <c r="G6" s="223"/>
      <c r="H6" s="224"/>
      <c r="I6" s="60" t="s">
        <v>26</v>
      </c>
      <c r="J6" s="26"/>
      <c r="K6" s="225" t="s">
        <v>33</v>
      </c>
      <c r="L6" s="226"/>
      <c r="M6" s="227"/>
      <c r="N6" s="91" t="s">
        <v>5</v>
      </c>
      <c r="O6" s="210"/>
      <c r="P6" s="211"/>
      <c r="Q6" s="211"/>
      <c r="R6" s="211"/>
      <c r="S6" s="211"/>
      <c r="T6" s="211"/>
      <c r="U6" s="212"/>
    </row>
    <row r="7" spans="1:21" ht="15.75" customHeight="1">
      <c r="A7" s="44"/>
      <c r="B7" s="102" t="s">
        <v>6</v>
      </c>
      <c r="C7" s="22"/>
      <c r="D7" s="23"/>
      <c r="E7" s="228" t="s">
        <v>141</v>
      </c>
      <c r="F7" s="229"/>
      <c r="G7" s="229"/>
      <c r="H7" s="230"/>
      <c r="I7" s="61" t="s">
        <v>28</v>
      </c>
      <c r="J7" s="27"/>
      <c r="K7" s="231" t="s">
        <v>34</v>
      </c>
      <c r="L7" s="232"/>
      <c r="M7" s="233"/>
      <c r="N7" s="92">
        <f>COUNTIF(H14:H14,"LONG")+COUNTIF(H14:H14,"LONG RAW")</f>
        <v>0</v>
      </c>
      <c r="O7" s="210"/>
      <c r="P7" s="211"/>
      <c r="Q7" s="211"/>
      <c r="R7" s="211"/>
      <c r="S7" s="211"/>
      <c r="T7" s="211"/>
      <c r="U7" s="212"/>
    </row>
    <row r="8" spans="1:21" ht="14.45" customHeight="1">
      <c r="A8" s="45"/>
      <c r="B8" s="22" t="s">
        <v>7</v>
      </c>
      <c r="C8" s="22"/>
      <c r="D8" s="23"/>
      <c r="E8" s="228" t="s">
        <v>447</v>
      </c>
      <c r="F8" s="229"/>
      <c r="G8" s="229"/>
      <c r="H8" s="230"/>
      <c r="I8" s="62"/>
      <c r="J8" s="27"/>
      <c r="K8" s="234"/>
      <c r="L8" s="235"/>
      <c r="M8" s="236"/>
      <c r="N8" s="92"/>
      <c r="O8" s="210"/>
      <c r="P8" s="211"/>
      <c r="Q8" s="211"/>
      <c r="R8" s="211"/>
      <c r="S8" s="211"/>
      <c r="T8" s="211"/>
      <c r="U8" s="212"/>
    </row>
    <row r="9" spans="1:21" ht="14.45" customHeight="1">
      <c r="A9" s="45"/>
      <c r="B9" s="22" t="s">
        <v>8</v>
      </c>
      <c r="C9" s="22"/>
      <c r="D9" s="23"/>
      <c r="E9" s="237" t="s">
        <v>68</v>
      </c>
      <c r="F9" s="238"/>
      <c r="G9" s="238"/>
      <c r="H9" s="239"/>
      <c r="I9" s="61" t="s">
        <v>9</v>
      </c>
      <c r="J9" s="27"/>
      <c r="K9" s="86"/>
      <c r="L9" s="88">
        <f>SUM(N14:N45)</f>
        <v>207</v>
      </c>
      <c r="M9" s="82"/>
      <c r="N9" s="93">
        <f>SUMIF(M14:M14,"■",N14:N14)</f>
        <v>0</v>
      </c>
      <c r="O9" s="210"/>
      <c r="P9" s="211"/>
      <c r="Q9" s="211"/>
      <c r="R9" s="211"/>
      <c r="S9" s="211"/>
      <c r="T9" s="211"/>
      <c r="U9" s="212"/>
    </row>
    <row r="10" spans="1:21" ht="14.45" customHeight="1">
      <c r="A10" s="45"/>
      <c r="B10" s="22" t="s">
        <v>10</v>
      </c>
      <c r="C10" s="22"/>
      <c r="D10" s="23"/>
      <c r="E10" s="219" t="s">
        <v>68</v>
      </c>
      <c r="F10" s="220"/>
      <c r="G10" s="220"/>
      <c r="H10" s="221"/>
      <c r="I10" s="61" t="s">
        <v>11</v>
      </c>
      <c r="J10" s="27"/>
      <c r="K10" s="86"/>
      <c r="L10" s="89">
        <f>E11*L9/1000</f>
        <v>0</v>
      </c>
      <c r="M10" s="82"/>
      <c r="N10" s="55"/>
      <c r="O10" s="210"/>
      <c r="P10" s="211"/>
      <c r="Q10" s="211"/>
      <c r="R10" s="211"/>
      <c r="S10" s="211"/>
      <c r="T10" s="211"/>
      <c r="U10" s="212"/>
    </row>
    <row r="11" spans="1:21" ht="17.25" customHeight="1" thickBot="1">
      <c r="A11" s="46"/>
      <c r="B11" s="24" t="s">
        <v>29</v>
      </c>
      <c r="C11" s="24"/>
      <c r="D11" s="25"/>
      <c r="E11" s="207"/>
      <c r="F11" s="208"/>
      <c r="G11" s="208"/>
      <c r="H11" s="209"/>
      <c r="I11" s="103" t="s">
        <v>12</v>
      </c>
      <c r="J11" s="104"/>
      <c r="K11" s="87"/>
      <c r="L11" s="90"/>
      <c r="M11" s="83"/>
      <c r="N11" s="56"/>
      <c r="O11" s="210"/>
      <c r="P11" s="211"/>
      <c r="Q11" s="211"/>
      <c r="R11" s="211"/>
      <c r="S11" s="211"/>
      <c r="T11" s="211"/>
      <c r="U11" s="212"/>
    </row>
    <row r="12" spans="1:21" ht="15.75" customHeight="1" thickBot="1">
      <c r="A12" s="64"/>
      <c r="B12" s="65"/>
      <c r="C12" s="30"/>
      <c r="D12" s="30"/>
      <c r="E12" s="31"/>
      <c r="F12" s="32"/>
      <c r="G12" s="29"/>
      <c r="H12" s="28"/>
      <c r="I12" s="29"/>
      <c r="J12" s="30" t="s">
        <v>13</v>
      </c>
      <c r="K12" s="31"/>
      <c r="L12" s="66"/>
      <c r="M12" s="48"/>
      <c r="N12" s="57">
        <f>COUNTA(H14:H14)</f>
        <v>1</v>
      </c>
      <c r="O12" s="213"/>
      <c r="P12" s="214"/>
      <c r="Q12" s="214"/>
      <c r="R12" s="214"/>
      <c r="S12" s="214"/>
      <c r="T12" s="214"/>
      <c r="U12" s="21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16" t="s">
        <v>32</v>
      </c>
      <c r="Q13" s="217"/>
      <c r="R13" s="217"/>
      <c r="S13" s="217"/>
      <c r="T13" s="217"/>
      <c r="U13" s="218"/>
    </row>
    <row r="14" spans="1:21" ht="15.75" customHeight="1">
      <c r="A14" s="85" t="s">
        <v>188</v>
      </c>
      <c r="B14" s="37">
        <f t="shared" ref="B14:B36" si="0">ROW()-13</f>
        <v>1</v>
      </c>
      <c r="C14" s="145" t="s">
        <v>186</v>
      </c>
      <c r="D14" s="80"/>
      <c r="E14" s="81"/>
      <c r="F14" s="146" t="s">
        <v>1029</v>
      </c>
      <c r="G14" s="17"/>
      <c r="H14" s="18" t="s">
        <v>49</v>
      </c>
      <c r="I14" s="59"/>
      <c r="J14" s="19">
        <v>1</v>
      </c>
      <c r="K14" s="19"/>
      <c r="L14" s="50" t="s">
        <v>187</v>
      </c>
      <c r="M14" s="73" t="s">
        <v>21</v>
      </c>
      <c r="N14" s="54">
        <f t="shared" ref="N14:N43" si="1">IF(H14="NUMBER",IF(J14&gt;0,INT((J14+1)/2+0.9),0),IF(H14="DATE",7,IF(OR(H14="LONG",H14="LONG RAW"),100000,J14)))</f>
        <v>1</v>
      </c>
      <c r="O14" s="167"/>
      <c r="P14" s="203" t="s">
        <v>174</v>
      </c>
      <c r="Q14" s="204"/>
      <c r="R14" s="204"/>
      <c r="S14" s="204"/>
      <c r="T14" s="204"/>
      <c r="U14" s="205"/>
    </row>
    <row r="15" spans="1:21" ht="15.75" customHeight="1">
      <c r="A15" s="85"/>
      <c r="B15" s="37">
        <f t="shared" si="0"/>
        <v>2</v>
      </c>
      <c r="C15" s="145" t="s">
        <v>191</v>
      </c>
      <c r="D15" s="80"/>
      <c r="E15" s="81"/>
      <c r="F15" s="146" t="s">
        <v>192</v>
      </c>
      <c r="G15" s="17"/>
      <c r="H15" s="18" t="s">
        <v>49</v>
      </c>
      <c r="I15" s="59"/>
      <c r="J15" s="19">
        <v>3</v>
      </c>
      <c r="K15" s="19"/>
      <c r="L15" s="50" t="s">
        <v>187</v>
      </c>
      <c r="M15" s="73" t="s">
        <v>21</v>
      </c>
      <c r="N15" s="54">
        <f t="shared" si="1"/>
        <v>3</v>
      </c>
      <c r="O15" s="167"/>
      <c r="P15" s="203"/>
      <c r="Q15" s="204"/>
      <c r="R15" s="204"/>
      <c r="S15" s="204"/>
      <c r="T15" s="204"/>
      <c r="U15" s="205"/>
    </row>
    <row r="16" spans="1:21" ht="15.75" customHeight="1">
      <c r="A16" s="85" t="s">
        <v>188</v>
      </c>
      <c r="B16" s="37">
        <f t="shared" si="0"/>
        <v>3</v>
      </c>
      <c r="C16" s="145" t="s">
        <v>451</v>
      </c>
      <c r="D16" s="80"/>
      <c r="E16" s="81"/>
      <c r="F16" s="146" t="s">
        <v>452</v>
      </c>
      <c r="G16" s="17"/>
      <c r="H16" s="18" t="s">
        <v>49</v>
      </c>
      <c r="I16" s="59"/>
      <c r="J16" s="19">
        <v>7</v>
      </c>
      <c r="K16" s="19"/>
      <c r="L16" s="50" t="s">
        <v>187</v>
      </c>
      <c r="M16" s="73" t="s">
        <v>21</v>
      </c>
      <c r="N16" s="54">
        <f t="shared" si="1"/>
        <v>7</v>
      </c>
      <c r="O16" s="167"/>
      <c r="P16" s="203"/>
      <c r="Q16" s="204"/>
      <c r="R16" s="204"/>
      <c r="S16" s="204"/>
      <c r="T16" s="204"/>
      <c r="U16" s="205"/>
    </row>
    <row r="17" spans="1:21" ht="15.75" customHeight="1">
      <c r="A17" s="85"/>
      <c r="B17" s="37">
        <f t="shared" si="0"/>
        <v>4</v>
      </c>
      <c r="C17" s="145" t="s">
        <v>453</v>
      </c>
      <c r="D17" s="80"/>
      <c r="E17" s="81"/>
      <c r="F17" s="146" t="s">
        <v>454</v>
      </c>
      <c r="G17" s="17"/>
      <c r="H17" s="18" t="s">
        <v>49</v>
      </c>
      <c r="I17" s="59"/>
      <c r="J17" s="19">
        <v>1</v>
      </c>
      <c r="K17" s="19"/>
      <c r="L17" s="50"/>
      <c r="M17" s="73" t="s">
        <v>21</v>
      </c>
      <c r="N17" s="54">
        <f t="shared" si="1"/>
        <v>1</v>
      </c>
      <c r="O17" s="167"/>
      <c r="P17" s="203"/>
      <c r="Q17" s="204"/>
      <c r="R17" s="204"/>
      <c r="S17" s="204"/>
      <c r="T17" s="204"/>
      <c r="U17" s="205"/>
    </row>
    <row r="18" spans="1:21" ht="15.75" customHeight="1">
      <c r="A18" s="85"/>
      <c r="B18" s="37">
        <f t="shared" si="0"/>
        <v>5</v>
      </c>
      <c r="C18" s="145" t="s">
        <v>193</v>
      </c>
      <c r="D18" s="80"/>
      <c r="E18" s="81"/>
      <c r="F18" s="146" t="s">
        <v>194</v>
      </c>
      <c r="G18" s="17"/>
      <c r="H18" s="18" t="s">
        <v>49</v>
      </c>
      <c r="I18" s="59"/>
      <c r="J18" s="19">
        <v>12</v>
      </c>
      <c r="K18" s="19"/>
      <c r="L18" s="50"/>
      <c r="M18" s="73" t="s">
        <v>21</v>
      </c>
      <c r="N18" s="54">
        <f t="shared" si="1"/>
        <v>12</v>
      </c>
      <c r="O18" s="167"/>
      <c r="P18" s="203"/>
      <c r="Q18" s="204"/>
      <c r="R18" s="204"/>
      <c r="S18" s="204"/>
      <c r="T18" s="204"/>
      <c r="U18" s="205"/>
    </row>
    <row r="19" spans="1:21" ht="15.75" customHeight="1">
      <c r="A19" s="85" t="s">
        <v>188</v>
      </c>
      <c r="B19" s="37">
        <f t="shared" si="0"/>
        <v>6</v>
      </c>
      <c r="C19" s="145" t="s">
        <v>195</v>
      </c>
      <c r="D19" s="80"/>
      <c r="E19" s="81"/>
      <c r="F19" s="146" t="s">
        <v>1058</v>
      </c>
      <c r="G19" s="17"/>
      <c r="H19" s="18" t="s">
        <v>49</v>
      </c>
      <c r="I19" s="59"/>
      <c r="J19" s="19">
        <v>1</v>
      </c>
      <c r="K19" s="19"/>
      <c r="L19" s="50" t="s">
        <v>187</v>
      </c>
      <c r="M19" s="73" t="s">
        <v>21</v>
      </c>
      <c r="N19" s="54">
        <f t="shared" si="1"/>
        <v>1</v>
      </c>
      <c r="O19" s="167"/>
      <c r="P19" s="203" t="s">
        <v>174</v>
      </c>
      <c r="Q19" s="204"/>
      <c r="R19" s="204"/>
      <c r="S19" s="204"/>
      <c r="T19" s="204"/>
      <c r="U19" s="205"/>
    </row>
    <row r="20" spans="1:21" ht="15.75" customHeight="1">
      <c r="A20" s="85" t="s">
        <v>188</v>
      </c>
      <c r="B20" s="37">
        <f t="shared" si="0"/>
        <v>7</v>
      </c>
      <c r="C20" s="145" t="s">
        <v>196</v>
      </c>
      <c r="D20" s="80"/>
      <c r="E20" s="81"/>
      <c r="F20" s="146" t="s">
        <v>197</v>
      </c>
      <c r="G20" s="17"/>
      <c r="H20" s="18" t="s">
        <v>51</v>
      </c>
      <c r="I20" s="59"/>
      <c r="J20" s="19">
        <v>25</v>
      </c>
      <c r="K20" s="19"/>
      <c r="L20" s="50" t="s">
        <v>187</v>
      </c>
      <c r="M20" s="73" t="s">
        <v>21</v>
      </c>
      <c r="N20" s="54">
        <f t="shared" si="1"/>
        <v>25</v>
      </c>
      <c r="O20" s="167"/>
      <c r="P20" s="203"/>
      <c r="Q20" s="204"/>
      <c r="R20" s="204"/>
      <c r="S20" s="204"/>
      <c r="T20" s="204"/>
      <c r="U20" s="205"/>
    </row>
    <row r="21" spans="1:21" ht="15.75" customHeight="1">
      <c r="A21" s="85" t="s">
        <v>188</v>
      </c>
      <c r="B21" s="37">
        <f t="shared" si="0"/>
        <v>8</v>
      </c>
      <c r="C21" s="145" t="s">
        <v>198</v>
      </c>
      <c r="D21" s="80"/>
      <c r="E21" s="81"/>
      <c r="F21" s="146" t="s">
        <v>199</v>
      </c>
      <c r="G21" s="17"/>
      <c r="H21" s="18" t="s">
        <v>51</v>
      </c>
      <c r="I21" s="59"/>
      <c r="J21" s="19">
        <v>4</v>
      </c>
      <c r="K21" s="19"/>
      <c r="L21" s="50" t="s">
        <v>187</v>
      </c>
      <c r="M21" s="73" t="s">
        <v>21</v>
      </c>
      <c r="N21" s="54">
        <f t="shared" si="1"/>
        <v>4</v>
      </c>
      <c r="O21" s="167"/>
      <c r="P21" s="203" t="s">
        <v>200</v>
      </c>
      <c r="Q21" s="204"/>
      <c r="R21" s="204"/>
      <c r="S21" s="204"/>
      <c r="T21" s="204"/>
      <c r="U21" s="205"/>
    </row>
    <row r="22" spans="1:21" ht="62.85" customHeight="1">
      <c r="A22" s="85" t="s">
        <v>188</v>
      </c>
      <c r="B22" s="37">
        <f t="shared" si="0"/>
        <v>9</v>
      </c>
      <c r="C22" s="145" t="s">
        <v>201</v>
      </c>
      <c r="D22" s="80"/>
      <c r="E22" s="81"/>
      <c r="F22" s="146" t="s">
        <v>202</v>
      </c>
      <c r="G22" s="17"/>
      <c r="H22" s="18" t="s">
        <v>49</v>
      </c>
      <c r="I22" s="59"/>
      <c r="J22" s="19">
        <v>1</v>
      </c>
      <c r="K22" s="19"/>
      <c r="L22" s="50" t="s">
        <v>187</v>
      </c>
      <c r="M22" s="73" t="s">
        <v>21</v>
      </c>
      <c r="N22" s="54">
        <f t="shared" si="1"/>
        <v>1</v>
      </c>
      <c r="O22" s="167"/>
      <c r="P22" s="206" t="s">
        <v>267</v>
      </c>
      <c r="Q22" s="204"/>
      <c r="R22" s="204"/>
      <c r="S22" s="204"/>
      <c r="T22" s="204"/>
      <c r="U22" s="205"/>
    </row>
    <row r="23" spans="1:21" ht="27.6" customHeight="1">
      <c r="A23" s="85"/>
      <c r="B23" s="37">
        <f t="shared" si="0"/>
        <v>10</v>
      </c>
      <c r="C23" s="145" t="s">
        <v>204</v>
      </c>
      <c r="D23" s="80"/>
      <c r="E23" s="81"/>
      <c r="F23" s="146" t="s">
        <v>205</v>
      </c>
      <c r="G23" s="17"/>
      <c r="H23" s="18" t="s">
        <v>49</v>
      </c>
      <c r="I23" s="59"/>
      <c r="J23" s="19">
        <v>1</v>
      </c>
      <c r="K23" s="19"/>
      <c r="L23" s="50" t="s">
        <v>187</v>
      </c>
      <c r="M23" s="73" t="s">
        <v>21</v>
      </c>
      <c r="N23" s="54">
        <f t="shared" si="1"/>
        <v>1</v>
      </c>
      <c r="O23" s="167"/>
      <c r="P23" s="206" t="s">
        <v>206</v>
      </c>
      <c r="Q23" s="204"/>
      <c r="R23" s="204"/>
      <c r="S23" s="204"/>
      <c r="T23" s="204"/>
      <c r="U23" s="205"/>
    </row>
    <row r="24" spans="1:21" ht="15.75" customHeight="1">
      <c r="A24" s="85"/>
      <c r="B24" s="37">
        <f t="shared" si="0"/>
        <v>11</v>
      </c>
      <c r="C24" s="145" t="s">
        <v>455</v>
      </c>
      <c r="D24" s="80"/>
      <c r="E24" s="81"/>
      <c r="F24" s="146" t="s">
        <v>456</v>
      </c>
      <c r="G24" s="17"/>
      <c r="H24" s="18" t="s">
        <v>49</v>
      </c>
      <c r="I24" s="59"/>
      <c r="J24" s="19">
        <v>2</v>
      </c>
      <c r="K24" s="19"/>
      <c r="L24" s="50"/>
      <c r="M24" s="73" t="s">
        <v>21</v>
      </c>
      <c r="N24" s="54">
        <f t="shared" si="1"/>
        <v>2</v>
      </c>
      <c r="O24" s="167"/>
      <c r="P24" s="203"/>
      <c r="Q24" s="204"/>
      <c r="R24" s="204"/>
      <c r="S24" s="204"/>
      <c r="T24" s="204"/>
      <c r="U24" s="205"/>
    </row>
    <row r="25" spans="1:21" ht="15.75" customHeight="1">
      <c r="A25" s="85"/>
      <c r="B25" s="37">
        <f t="shared" si="0"/>
        <v>12</v>
      </c>
      <c r="C25" s="145" t="s">
        <v>457</v>
      </c>
      <c r="D25" s="80"/>
      <c r="E25" s="81"/>
      <c r="F25" s="146" t="s">
        <v>458</v>
      </c>
      <c r="G25" s="17"/>
      <c r="H25" s="18" t="s">
        <v>54</v>
      </c>
      <c r="I25" s="59"/>
      <c r="J25" s="19"/>
      <c r="K25" s="19"/>
      <c r="L25" s="50"/>
      <c r="M25" s="73" t="s">
        <v>21</v>
      </c>
      <c r="N25" s="54">
        <f t="shared" si="1"/>
        <v>0</v>
      </c>
      <c r="O25" s="167"/>
      <c r="P25" s="203"/>
      <c r="Q25" s="204"/>
      <c r="R25" s="204"/>
      <c r="S25" s="204"/>
      <c r="T25" s="204"/>
      <c r="U25" s="205"/>
    </row>
    <row r="26" spans="1:21" ht="15.75" customHeight="1">
      <c r="A26" s="85"/>
      <c r="B26" s="37">
        <f t="shared" si="0"/>
        <v>13</v>
      </c>
      <c r="C26" s="145" t="s">
        <v>459</v>
      </c>
      <c r="D26" s="80"/>
      <c r="E26" s="81"/>
      <c r="F26" s="146" t="s">
        <v>460</v>
      </c>
      <c r="G26" s="17"/>
      <c r="H26" s="18" t="s">
        <v>54</v>
      </c>
      <c r="I26" s="59"/>
      <c r="J26" s="19"/>
      <c r="K26" s="19"/>
      <c r="L26" s="50"/>
      <c r="M26" s="73" t="s">
        <v>21</v>
      </c>
      <c r="N26" s="54">
        <f t="shared" si="1"/>
        <v>0</v>
      </c>
      <c r="O26" s="167"/>
      <c r="P26" s="203"/>
      <c r="Q26" s="204"/>
      <c r="R26" s="204"/>
      <c r="S26" s="204"/>
      <c r="T26" s="204"/>
      <c r="U26" s="205"/>
    </row>
    <row r="27" spans="1:21" ht="15.75" customHeight="1">
      <c r="A27" s="85"/>
      <c r="B27" s="37">
        <f t="shared" si="0"/>
        <v>14</v>
      </c>
      <c r="C27" s="145" t="s">
        <v>461</v>
      </c>
      <c r="D27" s="80"/>
      <c r="E27" s="81"/>
      <c r="F27" s="146" t="s">
        <v>462</v>
      </c>
      <c r="G27" s="17"/>
      <c r="H27" s="18" t="s">
        <v>24</v>
      </c>
      <c r="I27" s="59"/>
      <c r="J27" s="19"/>
      <c r="K27" s="19"/>
      <c r="L27" s="50"/>
      <c r="M27" s="73" t="s">
        <v>21</v>
      </c>
      <c r="N27" s="54">
        <f t="shared" si="1"/>
        <v>7</v>
      </c>
      <c r="O27" s="167"/>
      <c r="P27" s="203"/>
      <c r="Q27" s="204"/>
      <c r="R27" s="204"/>
      <c r="S27" s="204"/>
      <c r="T27" s="204"/>
      <c r="U27" s="205"/>
    </row>
    <row r="28" spans="1:21" ht="15.75" customHeight="1">
      <c r="A28" s="85"/>
      <c r="B28" s="37">
        <f t="shared" si="0"/>
        <v>15</v>
      </c>
      <c r="C28" s="145" t="s">
        <v>463</v>
      </c>
      <c r="D28" s="80"/>
      <c r="E28" s="81"/>
      <c r="F28" s="146" t="s">
        <v>464</v>
      </c>
      <c r="G28" s="17"/>
      <c r="H28" s="18" t="s">
        <v>24</v>
      </c>
      <c r="I28" s="59"/>
      <c r="J28" s="19"/>
      <c r="K28" s="19"/>
      <c r="L28" s="50"/>
      <c r="M28" s="73" t="s">
        <v>21</v>
      </c>
      <c r="N28" s="54">
        <f t="shared" si="1"/>
        <v>7</v>
      </c>
      <c r="O28" s="167"/>
      <c r="P28" s="203"/>
      <c r="Q28" s="204"/>
      <c r="R28" s="204"/>
      <c r="S28" s="204"/>
      <c r="T28" s="204"/>
      <c r="U28" s="205"/>
    </row>
    <row r="29" spans="1:21" ht="15.75" customHeight="1">
      <c r="A29" s="85"/>
      <c r="B29" s="37">
        <f t="shared" si="0"/>
        <v>16</v>
      </c>
      <c r="C29" s="145" t="s">
        <v>420</v>
      </c>
      <c r="D29" s="80"/>
      <c r="E29" s="81"/>
      <c r="F29" s="146" t="s">
        <v>421</v>
      </c>
      <c r="G29" s="17"/>
      <c r="H29" s="18" t="s">
        <v>51</v>
      </c>
      <c r="I29" s="59"/>
      <c r="J29" s="19">
        <v>6</v>
      </c>
      <c r="K29" s="19"/>
      <c r="L29" s="50"/>
      <c r="M29" s="73" t="s">
        <v>21</v>
      </c>
      <c r="N29" s="54">
        <f t="shared" si="1"/>
        <v>6</v>
      </c>
      <c r="O29" s="167"/>
      <c r="P29" s="203"/>
      <c r="Q29" s="204"/>
      <c r="R29" s="204"/>
      <c r="S29" s="204"/>
      <c r="T29" s="204"/>
      <c r="U29" s="205"/>
    </row>
    <row r="30" spans="1:21" ht="15.75" customHeight="1">
      <c r="A30" s="85"/>
      <c r="B30" s="37">
        <f t="shared" si="0"/>
        <v>17</v>
      </c>
      <c r="C30" s="145" t="s">
        <v>465</v>
      </c>
      <c r="D30" s="80"/>
      <c r="E30" s="81"/>
      <c r="F30" s="146" t="s">
        <v>466</v>
      </c>
      <c r="G30" s="17"/>
      <c r="H30" s="18" t="s">
        <v>56</v>
      </c>
      <c r="I30" s="59"/>
      <c r="J30" s="19">
        <v>5</v>
      </c>
      <c r="K30" s="19">
        <v>2</v>
      </c>
      <c r="L30" s="50"/>
      <c r="M30" s="73" t="s">
        <v>21</v>
      </c>
      <c r="N30" s="54">
        <f t="shared" si="1"/>
        <v>5</v>
      </c>
      <c r="O30" s="167"/>
      <c r="P30" s="203"/>
      <c r="Q30" s="204"/>
      <c r="R30" s="204"/>
      <c r="S30" s="204"/>
      <c r="T30" s="204"/>
      <c r="U30" s="205"/>
    </row>
    <row r="31" spans="1:21" ht="15.75" customHeight="1">
      <c r="A31" s="85"/>
      <c r="B31" s="37">
        <f t="shared" si="0"/>
        <v>18</v>
      </c>
      <c r="C31" s="145" t="s">
        <v>467</v>
      </c>
      <c r="D31" s="80"/>
      <c r="E31" s="81"/>
      <c r="F31" s="146" t="s">
        <v>468</v>
      </c>
      <c r="G31" s="17"/>
      <c r="H31" s="18" t="s">
        <v>24</v>
      </c>
      <c r="I31" s="59"/>
      <c r="J31" s="19"/>
      <c r="K31" s="19"/>
      <c r="L31" s="50"/>
      <c r="M31" s="73" t="s">
        <v>21</v>
      </c>
      <c r="N31" s="54">
        <f t="shared" si="1"/>
        <v>7</v>
      </c>
      <c r="O31" s="167"/>
      <c r="P31" s="203"/>
      <c r="Q31" s="204"/>
      <c r="R31" s="204"/>
      <c r="S31" s="204"/>
      <c r="T31" s="204"/>
      <c r="U31" s="205"/>
    </row>
    <row r="32" spans="1:21" ht="15.75" customHeight="1">
      <c r="A32" s="85"/>
      <c r="B32" s="37">
        <f t="shared" si="0"/>
        <v>19</v>
      </c>
      <c r="C32" s="145" t="s">
        <v>469</v>
      </c>
      <c r="D32" s="80"/>
      <c r="E32" s="81"/>
      <c r="F32" s="146" t="s">
        <v>470</v>
      </c>
      <c r="G32" s="17"/>
      <c r="H32" s="18" t="s">
        <v>51</v>
      </c>
      <c r="I32" s="59"/>
      <c r="J32" s="19">
        <v>50</v>
      </c>
      <c r="K32" s="19"/>
      <c r="L32" s="50"/>
      <c r="M32" s="73" t="s">
        <v>21</v>
      </c>
      <c r="N32" s="54">
        <f t="shared" si="1"/>
        <v>50</v>
      </c>
      <c r="O32" s="167"/>
      <c r="P32" s="203"/>
      <c r="Q32" s="204"/>
      <c r="R32" s="204"/>
      <c r="S32" s="204"/>
      <c r="T32" s="204"/>
      <c r="U32" s="205"/>
    </row>
    <row r="33" spans="1:21" ht="27.6" customHeight="1">
      <c r="A33" s="85"/>
      <c r="B33" s="37">
        <f t="shared" si="0"/>
        <v>20</v>
      </c>
      <c r="C33" s="145" t="s">
        <v>471</v>
      </c>
      <c r="D33" s="80"/>
      <c r="E33" s="81"/>
      <c r="F33" s="146" t="s">
        <v>472</v>
      </c>
      <c r="G33" s="17"/>
      <c r="H33" s="18" t="s">
        <v>49</v>
      </c>
      <c r="I33" s="59"/>
      <c r="J33" s="19">
        <v>1</v>
      </c>
      <c r="K33" s="19"/>
      <c r="L33" s="50"/>
      <c r="M33" s="73" t="s">
        <v>21</v>
      </c>
      <c r="N33" s="54">
        <f t="shared" si="1"/>
        <v>1</v>
      </c>
      <c r="O33" s="167">
        <v>0</v>
      </c>
      <c r="P33" s="206" t="s">
        <v>473</v>
      </c>
      <c r="Q33" s="204"/>
      <c r="R33" s="204"/>
      <c r="S33" s="204"/>
      <c r="T33" s="204"/>
      <c r="U33" s="205"/>
    </row>
    <row r="34" spans="1:21" ht="15.75" customHeight="1">
      <c r="A34" s="85"/>
      <c r="B34" s="37">
        <f t="shared" si="0"/>
        <v>21</v>
      </c>
      <c r="C34" s="145" t="s">
        <v>474</v>
      </c>
      <c r="D34" s="80"/>
      <c r="E34" s="81"/>
      <c r="F34" s="146" t="s">
        <v>475</v>
      </c>
      <c r="G34" s="17"/>
      <c r="H34" s="18" t="s">
        <v>209</v>
      </c>
      <c r="I34" s="59"/>
      <c r="J34" s="19"/>
      <c r="K34" s="19"/>
      <c r="L34" s="50"/>
      <c r="M34" s="73" t="s">
        <v>21</v>
      </c>
      <c r="N34" s="54">
        <f t="shared" si="1"/>
        <v>0</v>
      </c>
      <c r="O34" s="167">
        <v>0</v>
      </c>
      <c r="P34" s="203"/>
      <c r="Q34" s="204"/>
      <c r="R34" s="204"/>
      <c r="S34" s="204"/>
      <c r="T34" s="204"/>
      <c r="U34" s="205"/>
    </row>
    <row r="35" spans="1:21" ht="15.75" customHeight="1">
      <c r="A35" s="85"/>
      <c r="B35" s="37">
        <f t="shared" si="0"/>
        <v>22</v>
      </c>
      <c r="C35" s="145" t="s">
        <v>476</v>
      </c>
      <c r="D35" s="80"/>
      <c r="E35" s="81"/>
      <c r="F35" s="146" t="s">
        <v>477</v>
      </c>
      <c r="G35" s="17"/>
      <c r="H35" s="18" t="s">
        <v>56</v>
      </c>
      <c r="I35" s="59"/>
      <c r="J35" s="19">
        <v>10</v>
      </c>
      <c r="K35" s="19">
        <v>2</v>
      </c>
      <c r="L35" s="50"/>
      <c r="M35" s="73" t="s">
        <v>21</v>
      </c>
      <c r="N35" s="54">
        <f t="shared" si="1"/>
        <v>10</v>
      </c>
      <c r="O35" s="167">
        <v>0</v>
      </c>
      <c r="P35" s="203"/>
      <c r="Q35" s="204"/>
      <c r="R35" s="204"/>
      <c r="S35" s="204"/>
      <c r="T35" s="204"/>
      <c r="U35" s="205"/>
    </row>
    <row r="36" spans="1:21" ht="15.75" customHeight="1">
      <c r="A36" s="85"/>
      <c r="B36" s="37">
        <f t="shared" si="0"/>
        <v>23</v>
      </c>
      <c r="C36" s="145" t="s">
        <v>210</v>
      </c>
      <c r="D36" s="80"/>
      <c r="E36" s="81"/>
      <c r="F36" s="146" t="s">
        <v>211</v>
      </c>
      <c r="G36" s="17"/>
      <c r="H36" s="18" t="s">
        <v>51</v>
      </c>
      <c r="I36" s="59"/>
      <c r="J36" s="19">
        <v>4</v>
      </c>
      <c r="K36" s="19"/>
      <c r="L36" s="50"/>
      <c r="M36" s="73" t="s">
        <v>21</v>
      </c>
      <c r="N36" s="54">
        <f t="shared" si="1"/>
        <v>4</v>
      </c>
      <c r="O36" s="167"/>
      <c r="P36" s="203"/>
      <c r="Q36" s="204"/>
      <c r="R36" s="204"/>
      <c r="S36" s="204"/>
      <c r="T36" s="204"/>
      <c r="U36" s="205"/>
    </row>
    <row r="37" spans="1:21" ht="15.75">
      <c r="A37" s="85"/>
      <c r="B37" s="37">
        <f t="shared" ref="B37:B43" si="2">ROW()-13</f>
        <v>24</v>
      </c>
      <c r="C37" s="107" t="s">
        <v>36</v>
      </c>
      <c r="D37" s="107"/>
      <c r="E37" s="108"/>
      <c r="F37" s="109" t="s">
        <v>78</v>
      </c>
      <c r="G37" s="110"/>
      <c r="H37" s="18" t="s">
        <v>51</v>
      </c>
      <c r="I37" s="59"/>
      <c r="J37" s="113">
        <v>12</v>
      </c>
      <c r="K37" s="113"/>
      <c r="L37" s="114"/>
      <c r="M37" s="115" t="s">
        <v>35</v>
      </c>
      <c r="N37" s="116">
        <f t="shared" si="1"/>
        <v>12</v>
      </c>
      <c r="O37" s="168"/>
      <c r="P37" s="200"/>
      <c r="Q37" s="201"/>
      <c r="R37" s="201"/>
      <c r="S37" s="201"/>
      <c r="T37" s="201"/>
      <c r="U37" s="202"/>
    </row>
    <row r="38" spans="1:21" ht="15.75">
      <c r="A38" s="85"/>
      <c r="B38" s="37">
        <f t="shared" si="2"/>
        <v>25</v>
      </c>
      <c r="C38" s="107" t="s">
        <v>37</v>
      </c>
      <c r="D38" s="107"/>
      <c r="E38" s="108"/>
      <c r="F38" s="109" t="s">
        <v>43</v>
      </c>
      <c r="G38" s="110"/>
      <c r="H38" s="18" t="s">
        <v>51</v>
      </c>
      <c r="I38" s="59"/>
      <c r="J38" s="113">
        <v>10</v>
      </c>
      <c r="K38" s="113"/>
      <c r="L38" s="114"/>
      <c r="M38" s="115" t="s">
        <v>21</v>
      </c>
      <c r="N38" s="116">
        <f t="shared" si="1"/>
        <v>10</v>
      </c>
      <c r="O38" s="168"/>
      <c r="P38" s="200"/>
      <c r="Q38" s="201"/>
      <c r="R38" s="201"/>
      <c r="S38" s="201"/>
      <c r="T38" s="201"/>
      <c r="U38" s="202"/>
    </row>
    <row r="39" spans="1:21" ht="15.75">
      <c r="A39" s="85"/>
      <c r="B39" s="37">
        <f t="shared" si="2"/>
        <v>26</v>
      </c>
      <c r="C39" s="107" t="s">
        <v>38</v>
      </c>
      <c r="D39" s="107"/>
      <c r="E39" s="108"/>
      <c r="F39" s="109" t="s">
        <v>80</v>
      </c>
      <c r="G39" s="110"/>
      <c r="H39" s="18" t="s">
        <v>86</v>
      </c>
      <c r="I39" s="59"/>
      <c r="J39" s="113"/>
      <c r="K39" s="113"/>
      <c r="L39" s="114"/>
      <c r="M39" s="115" t="s">
        <v>21</v>
      </c>
      <c r="N39" s="116">
        <f t="shared" si="1"/>
        <v>0</v>
      </c>
      <c r="O39" s="168"/>
      <c r="P39" s="200"/>
      <c r="Q39" s="201"/>
      <c r="R39" s="201"/>
      <c r="S39" s="201"/>
      <c r="T39" s="201"/>
      <c r="U39" s="202"/>
    </row>
    <row r="40" spans="1:21" ht="15.75">
      <c r="A40" s="85"/>
      <c r="B40" s="37">
        <f t="shared" si="2"/>
        <v>27</v>
      </c>
      <c r="C40" s="107" t="s">
        <v>39</v>
      </c>
      <c r="D40" s="107"/>
      <c r="E40" s="108"/>
      <c r="F40" s="109" t="s">
        <v>79</v>
      </c>
      <c r="G40" s="110"/>
      <c r="H40" s="18" t="s">
        <v>51</v>
      </c>
      <c r="I40" s="59"/>
      <c r="J40" s="113">
        <v>12</v>
      </c>
      <c r="K40" s="113"/>
      <c r="L40" s="114"/>
      <c r="M40" s="115" t="s">
        <v>35</v>
      </c>
      <c r="N40" s="116">
        <f t="shared" si="1"/>
        <v>12</v>
      </c>
      <c r="O40" s="168"/>
      <c r="P40" s="200"/>
      <c r="Q40" s="201"/>
      <c r="R40" s="201"/>
      <c r="S40" s="201"/>
      <c r="T40" s="201"/>
      <c r="U40" s="202"/>
    </row>
    <row r="41" spans="1:21" ht="15.75">
      <c r="A41" s="85"/>
      <c r="B41" s="37">
        <f t="shared" si="2"/>
        <v>28</v>
      </c>
      <c r="C41" s="107" t="s">
        <v>40</v>
      </c>
      <c r="D41" s="107"/>
      <c r="E41" s="108"/>
      <c r="F41" s="109" t="s">
        <v>44</v>
      </c>
      <c r="G41" s="110"/>
      <c r="H41" s="18" t="s">
        <v>51</v>
      </c>
      <c r="I41" s="59"/>
      <c r="J41" s="113">
        <v>10</v>
      </c>
      <c r="K41" s="113"/>
      <c r="L41" s="114"/>
      <c r="M41" s="115" t="s">
        <v>21</v>
      </c>
      <c r="N41" s="116">
        <f t="shared" si="1"/>
        <v>10</v>
      </c>
      <c r="O41" s="168"/>
      <c r="P41" s="200"/>
      <c r="Q41" s="201"/>
      <c r="R41" s="201"/>
      <c r="S41" s="201"/>
      <c r="T41" s="201"/>
      <c r="U41" s="202"/>
    </row>
    <row r="42" spans="1:21" ht="15.75">
      <c r="A42" s="85"/>
      <c r="B42" s="37">
        <f t="shared" si="2"/>
        <v>29</v>
      </c>
      <c r="C42" s="107" t="s">
        <v>41</v>
      </c>
      <c r="D42" s="107"/>
      <c r="E42" s="108"/>
      <c r="F42" s="109" t="s">
        <v>81</v>
      </c>
      <c r="G42" s="110"/>
      <c r="H42" s="18" t="s">
        <v>86</v>
      </c>
      <c r="I42" s="59"/>
      <c r="J42" s="113"/>
      <c r="K42" s="113"/>
      <c r="L42" s="114"/>
      <c r="M42" s="115" t="s">
        <v>21</v>
      </c>
      <c r="N42" s="116">
        <f t="shared" si="1"/>
        <v>0</v>
      </c>
      <c r="O42" s="168"/>
      <c r="P42" s="200"/>
      <c r="Q42" s="201"/>
      <c r="R42" s="201"/>
      <c r="S42" s="201"/>
      <c r="T42" s="201"/>
      <c r="U42" s="202"/>
    </row>
    <row r="43" spans="1:21" ht="15.75">
      <c r="A43" s="85"/>
      <c r="B43" s="37">
        <f t="shared" si="2"/>
        <v>30</v>
      </c>
      <c r="C43" s="80" t="s">
        <v>46</v>
      </c>
      <c r="D43" s="80"/>
      <c r="E43" s="81"/>
      <c r="F43" s="84" t="s">
        <v>71</v>
      </c>
      <c r="G43" s="17"/>
      <c r="H43" s="18" t="s">
        <v>62</v>
      </c>
      <c r="I43" s="59"/>
      <c r="J43" s="19">
        <v>8</v>
      </c>
      <c r="K43" s="19"/>
      <c r="L43" s="50" t="s">
        <v>47</v>
      </c>
      <c r="M43" s="73" t="s">
        <v>35</v>
      </c>
      <c r="N43" s="54">
        <f t="shared" si="1"/>
        <v>8</v>
      </c>
      <c r="O43" s="167">
        <v>0</v>
      </c>
      <c r="P43" s="203" t="s">
        <v>48</v>
      </c>
      <c r="Q43" s="204"/>
      <c r="R43" s="204"/>
      <c r="S43" s="204"/>
      <c r="T43" s="204"/>
      <c r="U43" s="205"/>
    </row>
    <row r="44" spans="1:21" ht="16.5" thickBot="1">
      <c r="A44" s="118"/>
      <c r="B44" s="119"/>
      <c r="C44" s="120"/>
      <c r="D44" s="120"/>
      <c r="E44" s="121"/>
      <c r="F44" s="129"/>
      <c r="G44" s="122"/>
      <c r="H44" s="147"/>
      <c r="I44" s="148"/>
      <c r="J44" s="125"/>
      <c r="K44" s="125"/>
      <c r="L44" s="126"/>
      <c r="M44" s="126"/>
      <c r="N44" s="127"/>
      <c r="O44" s="169"/>
      <c r="P44" s="197"/>
      <c r="Q44" s="198"/>
      <c r="R44" s="198"/>
      <c r="S44" s="198"/>
      <c r="T44" s="198"/>
      <c r="U44" s="199"/>
    </row>
  </sheetData>
  <mergeCells count="61">
    <mergeCell ref="O1:U1"/>
    <mergeCell ref="J2:K2"/>
    <mergeCell ref="L2:M2"/>
    <mergeCell ref="O2:U2"/>
    <mergeCell ref="J3:K3"/>
    <mergeCell ref="L3:M3"/>
    <mergeCell ref="O3:U3"/>
    <mergeCell ref="J4:K4"/>
    <mergeCell ref="L4:M4"/>
    <mergeCell ref="O4:U4"/>
    <mergeCell ref="J5:K5"/>
    <mergeCell ref="L5:M5"/>
    <mergeCell ref="O5:U5"/>
    <mergeCell ref="E6:H6"/>
    <mergeCell ref="K6:M6"/>
    <mergeCell ref="O6:U6"/>
    <mergeCell ref="E7:H7"/>
    <mergeCell ref="K7:M7"/>
    <mergeCell ref="O7:U7"/>
    <mergeCell ref="P15:U15"/>
    <mergeCell ref="E8:H8"/>
    <mergeCell ref="K8:M8"/>
    <mergeCell ref="O8:U8"/>
    <mergeCell ref="E9:H9"/>
    <mergeCell ref="O9:U9"/>
    <mergeCell ref="E10:H10"/>
    <mergeCell ref="O10:U10"/>
    <mergeCell ref="E11:H11"/>
    <mergeCell ref="O11:U11"/>
    <mergeCell ref="O12:U12"/>
    <mergeCell ref="P13:U13"/>
    <mergeCell ref="P14:U14"/>
    <mergeCell ref="P27:U27"/>
    <mergeCell ref="P16:U16"/>
    <mergeCell ref="P17:U17"/>
    <mergeCell ref="P18:U18"/>
    <mergeCell ref="P19:U19"/>
    <mergeCell ref="P20:U20"/>
    <mergeCell ref="P21:U21"/>
    <mergeCell ref="P22:U22"/>
    <mergeCell ref="P23:U23"/>
    <mergeCell ref="P24:U24"/>
    <mergeCell ref="P25:U25"/>
    <mergeCell ref="P26:U26"/>
    <mergeCell ref="P39:U39"/>
    <mergeCell ref="P28:U28"/>
    <mergeCell ref="P29:U29"/>
    <mergeCell ref="P30:U30"/>
    <mergeCell ref="P31:U31"/>
    <mergeCell ref="P32:U32"/>
    <mergeCell ref="P33:U33"/>
    <mergeCell ref="P34:U34"/>
    <mergeCell ref="P35:U35"/>
    <mergeCell ref="P36:U36"/>
    <mergeCell ref="P37:U37"/>
    <mergeCell ref="P38:U38"/>
    <mergeCell ref="P40:U40"/>
    <mergeCell ref="P41:U41"/>
    <mergeCell ref="P42:U42"/>
    <mergeCell ref="P43:U43"/>
    <mergeCell ref="P44:U44"/>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7649"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27650"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27651"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27652"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27653"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27654"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B2B48E74-23B0-43D6-903A-82F0813F821A}">
            <xm:f>(AND(H14&lt;&gt;"",ISERROR(VLOOKUP(H14,system!$E:$E,1,FALSE))))</xm:f>
            <x14:dxf>
              <fill>
                <patternFill patternType="solid">
                  <bgColor rgb="FFFF0000"/>
                </patternFill>
              </fill>
            </x14:dxf>
          </x14:cfRule>
          <xm:sqref>H14:H36</xm:sqref>
        </x14:conditionalFormatting>
        <x14:conditionalFormatting xmlns:xm="http://schemas.microsoft.com/office/excel/2006/main">
          <x14:cfRule type="expression" priority="3" id="{733A5714-A3DF-444B-A7EA-ED1E375D7BD6}">
            <xm:f>(AND(H14&lt;&gt;"",ISERROR(VLOOKUP(H14,system!$E:$E,1,FALSE))))</xm:f>
            <x14:dxf>
              <fill>
                <patternFill>
                  <bgColor rgb="FFFF0000"/>
                </patternFill>
              </fill>
            </x14:dxf>
          </x14:cfRule>
          <xm:sqref>I14:I36</xm:sqref>
        </x14:conditionalFormatting>
        <x14:conditionalFormatting xmlns:xm="http://schemas.microsoft.com/office/excel/2006/main">
          <x14:cfRule type="expression" priority="2" id="{D4AA8C9E-93C7-4321-9D43-672BB01D1AD8}">
            <xm:f>(AND(H37&lt;&gt;"",ISERROR(VLOOKUP(H37,system!$E:$E,1,FALSE))))</xm:f>
            <x14:dxf>
              <fill>
                <patternFill patternType="solid">
                  <bgColor rgb="FFFF0000"/>
                </patternFill>
              </fill>
            </x14:dxf>
          </x14:cfRule>
          <xm:sqref>H37:H44</xm:sqref>
        </x14:conditionalFormatting>
        <x14:conditionalFormatting xmlns:xm="http://schemas.microsoft.com/office/excel/2006/main">
          <x14:cfRule type="expression" priority="1" id="{7C57923A-611D-4C6F-9DB4-D8865D2E665A}">
            <xm:f>(AND(H37&lt;&gt;"",ISERROR(VLOOKUP(H37,system!$E:$E,1,FALSE))))</xm:f>
            <x14:dxf>
              <fill>
                <patternFill>
                  <bgColor rgb="FFFF0000"/>
                </patternFill>
              </fill>
            </x14:dxf>
          </x14:cfRule>
          <xm:sqref>I37:I44</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pageSetUpPr fitToPage="1"/>
  </sheetPr>
  <dimension ref="A1:U25"/>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7" t="s">
        <v>27</v>
      </c>
      <c r="P1" s="248"/>
      <c r="Q1" s="248"/>
      <c r="R1" s="248"/>
      <c r="S1" s="248"/>
      <c r="T1" s="248"/>
      <c r="U1" s="249"/>
    </row>
    <row r="2" spans="1:21" ht="14.45" customHeight="1">
      <c r="A2" s="39"/>
      <c r="B2" s="100" t="s">
        <v>64</v>
      </c>
      <c r="C2" s="5"/>
      <c r="D2" s="5"/>
      <c r="E2" s="5"/>
      <c r="F2" s="5"/>
      <c r="G2" s="6"/>
      <c r="H2" s="7"/>
      <c r="I2" s="8"/>
      <c r="J2" s="250"/>
      <c r="K2" s="251"/>
      <c r="L2" s="250"/>
      <c r="M2" s="251"/>
      <c r="N2" s="52"/>
      <c r="O2" s="252" t="s">
        <v>481</v>
      </c>
      <c r="P2" s="253"/>
      <c r="Q2" s="253"/>
      <c r="R2" s="253"/>
      <c r="S2" s="253"/>
      <c r="T2" s="253"/>
      <c r="U2" s="254"/>
    </row>
    <row r="3" spans="1:21" ht="14.25" customHeight="1">
      <c r="A3" s="40"/>
      <c r="B3" s="35"/>
      <c r="C3" s="5"/>
      <c r="D3" s="5"/>
      <c r="E3" s="5"/>
      <c r="F3" s="5"/>
      <c r="G3" s="9"/>
      <c r="H3" s="10"/>
      <c r="I3" s="176" t="s">
        <v>1032</v>
      </c>
      <c r="J3" s="255" t="s">
        <v>1032</v>
      </c>
      <c r="K3" s="256"/>
      <c r="L3" s="255" t="s">
        <v>1032</v>
      </c>
      <c r="M3" s="256"/>
      <c r="N3" s="52"/>
      <c r="O3" s="257"/>
      <c r="P3" s="258"/>
      <c r="Q3" s="258"/>
      <c r="R3" s="258"/>
      <c r="S3" s="258"/>
      <c r="T3" s="258"/>
      <c r="U3" s="259"/>
    </row>
    <row r="4" spans="1:21" ht="14.45" customHeight="1">
      <c r="A4" s="41"/>
      <c r="B4" s="36" t="s">
        <v>3</v>
      </c>
      <c r="C4" s="5"/>
      <c r="D4" s="5"/>
      <c r="E4" s="5"/>
      <c r="F4" s="5"/>
      <c r="G4" s="6"/>
      <c r="H4" s="10"/>
      <c r="I4" s="177" t="s">
        <v>1035</v>
      </c>
      <c r="J4" s="240" t="s">
        <v>1034</v>
      </c>
      <c r="K4" s="241"/>
      <c r="L4" s="240" t="s">
        <v>1033</v>
      </c>
      <c r="M4" s="241"/>
      <c r="N4" s="52"/>
      <c r="O4" s="210"/>
      <c r="P4" s="211"/>
      <c r="Q4" s="211"/>
      <c r="R4" s="211"/>
      <c r="S4" s="211"/>
      <c r="T4" s="211"/>
      <c r="U4" s="212"/>
    </row>
    <row r="5" spans="1:21" ht="14.45" customHeight="1" thickBot="1">
      <c r="A5" s="42"/>
      <c r="B5" s="11"/>
      <c r="C5" s="11"/>
      <c r="D5" s="11"/>
      <c r="E5" s="11"/>
      <c r="F5" s="11"/>
      <c r="G5" s="12"/>
      <c r="H5" s="13"/>
      <c r="I5" s="14"/>
      <c r="J5" s="242"/>
      <c r="K5" s="243"/>
      <c r="L5" s="244"/>
      <c r="M5" s="245"/>
      <c r="N5" s="53"/>
      <c r="O5" s="246"/>
      <c r="P5" s="211"/>
      <c r="Q5" s="211"/>
      <c r="R5" s="211"/>
      <c r="S5" s="211"/>
      <c r="T5" s="211"/>
      <c r="U5" s="212"/>
    </row>
    <row r="6" spans="1:21" ht="14.45" customHeight="1">
      <c r="A6" s="43"/>
      <c r="B6" s="101" t="s">
        <v>4</v>
      </c>
      <c r="C6" s="20"/>
      <c r="D6" s="21"/>
      <c r="E6" s="222" t="s">
        <v>65</v>
      </c>
      <c r="F6" s="223"/>
      <c r="G6" s="223"/>
      <c r="H6" s="224"/>
      <c r="I6" s="60" t="s">
        <v>26</v>
      </c>
      <c r="J6" s="26"/>
      <c r="K6" s="225" t="s">
        <v>33</v>
      </c>
      <c r="L6" s="226"/>
      <c r="M6" s="227"/>
      <c r="N6" s="91" t="s">
        <v>5</v>
      </c>
      <c r="O6" s="210"/>
      <c r="P6" s="211"/>
      <c r="Q6" s="211"/>
      <c r="R6" s="211"/>
      <c r="S6" s="211"/>
      <c r="T6" s="211"/>
      <c r="U6" s="212"/>
    </row>
    <row r="7" spans="1:21" ht="15.75" customHeight="1">
      <c r="A7" s="44"/>
      <c r="B7" s="102" t="s">
        <v>6</v>
      </c>
      <c r="C7" s="22"/>
      <c r="D7" s="23"/>
      <c r="E7" s="228" t="s">
        <v>142</v>
      </c>
      <c r="F7" s="229"/>
      <c r="G7" s="229"/>
      <c r="H7" s="230"/>
      <c r="I7" s="61" t="s">
        <v>28</v>
      </c>
      <c r="J7" s="27"/>
      <c r="K7" s="231" t="s">
        <v>34</v>
      </c>
      <c r="L7" s="232"/>
      <c r="M7" s="233"/>
      <c r="N7" s="92">
        <f>COUNTIF(H14:H14,"LONG")+COUNTIF(H14:H14,"LONG RAW")</f>
        <v>0</v>
      </c>
      <c r="O7" s="210"/>
      <c r="P7" s="211"/>
      <c r="Q7" s="211"/>
      <c r="R7" s="211"/>
      <c r="S7" s="211"/>
      <c r="T7" s="211"/>
      <c r="U7" s="212"/>
    </row>
    <row r="8" spans="1:21" ht="14.45" customHeight="1">
      <c r="A8" s="45"/>
      <c r="B8" s="22" t="s">
        <v>7</v>
      </c>
      <c r="C8" s="22"/>
      <c r="D8" s="23"/>
      <c r="E8" s="228" t="s">
        <v>478</v>
      </c>
      <c r="F8" s="229"/>
      <c r="G8" s="229"/>
      <c r="H8" s="230"/>
      <c r="I8" s="62"/>
      <c r="J8" s="27"/>
      <c r="K8" s="234"/>
      <c r="L8" s="235"/>
      <c r="M8" s="236"/>
      <c r="N8" s="92"/>
      <c r="O8" s="210"/>
      <c r="P8" s="211"/>
      <c r="Q8" s="211"/>
      <c r="R8" s="211"/>
      <c r="S8" s="211"/>
      <c r="T8" s="211"/>
      <c r="U8" s="212"/>
    </row>
    <row r="9" spans="1:21" ht="14.45" customHeight="1">
      <c r="A9" s="45"/>
      <c r="B9" s="22" t="s">
        <v>8</v>
      </c>
      <c r="C9" s="22"/>
      <c r="D9" s="23"/>
      <c r="E9" s="237" t="s">
        <v>68</v>
      </c>
      <c r="F9" s="238"/>
      <c r="G9" s="238"/>
      <c r="H9" s="239"/>
      <c r="I9" s="61" t="s">
        <v>9</v>
      </c>
      <c r="J9" s="27"/>
      <c r="K9" s="86"/>
      <c r="L9" s="88">
        <f>SUM(N14:N26)</f>
        <v>58</v>
      </c>
      <c r="M9" s="82"/>
      <c r="N9" s="93">
        <f>SUMIF(M14:M14,"■",N14:N14)</f>
        <v>0</v>
      </c>
      <c r="O9" s="210"/>
      <c r="P9" s="211"/>
      <c r="Q9" s="211"/>
      <c r="R9" s="211"/>
      <c r="S9" s="211"/>
      <c r="T9" s="211"/>
      <c r="U9" s="212"/>
    </row>
    <row r="10" spans="1:21" ht="14.45" customHeight="1">
      <c r="A10" s="45"/>
      <c r="B10" s="22" t="s">
        <v>10</v>
      </c>
      <c r="C10" s="22"/>
      <c r="D10" s="23"/>
      <c r="E10" s="219" t="s">
        <v>68</v>
      </c>
      <c r="F10" s="220"/>
      <c r="G10" s="220"/>
      <c r="H10" s="221"/>
      <c r="I10" s="61" t="s">
        <v>11</v>
      </c>
      <c r="J10" s="27"/>
      <c r="K10" s="86"/>
      <c r="L10" s="89">
        <f>E11*L9/1000</f>
        <v>0</v>
      </c>
      <c r="M10" s="82"/>
      <c r="N10" s="55"/>
      <c r="O10" s="210"/>
      <c r="P10" s="211"/>
      <c r="Q10" s="211"/>
      <c r="R10" s="211"/>
      <c r="S10" s="211"/>
      <c r="T10" s="211"/>
      <c r="U10" s="212"/>
    </row>
    <row r="11" spans="1:21" ht="17.25" customHeight="1" thickBot="1">
      <c r="A11" s="46"/>
      <c r="B11" s="24" t="s">
        <v>29</v>
      </c>
      <c r="C11" s="24"/>
      <c r="D11" s="25"/>
      <c r="E11" s="207"/>
      <c r="F11" s="208"/>
      <c r="G11" s="208"/>
      <c r="H11" s="209"/>
      <c r="I11" s="103" t="s">
        <v>12</v>
      </c>
      <c r="J11" s="104"/>
      <c r="K11" s="87"/>
      <c r="L11" s="90"/>
      <c r="M11" s="83"/>
      <c r="N11" s="56"/>
      <c r="O11" s="210"/>
      <c r="P11" s="211"/>
      <c r="Q11" s="211"/>
      <c r="R11" s="211"/>
      <c r="S11" s="211"/>
      <c r="T11" s="211"/>
      <c r="U11" s="212"/>
    </row>
    <row r="12" spans="1:21" ht="15.75" customHeight="1" thickBot="1">
      <c r="A12" s="64"/>
      <c r="B12" s="65"/>
      <c r="C12" s="30"/>
      <c r="D12" s="30"/>
      <c r="E12" s="31"/>
      <c r="F12" s="32"/>
      <c r="G12" s="29"/>
      <c r="H12" s="28"/>
      <c r="I12" s="29"/>
      <c r="J12" s="30" t="s">
        <v>13</v>
      </c>
      <c r="K12" s="31"/>
      <c r="L12" s="66"/>
      <c r="M12" s="48"/>
      <c r="N12" s="57">
        <f>COUNTA(H14:H14)</f>
        <v>1</v>
      </c>
      <c r="O12" s="213"/>
      <c r="P12" s="214"/>
      <c r="Q12" s="214"/>
      <c r="R12" s="214"/>
      <c r="S12" s="214"/>
      <c r="T12" s="214"/>
      <c r="U12" s="21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16" t="s">
        <v>32</v>
      </c>
      <c r="Q13" s="217"/>
      <c r="R13" s="217"/>
      <c r="S13" s="217"/>
      <c r="T13" s="217"/>
      <c r="U13" s="218"/>
    </row>
    <row r="14" spans="1:21" ht="15.75" customHeight="1">
      <c r="A14" s="85" t="s">
        <v>188</v>
      </c>
      <c r="B14" s="37">
        <f>ROW()-13</f>
        <v>1</v>
      </c>
      <c r="C14" s="145" t="s">
        <v>186</v>
      </c>
      <c r="D14" s="80"/>
      <c r="E14" s="81"/>
      <c r="F14" s="146" t="s">
        <v>1029</v>
      </c>
      <c r="G14" s="17"/>
      <c r="H14" s="18" t="s">
        <v>49</v>
      </c>
      <c r="I14" s="59"/>
      <c r="J14" s="19">
        <v>1</v>
      </c>
      <c r="K14" s="19"/>
      <c r="L14" s="50" t="s">
        <v>187</v>
      </c>
      <c r="M14" s="73" t="s">
        <v>21</v>
      </c>
      <c r="N14" s="54">
        <f t="shared" ref="N14:N24" si="0">IF(H14="NUMBER",IF(J14&gt;0,INT((J14+1)/2+0.9),0),IF(H14="DATE",7,IF(OR(H14="LONG",H14="LONG RAW"),100000,J14)))</f>
        <v>1</v>
      </c>
      <c r="O14" s="167"/>
      <c r="P14" s="203" t="s">
        <v>174</v>
      </c>
      <c r="Q14" s="204"/>
      <c r="R14" s="204"/>
      <c r="S14" s="204"/>
      <c r="T14" s="204"/>
      <c r="U14" s="205"/>
    </row>
    <row r="15" spans="1:21" ht="15.75" customHeight="1">
      <c r="A15" s="85" t="s">
        <v>188</v>
      </c>
      <c r="B15" s="37">
        <f>ROW()-13</f>
        <v>2</v>
      </c>
      <c r="C15" s="145" t="s">
        <v>213</v>
      </c>
      <c r="D15" s="80"/>
      <c r="E15" s="81"/>
      <c r="F15" s="146" t="s">
        <v>214</v>
      </c>
      <c r="G15" s="17"/>
      <c r="H15" s="18" t="s">
        <v>49</v>
      </c>
      <c r="I15" s="59"/>
      <c r="J15" s="19">
        <v>1</v>
      </c>
      <c r="K15" s="19"/>
      <c r="L15" s="50" t="s">
        <v>187</v>
      </c>
      <c r="M15" s="73" t="s">
        <v>21</v>
      </c>
      <c r="N15" s="54">
        <f t="shared" si="0"/>
        <v>1</v>
      </c>
      <c r="O15" s="167"/>
      <c r="P15" s="203" t="s">
        <v>200</v>
      </c>
      <c r="Q15" s="204"/>
      <c r="R15" s="204"/>
      <c r="S15" s="204"/>
      <c r="T15" s="204"/>
      <c r="U15" s="205"/>
    </row>
    <row r="16" spans="1:21" ht="15.75" customHeight="1">
      <c r="A16" s="85"/>
      <c r="B16" s="37">
        <f>ROW()-13</f>
        <v>3</v>
      </c>
      <c r="C16" s="145" t="s">
        <v>482</v>
      </c>
      <c r="D16" s="80"/>
      <c r="E16" s="81"/>
      <c r="F16" s="146" t="s">
        <v>483</v>
      </c>
      <c r="G16" s="17"/>
      <c r="H16" s="18" t="s">
        <v>49</v>
      </c>
      <c r="I16" s="59"/>
      <c r="J16" s="19">
        <v>4</v>
      </c>
      <c r="K16" s="19"/>
      <c r="L16" s="50" t="s">
        <v>187</v>
      </c>
      <c r="M16" s="73" t="s">
        <v>21</v>
      </c>
      <c r="N16" s="54">
        <f t="shared" si="0"/>
        <v>4</v>
      </c>
      <c r="O16" s="167"/>
      <c r="P16" s="203" t="s">
        <v>161</v>
      </c>
      <c r="Q16" s="204"/>
      <c r="R16" s="204"/>
      <c r="S16" s="204"/>
      <c r="T16" s="204"/>
      <c r="U16" s="205"/>
    </row>
    <row r="17" spans="1:21" ht="15.75" customHeight="1">
      <c r="A17" s="85"/>
      <c r="B17" s="37">
        <f>ROW()-13</f>
        <v>4</v>
      </c>
      <c r="C17" s="145" t="s">
        <v>484</v>
      </c>
      <c r="D17" s="80"/>
      <c r="E17" s="81"/>
      <c r="F17" s="146" t="s">
        <v>485</v>
      </c>
      <c r="G17" s="17"/>
      <c r="H17" s="18" t="s">
        <v>209</v>
      </c>
      <c r="I17" s="59"/>
      <c r="J17" s="19"/>
      <c r="K17" s="19"/>
      <c r="L17" s="50" t="s">
        <v>187</v>
      </c>
      <c r="M17" s="73" t="s">
        <v>21</v>
      </c>
      <c r="N17" s="54">
        <f t="shared" si="0"/>
        <v>0</v>
      </c>
      <c r="O17" s="167"/>
      <c r="P17" s="203"/>
      <c r="Q17" s="204"/>
      <c r="R17" s="204"/>
      <c r="S17" s="204"/>
      <c r="T17" s="204"/>
      <c r="U17" s="205"/>
    </row>
    <row r="18" spans="1:21" ht="15.75">
      <c r="A18" s="85"/>
      <c r="B18" s="37">
        <f t="shared" ref="B18:B24" si="1">ROW()-13</f>
        <v>5</v>
      </c>
      <c r="C18" s="107" t="s">
        <v>36</v>
      </c>
      <c r="D18" s="107"/>
      <c r="E18" s="108"/>
      <c r="F18" s="109" t="s">
        <v>78</v>
      </c>
      <c r="G18" s="110"/>
      <c r="H18" s="18" t="s">
        <v>51</v>
      </c>
      <c r="I18" s="59"/>
      <c r="J18" s="113">
        <v>12</v>
      </c>
      <c r="K18" s="113"/>
      <c r="L18" s="114"/>
      <c r="M18" s="115" t="s">
        <v>35</v>
      </c>
      <c r="N18" s="116">
        <f t="shared" si="0"/>
        <v>12</v>
      </c>
      <c r="O18" s="168"/>
      <c r="P18" s="200"/>
      <c r="Q18" s="201"/>
      <c r="R18" s="201"/>
      <c r="S18" s="201"/>
      <c r="T18" s="201"/>
      <c r="U18" s="202"/>
    </row>
    <row r="19" spans="1:21" ht="15.75">
      <c r="A19" s="85"/>
      <c r="B19" s="37">
        <f t="shared" si="1"/>
        <v>6</v>
      </c>
      <c r="C19" s="107" t="s">
        <v>37</v>
      </c>
      <c r="D19" s="107"/>
      <c r="E19" s="108"/>
      <c r="F19" s="109" t="s">
        <v>43</v>
      </c>
      <c r="G19" s="110"/>
      <c r="H19" s="18" t="s">
        <v>51</v>
      </c>
      <c r="I19" s="59"/>
      <c r="J19" s="113">
        <v>10</v>
      </c>
      <c r="K19" s="113"/>
      <c r="L19" s="114"/>
      <c r="M19" s="115" t="s">
        <v>21</v>
      </c>
      <c r="N19" s="116">
        <f t="shared" si="0"/>
        <v>10</v>
      </c>
      <c r="O19" s="168"/>
      <c r="P19" s="200"/>
      <c r="Q19" s="201"/>
      <c r="R19" s="201"/>
      <c r="S19" s="201"/>
      <c r="T19" s="201"/>
      <c r="U19" s="202"/>
    </row>
    <row r="20" spans="1:21" ht="15.75">
      <c r="A20" s="85"/>
      <c r="B20" s="37">
        <f t="shared" si="1"/>
        <v>7</v>
      </c>
      <c r="C20" s="107" t="s">
        <v>38</v>
      </c>
      <c r="D20" s="107"/>
      <c r="E20" s="108"/>
      <c r="F20" s="109" t="s">
        <v>80</v>
      </c>
      <c r="G20" s="110"/>
      <c r="H20" s="18" t="s">
        <v>86</v>
      </c>
      <c r="I20" s="59"/>
      <c r="J20" s="113"/>
      <c r="K20" s="113"/>
      <c r="L20" s="114"/>
      <c r="M20" s="115" t="s">
        <v>21</v>
      </c>
      <c r="N20" s="116">
        <f t="shared" si="0"/>
        <v>0</v>
      </c>
      <c r="O20" s="168"/>
      <c r="P20" s="200"/>
      <c r="Q20" s="201"/>
      <c r="R20" s="201"/>
      <c r="S20" s="201"/>
      <c r="T20" s="201"/>
      <c r="U20" s="202"/>
    </row>
    <row r="21" spans="1:21" ht="15.75">
      <c r="A21" s="85"/>
      <c r="B21" s="37">
        <f t="shared" si="1"/>
        <v>8</v>
      </c>
      <c r="C21" s="107" t="s">
        <v>39</v>
      </c>
      <c r="D21" s="107"/>
      <c r="E21" s="108"/>
      <c r="F21" s="109" t="s">
        <v>79</v>
      </c>
      <c r="G21" s="110"/>
      <c r="H21" s="18" t="s">
        <v>51</v>
      </c>
      <c r="I21" s="59"/>
      <c r="J21" s="113">
        <v>12</v>
      </c>
      <c r="K21" s="113"/>
      <c r="L21" s="114"/>
      <c r="M21" s="115" t="s">
        <v>35</v>
      </c>
      <c r="N21" s="116">
        <f t="shared" si="0"/>
        <v>12</v>
      </c>
      <c r="O21" s="168"/>
      <c r="P21" s="200"/>
      <c r="Q21" s="201"/>
      <c r="R21" s="201"/>
      <c r="S21" s="201"/>
      <c r="T21" s="201"/>
      <c r="U21" s="202"/>
    </row>
    <row r="22" spans="1:21" ht="15.75">
      <c r="A22" s="85"/>
      <c r="B22" s="37">
        <f t="shared" si="1"/>
        <v>9</v>
      </c>
      <c r="C22" s="107" t="s">
        <v>40</v>
      </c>
      <c r="D22" s="107"/>
      <c r="E22" s="108"/>
      <c r="F22" s="109" t="s">
        <v>44</v>
      </c>
      <c r="G22" s="110"/>
      <c r="H22" s="18" t="s">
        <v>51</v>
      </c>
      <c r="I22" s="59"/>
      <c r="J22" s="113">
        <v>10</v>
      </c>
      <c r="K22" s="113"/>
      <c r="L22" s="114"/>
      <c r="M22" s="115" t="s">
        <v>21</v>
      </c>
      <c r="N22" s="116">
        <f t="shared" si="0"/>
        <v>10</v>
      </c>
      <c r="O22" s="168"/>
      <c r="P22" s="200"/>
      <c r="Q22" s="201"/>
      <c r="R22" s="201"/>
      <c r="S22" s="201"/>
      <c r="T22" s="201"/>
      <c r="U22" s="202"/>
    </row>
    <row r="23" spans="1:21" ht="15.75">
      <c r="A23" s="85"/>
      <c r="B23" s="37">
        <f t="shared" si="1"/>
        <v>10</v>
      </c>
      <c r="C23" s="107" t="s">
        <v>41</v>
      </c>
      <c r="D23" s="107"/>
      <c r="E23" s="108"/>
      <c r="F23" s="109" t="s">
        <v>81</v>
      </c>
      <c r="G23" s="110"/>
      <c r="H23" s="18" t="s">
        <v>86</v>
      </c>
      <c r="I23" s="59"/>
      <c r="J23" s="113"/>
      <c r="K23" s="113"/>
      <c r="L23" s="114"/>
      <c r="M23" s="115" t="s">
        <v>21</v>
      </c>
      <c r="N23" s="116">
        <f t="shared" si="0"/>
        <v>0</v>
      </c>
      <c r="O23" s="168"/>
      <c r="P23" s="200"/>
      <c r="Q23" s="201"/>
      <c r="R23" s="201"/>
      <c r="S23" s="201"/>
      <c r="T23" s="201"/>
      <c r="U23" s="202"/>
    </row>
    <row r="24" spans="1:21" ht="15.75">
      <c r="A24" s="85"/>
      <c r="B24" s="37">
        <f t="shared" si="1"/>
        <v>11</v>
      </c>
      <c r="C24" s="80" t="s">
        <v>46</v>
      </c>
      <c r="D24" s="80"/>
      <c r="E24" s="81"/>
      <c r="F24" s="84" t="s">
        <v>71</v>
      </c>
      <c r="G24" s="17"/>
      <c r="H24" s="18" t="s">
        <v>62</v>
      </c>
      <c r="I24" s="59"/>
      <c r="J24" s="19">
        <v>8</v>
      </c>
      <c r="K24" s="19"/>
      <c r="L24" s="50" t="s">
        <v>47</v>
      </c>
      <c r="M24" s="73" t="s">
        <v>35</v>
      </c>
      <c r="N24" s="54">
        <f t="shared" si="0"/>
        <v>8</v>
      </c>
      <c r="O24" s="167">
        <v>0</v>
      </c>
      <c r="P24" s="203" t="s">
        <v>48</v>
      </c>
      <c r="Q24" s="204"/>
      <c r="R24" s="204"/>
      <c r="S24" s="204"/>
      <c r="T24" s="204"/>
      <c r="U24" s="205"/>
    </row>
    <row r="25" spans="1:21" ht="16.5" thickBot="1">
      <c r="A25" s="118"/>
      <c r="B25" s="119"/>
      <c r="C25" s="120"/>
      <c r="D25" s="120"/>
      <c r="E25" s="121"/>
      <c r="F25" s="129"/>
      <c r="G25" s="122"/>
      <c r="H25" s="147"/>
      <c r="I25" s="148"/>
      <c r="J25" s="125"/>
      <c r="K25" s="125"/>
      <c r="L25" s="126"/>
      <c r="M25" s="126"/>
      <c r="N25" s="127"/>
      <c r="O25" s="169"/>
      <c r="P25" s="197"/>
      <c r="Q25" s="198"/>
      <c r="R25" s="198"/>
      <c r="S25" s="198"/>
      <c r="T25" s="198"/>
      <c r="U25" s="199"/>
    </row>
  </sheetData>
  <mergeCells count="42">
    <mergeCell ref="O1:U1"/>
    <mergeCell ref="J2:K2"/>
    <mergeCell ref="L2:M2"/>
    <mergeCell ref="O2:U2"/>
    <mergeCell ref="J3:K3"/>
    <mergeCell ref="L3:M3"/>
    <mergeCell ref="O3:U3"/>
    <mergeCell ref="J4:K4"/>
    <mergeCell ref="L4:M4"/>
    <mergeCell ref="O4:U4"/>
    <mergeCell ref="J5:K5"/>
    <mergeCell ref="L5:M5"/>
    <mergeCell ref="O5:U5"/>
    <mergeCell ref="E6:H6"/>
    <mergeCell ref="K6:M6"/>
    <mergeCell ref="O6:U6"/>
    <mergeCell ref="E7:H7"/>
    <mergeCell ref="K7:M7"/>
    <mergeCell ref="O7:U7"/>
    <mergeCell ref="P15:U15"/>
    <mergeCell ref="E8:H8"/>
    <mergeCell ref="K8:M8"/>
    <mergeCell ref="O8:U8"/>
    <mergeCell ref="E9:H9"/>
    <mergeCell ref="O9:U9"/>
    <mergeCell ref="E10:H10"/>
    <mergeCell ref="O10:U10"/>
    <mergeCell ref="E11:H11"/>
    <mergeCell ref="O11:U11"/>
    <mergeCell ref="O12:U12"/>
    <mergeCell ref="P13:U13"/>
    <mergeCell ref="P14:U14"/>
    <mergeCell ref="P22:U22"/>
    <mergeCell ref="P23:U23"/>
    <mergeCell ref="P24:U24"/>
    <mergeCell ref="P25:U25"/>
    <mergeCell ref="P16:U16"/>
    <mergeCell ref="P17:U17"/>
    <mergeCell ref="P18:U18"/>
    <mergeCell ref="P19:U19"/>
    <mergeCell ref="P20:U20"/>
    <mergeCell ref="P21:U21"/>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8673"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28674"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28675"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28676"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28677"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28678"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E1450827-5900-4538-9544-99DA6E7DC6E1}">
            <xm:f>(AND(H14&lt;&gt;"",ISERROR(VLOOKUP(H14,system!$E:$E,1,FALSE))))</xm:f>
            <x14:dxf>
              <fill>
                <patternFill patternType="solid">
                  <bgColor rgb="FFFF0000"/>
                </patternFill>
              </fill>
            </x14:dxf>
          </x14:cfRule>
          <xm:sqref>H14:H17</xm:sqref>
        </x14:conditionalFormatting>
        <x14:conditionalFormatting xmlns:xm="http://schemas.microsoft.com/office/excel/2006/main">
          <x14:cfRule type="expression" priority="3" id="{FBBF9730-DA4E-4629-A267-4F7B7E837F00}">
            <xm:f>(AND(H14&lt;&gt;"",ISERROR(VLOOKUP(H14,system!$E:$E,1,FALSE))))</xm:f>
            <x14:dxf>
              <fill>
                <patternFill>
                  <bgColor rgb="FFFF0000"/>
                </patternFill>
              </fill>
            </x14:dxf>
          </x14:cfRule>
          <xm:sqref>I14:I17</xm:sqref>
        </x14:conditionalFormatting>
        <x14:conditionalFormatting xmlns:xm="http://schemas.microsoft.com/office/excel/2006/main">
          <x14:cfRule type="expression" priority="2" id="{6F96B468-E85A-4338-8EF2-72F973C8330E}">
            <xm:f>(AND(H18&lt;&gt;"",ISERROR(VLOOKUP(H18,system!$E:$E,1,FALSE))))</xm:f>
            <x14:dxf>
              <fill>
                <patternFill patternType="solid">
                  <bgColor rgb="FFFF0000"/>
                </patternFill>
              </fill>
            </x14:dxf>
          </x14:cfRule>
          <xm:sqref>H18:H25</xm:sqref>
        </x14:conditionalFormatting>
        <x14:conditionalFormatting xmlns:xm="http://schemas.microsoft.com/office/excel/2006/main">
          <x14:cfRule type="expression" priority="1" id="{EC34FEC7-AE34-4CAB-9F95-32A2DF4E1937}">
            <xm:f>(AND(H18&lt;&gt;"",ISERROR(VLOOKUP(H18,system!$E:$E,1,FALSE))))</xm:f>
            <x14:dxf>
              <fill>
                <patternFill>
                  <bgColor rgb="FFFF0000"/>
                </patternFill>
              </fill>
            </x14:dxf>
          </x14:cfRule>
          <xm:sqref>I18:I25</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A1:U46"/>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7" t="s">
        <v>27</v>
      </c>
      <c r="P1" s="248"/>
      <c r="Q1" s="248"/>
      <c r="R1" s="248"/>
      <c r="S1" s="248"/>
      <c r="T1" s="248"/>
      <c r="U1" s="249"/>
    </row>
    <row r="2" spans="1:21" ht="14.45" customHeight="1">
      <c r="A2" s="39"/>
      <c r="B2" s="100" t="s">
        <v>64</v>
      </c>
      <c r="C2" s="5"/>
      <c r="D2" s="5"/>
      <c r="E2" s="5"/>
      <c r="F2" s="5"/>
      <c r="G2" s="6"/>
      <c r="H2" s="7"/>
      <c r="I2" s="8"/>
      <c r="J2" s="250"/>
      <c r="K2" s="251"/>
      <c r="L2" s="250"/>
      <c r="M2" s="251"/>
      <c r="N2" s="52"/>
      <c r="O2" s="252" t="s">
        <v>490</v>
      </c>
      <c r="P2" s="253"/>
      <c r="Q2" s="253"/>
      <c r="R2" s="253"/>
      <c r="S2" s="253"/>
      <c r="T2" s="253"/>
      <c r="U2" s="254"/>
    </row>
    <row r="3" spans="1:21" ht="14.25" customHeight="1">
      <c r="A3" s="40"/>
      <c r="B3" s="35"/>
      <c r="C3" s="5"/>
      <c r="D3" s="5"/>
      <c r="E3" s="5"/>
      <c r="F3" s="5"/>
      <c r="G3" s="9"/>
      <c r="H3" s="10"/>
      <c r="I3" s="176" t="s">
        <v>1032</v>
      </c>
      <c r="J3" s="255" t="s">
        <v>1032</v>
      </c>
      <c r="K3" s="256"/>
      <c r="L3" s="255" t="s">
        <v>1032</v>
      </c>
      <c r="M3" s="256"/>
      <c r="N3" s="52"/>
      <c r="O3" s="257"/>
      <c r="P3" s="258"/>
      <c r="Q3" s="258"/>
      <c r="R3" s="258"/>
      <c r="S3" s="258"/>
      <c r="T3" s="258"/>
      <c r="U3" s="259"/>
    </row>
    <row r="4" spans="1:21" ht="14.45" customHeight="1">
      <c r="A4" s="41"/>
      <c r="B4" s="36" t="s">
        <v>3</v>
      </c>
      <c r="C4" s="5"/>
      <c r="D4" s="5"/>
      <c r="E4" s="5"/>
      <c r="F4" s="5"/>
      <c r="G4" s="6"/>
      <c r="H4" s="10"/>
      <c r="I4" s="177" t="s">
        <v>1035</v>
      </c>
      <c r="J4" s="240" t="s">
        <v>1034</v>
      </c>
      <c r="K4" s="241"/>
      <c r="L4" s="240" t="s">
        <v>1033</v>
      </c>
      <c r="M4" s="241"/>
      <c r="N4" s="52"/>
      <c r="O4" s="210"/>
      <c r="P4" s="211"/>
      <c r="Q4" s="211"/>
      <c r="R4" s="211"/>
      <c r="S4" s="211"/>
      <c r="T4" s="211"/>
      <c r="U4" s="212"/>
    </row>
    <row r="5" spans="1:21" ht="14.45" customHeight="1" thickBot="1">
      <c r="A5" s="42"/>
      <c r="B5" s="11"/>
      <c r="C5" s="11"/>
      <c r="D5" s="11"/>
      <c r="E5" s="11"/>
      <c r="F5" s="11"/>
      <c r="G5" s="12"/>
      <c r="H5" s="13"/>
      <c r="I5" s="14"/>
      <c r="J5" s="242"/>
      <c r="K5" s="243"/>
      <c r="L5" s="244"/>
      <c r="M5" s="245"/>
      <c r="N5" s="53"/>
      <c r="O5" s="246"/>
      <c r="P5" s="211"/>
      <c r="Q5" s="211"/>
      <c r="R5" s="211"/>
      <c r="S5" s="211"/>
      <c r="T5" s="211"/>
      <c r="U5" s="212"/>
    </row>
    <row r="6" spans="1:21" ht="14.45" customHeight="1">
      <c r="A6" s="43"/>
      <c r="B6" s="101" t="s">
        <v>4</v>
      </c>
      <c r="C6" s="20"/>
      <c r="D6" s="21"/>
      <c r="E6" s="222" t="s">
        <v>65</v>
      </c>
      <c r="F6" s="223"/>
      <c r="G6" s="223"/>
      <c r="H6" s="224"/>
      <c r="I6" s="60" t="s">
        <v>26</v>
      </c>
      <c r="J6" s="26"/>
      <c r="K6" s="225" t="s">
        <v>33</v>
      </c>
      <c r="L6" s="226"/>
      <c r="M6" s="227"/>
      <c r="N6" s="91" t="s">
        <v>5</v>
      </c>
      <c r="O6" s="210"/>
      <c r="P6" s="211"/>
      <c r="Q6" s="211"/>
      <c r="R6" s="211"/>
      <c r="S6" s="211"/>
      <c r="T6" s="211"/>
      <c r="U6" s="212"/>
    </row>
    <row r="7" spans="1:21" ht="15.75" customHeight="1">
      <c r="A7" s="44"/>
      <c r="B7" s="102" t="s">
        <v>6</v>
      </c>
      <c r="C7" s="22"/>
      <c r="D7" s="23"/>
      <c r="E7" s="228" t="s">
        <v>144</v>
      </c>
      <c r="F7" s="229"/>
      <c r="G7" s="229"/>
      <c r="H7" s="230"/>
      <c r="I7" s="61" t="s">
        <v>28</v>
      </c>
      <c r="J7" s="27"/>
      <c r="K7" s="231" t="s">
        <v>34</v>
      </c>
      <c r="L7" s="232"/>
      <c r="M7" s="233"/>
      <c r="N7" s="92">
        <f>COUNTIF(H14:H14,"LONG")+COUNTIF(H14:H14,"LONG RAW")</f>
        <v>0</v>
      </c>
      <c r="O7" s="210"/>
      <c r="P7" s="211"/>
      <c r="Q7" s="211"/>
      <c r="R7" s="211"/>
      <c r="S7" s="211"/>
      <c r="T7" s="211"/>
      <c r="U7" s="212"/>
    </row>
    <row r="8" spans="1:21" ht="14.45" customHeight="1">
      <c r="A8" s="45"/>
      <c r="B8" s="22" t="s">
        <v>7</v>
      </c>
      <c r="C8" s="22"/>
      <c r="D8" s="23"/>
      <c r="E8" s="228" t="s">
        <v>486</v>
      </c>
      <c r="F8" s="229"/>
      <c r="G8" s="229"/>
      <c r="H8" s="230"/>
      <c r="I8" s="62"/>
      <c r="J8" s="27"/>
      <c r="K8" s="234"/>
      <c r="L8" s="235"/>
      <c r="M8" s="236"/>
      <c r="N8" s="92"/>
      <c r="O8" s="210"/>
      <c r="P8" s="211"/>
      <c r="Q8" s="211"/>
      <c r="R8" s="211"/>
      <c r="S8" s="211"/>
      <c r="T8" s="211"/>
      <c r="U8" s="212"/>
    </row>
    <row r="9" spans="1:21" ht="14.45" customHeight="1">
      <c r="A9" s="45"/>
      <c r="B9" s="22" t="s">
        <v>8</v>
      </c>
      <c r="C9" s="22"/>
      <c r="D9" s="23"/>
      <c r="E9" s="237" t="s">
        <v>68</v>
      </c>
      <c r="F9" s="238"/>
      <c r="G9" s="238"/>
      <c r="H9" s="239"/>
      <c r="I9" s="61" t="s">
        <v>9</v>
      </c>
      <c r="J9" s="27"/>
      <c r="K9" s="86"/>
      <c r="L9" s="88">
        <f>SUM(N14:N47)</f>
        <v>165</v>
      </c>
      <c r="M9" s="82"/>
      <c r="N9" s="93">
        <f>SUMIF(M14:M14,"■",N14:N14)</f>
        <v>0</v>
      </c>
      <c r="O9" s="210"/>
      <c r="P9" s="211"/>
      <c r="Q9" s="211"/>
      <c r="R9" s="211"/>
      <c r="S9" s="211"/>
      <c r="T9" s="211"/>
      <c r="U9" s="212"/>
    </row>
    <row r="10" spans="1:21" ht="14.45" customHeight="1">
      <c r="A10" s="45"/>
      <c r="B10" s="22" t="s">
        <v>10</v>
      </c>
      <c r="C10" s="22"/>
      <c r="D10" s="23"/>
      <c r="E10" s="219" t="s">
        <v>68</v>
      </c>
      <c r="F10" s="220"/>
      <c r="G10" s="220"/>
      <c r="H10" s="221"/>
      <c r="I10" s="61" t="s">
        <v>11</v>
      </c>
      <c r="J10" s="27"/>
      <c r="K10" s="86"/>
      <c r="L10" s="89">
        <f>E11*L9/1000</f>
        <v>0</v>
      </c>
      <c r="M10" s="82"/>
      <c r="N10" s="55"/>
      <c r="O10" s="210"/>
      <c r="P10" s="211"/>
      <c r="Q10" s="211"/>
      <c r="R10" s="211"/>
      <c r="S10" s="211"/>
      <c r="T10" s="211"/>
      <c r="U10" s="212"/>
    </row>
    <row r="11" spans="1:21" ht="17.25" customHeight="1" thickBot="1">
      <c r="A11" s="46"/>
      <c r="B11" s="24" t="s">
        <v>29</v>
      </c>
      <c r="C11" s="24"/>
      <c r="D11" s="25"/>
      <c r="E11" s="207"/>
      <c r="F11" s="208"/>
      <c r="G11" s="208"/>
      <c r="H11" s="209"/>
      <c r="I11" s="103" t="s">
        <v>12</v>
      </c>
      <c r="J11" s="104"/>
      <c r="K11" s="87"/>
      <c r="L11" s="90"/>
      <c r="M11" s="83"/>
      <c r="N11" s="56"/>
      <c r="O11" s="210"/>
      <c r="P11" s="211"/>
      <c r="Q11" s="211"/>
      <c r="R11" s="211"/>
      <c r="S11" s="211"/>
      <c r="T11" s="211"/>
      <c r="U11" s="212"/>
    </row>
    <row r="12" spans="1:21" ht="15.75" customHeight="1" thickBot="1">
      <c r="A12" s="64"/>
      <c r="B12" s="65"/>
      <c r="C12" s="30"/>
      <c r="D12" s="30"/>
      <c r="E12" s="31"/>
      <c r="F12" s="32"/>
      <c r="G12" s="29"/>
      <c r="H12" s="28"/>
      <c r="I12" s="29"/>
      <c r="J12" s="30" t="s">
        <v>13</v>
      </c>
      <c r="K12" s="31"/>
      <c r="L12" s="66"/>
      <c r="M12" s="48"/>
      <c r="N12" s="57">
        <f>COUNTA(H14:H14)</f>
        <v>1</v>
      </c>
      <c r="O12" s="213"/>
      <c r="P12" s="214"/>
      <c r="Q12" s="214"/>
      <c r="R12" s="214"/>
      <c r="S12" s="214"/>
      <c r="T12" s="214"/>
      <c r="U12" s="21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16" t="s">
        <v>32</v>
      </c>
      <c r="Q13" s="217"/>
      <c r="R13" s="217"/>
      <c r="S13" s="217"/>
      <c r="T13" s="217"/>
      <c r="U13" s="218"/>
    </row>
    <row r="14" spans="1:21" ht="15.75" customHeight="1">
      <c r="A14" s="85" t="s">
        <v>188</v>
      </c>
      <c r="B14" s="37">
        <f t="shared" ref="B14:B38" si="0">ROW()-13</f>
        <v>1</v>
      </c>
      <c r="C14" s="145" t="s">
        <v>186</v>
      </c>
      <c r="D14" s="80"/>
      <c r="E14" s="81"/>
      <c r="F14" s="146" t="s">
        <v>1029</v>
      </c>
      <c r="G14" s="17"/>
      <c r="H14" s="18" t="s">
        <v>49</v>
      </c>
      <c r="I14" s="59"/>
      <c r="J14" s="19">
        <v>1</v>
      </c>
      <c r="K14" s="19"/>
      <c r="L14" s="50" t="s">
        <v>187</v>
      </c>
      <c r="M14" s="73" t="s">
        <v>21</v>
      </c>
      <c r="N14" s="54">
        <f t="shared" ref="N14:N45" si="1">IF(H14="NUMBER",IF(J14&gt;0,INT((J14+1)/2+0.9),0),IF(H14="DATE",7,IF(OR(H14="LONG",H14="LONG RAW"),100000,J14)))</f>
        <v>1</v>
      </c>
      <c r="O14" s="167"/>
      <c r="P14" s="203" t="s">
        <v>174</v>
      </c>
      <c r="Q14" s="204"/>
      <c r="R14" s="204"/>
      <c r="S14" s="204"/>
      <c r="T14" s="204"/>
      <c r="U14" s="205"/>
    </row>
    <row r="15" spans="1:21" ht="15.75" customHeight="1">
      <c r="A15" s="85" t="s">
        <v>188</v>
      </c>
      <c r="B15" s="37">
        <f t="shared" si="0"/>
        <v>2</v>
      </c>
      <c r="C15" s="145" t="s">
        <v>491</v>
      </c>
      <c r="D15" s="80"/>
      <c r="E15" s="81"/>
      <c r="F15" s="146" t="s">
        <v>401</v>
      </c>
      <c r="G15" s="17"/>
      <c r="H15" s="18" t="s">
        <v>49</v>
      </c>
      <c r="I15" s="59"/>
      <c r="J15" s="19">
        <v>7</v>
      </c>
      <c r="K15" s="19"/>
      <c r="L15" s="50" t="s">
        <v>187</v>
      </c>
      <c r="M15" s="73" t="s">
        <v>21</v>
      </c>
      <c r="N15" s="54">
        <f t="shared" si="1"/>
        <v>7</v>
      </c>
      <c r="O15" s="167"/>
      <c r="P15" s="203"/>
      <c r="Q15" s="204"/>
      <c r="R15" s="204"/>
      <c r="S15" s="204"/>
      <c r="T15" s="204"/>
      <c r="U15" s="205"/>
    </row>
    <row r="16" spans="1:21" ht="15.75" customHeight="1">
      <c r="A16" s="85"/>
      <c r="B16" s="37">
        <f t="shared" si="0"/>
        <v>3</v>
      </c>
      <c r="C16" s="145" t="s">
        <v>193</v>
      </c>
      <c r="D16" s="80"/>
      <c r="E16" s="81"/>
      <c r="F16" s="146" t="s">
        <v>194</v>
      </c>
      <c r="G16" s="17"/>
      <c r="H16" s="18" t="s">
        <v>49</v>
      </c>
      <c r="I16" s="59"/>
      <c r="J16" s="19">
        <v>12</v>
      </c>
      <c r="K16" s="19"/>
      <c r="L16" s="50"/>
      <c r="M16" s="73" t="s">
        <v>21</v>
      </c>
      <c r="N16" s="54">
        <f t="shared" si="1"/>
        <v>12</v>
      </c>
      <c r="O16" s="167"/>
      <c r="P16" s="203"/>
      <c r="Q16" s="204"/>
      <c r="R16" s="204"/>
      <c r="S16" s="204"/>
      <c r="T16" s="204"/>
      <c r="U16" s="205"/>
    </row>
    <row r="17" spans="1:21" ht="15.75" customHeight="1">
      <c r="A17" s="85"/>
      <c r="B17" s="37">
        <f t="shared" si="0"/>
        <v>4</v>
      </c>
      <c r="C17" s="145" t="s">
        <v>195</v>
      </c>
      <c r="D17" s="80"/>
      <c r="E17" s="81"/>
      <c r="F17" s="146" t="s">
        <v>1058</v>
      </c>
      <c r="G17" s="17"/>
      <c r="H17" s="18" t="s">
        <v>49</v>
      </c>
      <c r="I17" s="59"/>
      <c r="J17" s="19">
        <v>1</v>
      </c>
      <c r="K17" s="19"/>
      <c r="L17" s="50" t="s">
        <v>187</v>
      </c>
      <c r="M17" s="73" t="s">
        <v>21</v>
      </c>
      <c r="N17" s="54">
        <f t="shared" si="1"/>
        <v>1</v>
      </c>
      <c r="O17" s="167"/>
      <c r="P17" s="203" t="s">
        <v>174</v>
      </c>
      <c r="Q17" s="204"/>
      <c r="R17" s="204"/>
      <c r="S17" s="204"/>
      <c r="T17" s="204"/>
      <c r="U17" s="205"/>
    </row>
    <row r="18" spans="1:21" ht="15.75" customHeight="1">
      <c r="A18" s="85"/>
      <c r="B18" s="37">
        <f t="shared" si="0"/>
        <v>5</v>
      </c>
      <c r="C18" s="145" t="s">
        <v>196</v>
      </c>
      <c r="D18" s="80"/>
      <c r="E18" s="81"/>
      <c r="F18" s="146" t="s">
        <v>197</v>
      </c>
      <c r="G18" s="17"/>
      <c r="H18" s="18" t="s">
        <v>51</v>
      </c>
      <c r="I18" s="59"/>
      <c r="J18" s="19">
        <v>25</v>
      </c>
      <c r="K18" s="19"/>
      <c r="L18" s="50" t="s">
        <v>187</v>
      </c>
      <c r="M18" s="73" t="s">
        <v>21</v>
      </c>
      <c r="N18" s="54">
        <f t="shared" si="1"/>
        <v>25</v>
      </c>
      <c r="O18" s="167"/>
      <c r="P18" s="203"/>
      <c r="Q18" s="204"/>
      <c r="R18" s="204"/>
      <c r="S18" s="204"/>
      <c r="T18" s="204"/>
      <c r="U18" s="205"/>
    </row>
    <row r="19" spans="1:21" ht="15.75" customHeight="1">
      <c r="A19" s="85"/>
      <c r="B19" s="37">
        <f t="shared" si="0"/>
        <v>6</v>
      </c>
      <c r="C19" s="145" t="s">
        <v>198</v>
      </c>
      <c r="D19" s="80"/>
      <c r="E19" s="81"/>
      <c r="F19" s="146" t="s">
        <v>199</v>
      </c>
      <c r="G19" s="17"/>
      <c r="H19" s="18" t="s">
        <v>51</v>
      </c>
      <c r="I19" s="59"/>
      <c r="J19" s="19">
        <v>4</v>
      </c>
      <c r="K19" s="19"/>
      <c r="L19" s="50" t="s">
        <v>187</v>
      </c>
      <c r="M19" s="73" t="s">
        <v>21</v>
      </c>
      <c r="N19" s="54">
        <f t="shared" si="1"/>
        <v>4</v>
      </c>
      <c r="O19" s="167"/>
      <c r="P19" s="203" t="s">
        <v>200</v>
      </c>
      <c r="Q19" s="204"/>
      <c r="R19" s="204"/>
      <c r="S19" s="204"/>
      <c r="T19" s="204"/>
      <c r="U19" s="205"/>
    </row>
    <row r="20" spans="1:21" ht="62.85" customHeight="1">
      <c r="A20" s="85"/>
      <c r="B20" s="37">
        <f t="shared" si="0"/>
        <v>7</v>
      </c>
      <c r="C20" s="145" t="s">
        <v>201</v>
      </c>
      <c r="D20" s="80"/>
      <c r="E20" s="81"/>
      <c r="F20" s="146" t="s">
        <v>202</v>
      </c>
      <c r="G20" s="17"/>
      <c r="H20" s="18" t="s">
        <v>49</v>
      </c>
      <c r="I20" s="59"/>
      <c r="J20" s="19">
        <v>1</v>
      </c>
      <c r="K20" s="19"/>
      <c r="L20" s="50" t="s">
        <v>187</v>
      </c>
      <c r="M20" s="73" t="s">
        <v>21</v>
      </c>
      <c r="N20" s="54">
        <f t="shared" si="1"/>
        <v>1</v>
      </c>
      <c r="O20" s="167"/>
      <c r="P20" s="206" t="s">
        <v>267</v>
      </c>
      <c r="Q20" s="204"/>
      <c r="R20" s="204"/>
      <c r="S20" s="204"/>
      <c r="T20" s="204"/>
      <c r="U20" s="205"/>
    </row>
    <row r="21" spans="1:21" ht="27.6" customHeight="1">
      <c r="A21" s="85"/>
      <c r="B21" s="37">
        <f t="shared" si="0"/>
        <v>8</v>
      </c>
      <c r="C21" s="145" t="s">
        <v>204</v>
      </c>
      <c r="D21" s="80"/>
      <c r="E21" s="81"/>
      <c r="F21" s="146" t="s">
        <v>205</v>
      </c>
      <c r="G21" s="17"/>
      <c r="H21" s="18" t="s">
        <v>49</v>
      </c>
      <c r="I21" s="59"/>
      <c r="J21" s="19">
        <v>1</v>
      </c>
      <c r="K21" s="19"/>
      <c r="L21" s="50" t="s">
        <v>187</v>
      </c>
      <c r="M21" s="73" t="s">
        <v>21</v>
      </c>
      <c r="N21" s="54">
        <f t="shared" si="1"/>
        <v>1</v>
      </c>
      <c r="O21" s="167"/>
      <c r="P21" s="206" t="s">
        <v>206</v>
      </c>
      <c r="Q21" s="204"/>
      <c r="R21" s="204"/>
      <c r="S21" s="204"/>
      <c r="T21" s="204"/>
      <c r="U21" s="205"/>
    </row>
    <row r="22" spans="1:21" ht="15.75" customHeight="1">
      <c r="A22" s="85"/>
      <c r="B22" s="37">
        <f t="shared" si="0"/>
        <v>9</v>
      </c>
      <c r="C22" s="145" t="s">
        <v>492</v>
      </c>
      <c r="D22" s="80"/>
      <c r="E22" s="81"/>
      <c r="F22" s="146" t="s">
        <v>493</v>
      </c>
      <c r="G22" s="17"/>
      <c r="H22" s="18" t="s">
        <v>209</v>
      </c>
      <c r="I22" s="59"/>
      <c r="J22" s="19"/>
      <c r="K22" s="19"/>
      <c r="L22" s="50"/>
      <c r="M22" s="73" t="s">
        <v>21</v>
      </c>
      <c r="N22" s="54">
        <f t="shared" si="1"/>
        <v>0</v>
      </c>
      <c r="O22" s="167"/>
      <c r="P22" s="203"/>
      <c r="Q22" s="204"/>
      <c r="R22" s="204"/>
      <c r="S22" s="204"/>
      <c r="T22" s="204"/>
      <c r="U22" s="205"/>
    </row>
    <row r="23" spans="1:21" ht="15.75" customHeight="1">
      <c r="A23" s="85"/>
      <c r="B23" s="37">
        <f t="shared" si="0"/>
        <v>10</v>
      </c>
      <c r="C23" s="145" t="s">
        <v>268</v>
      </c>
      <c r="D23" s="80"/>
      <c r="E23" s="81"/>
      <c r="F23" s="146" t="s">
        <v>269</v>
      </c>
      <c r="G23" s="17"/>
      <c r="H23" s="18" t="s">
        <v>24</v>
      </c>
      <c r="I23" s="59"/>
      <c r="J23" s="19"/>
      <c r="K23" s="19"/>
      <c r="L23" s="50"/>
      <c r="M23" s="73" t="s">
        <v>21</v>
      </c>
      <c r="N23" s="54">
        <f t="shared" si="1"/>
        <v>7</v>
      </c>
      <c r="O23" s="167"/>
      <c r="P23" s="203"/>
      <c r="Q23" s="204"/>
      <c r="R23" s="204"/>
      <c r="S23" s="204"/>
      <c r="T23" s="204"/>
      <c r="U23" s="205"/>
    </row>
    <row r="24" spans="1:21" ht="15.75" customHeight="1">
      <c r="A24" s="85"/>
      <c r="B24" s="37">
        <f t="shared" si="0"/>
        <v>11</v>
      </c>
      <c r="C24" s="145" t="s">
        <v>270</v>
      </c>
      <c r="D24" s="80"/>
      <c r="E24" s="81"/>
      <c r="F24" s="146" t="s">
        <v>271</v>
      </c>
      <c r="G24" s="17"/>
      <c r="H24" s="18" t="s">
        <v>54</v>
      </c>
      <c r="I24" s="59"/>
      <c r="J24" s="19"/>
      <c r="K24" s="19"/>
      <c r="L24" s="50"/>
      <c r="M24" s="73" t="s">
        <v>21</v>
      </c>
      <c r="N24" s="54">
        <f t="shared" si="1"/>
        <v>0</v>
      </c>
      <c r="O24" s="167"/>
      <c r="P24" s="203"/>
      <c r="Q24" s="204"/>
      <c r="R24" s="204"/>
      <c r="S24" s="204"/>
      <c r="T24" s="204"/>
      <c r="U24" s="205"/>
    </row>
    <row r="25" spans="1:21" ht="15.75" customHeight="1">
      <c r="A25" s="85"/>
      <c r="B25" s="37">
        <f t="shared" si="0"/>
        <v>12</v>
      </c>
      <c r="C25" s="145" t="s">
        <v>272</v>
      </c>
      <c r="D25" s="80"/>
      <c r="E25" s="81"/>
      <c r="F25" s="146" t="s">
        <v>273</v>
      </c>
      <c r="G25" s="17"/>
      <c r="H25" s="18" t="s">
        <v>49</v>
      </c>
      <c r="I25" s="59"/>
      <c r="J25" s="19">
        <v>1</v>
      </c>
      <c r="K25" s="19"/>
      <c r="L25" s="50"/>
      <c r="M25" s="73" t="s">
        <v>21</v>
      </c>
      <c r="N25" s="54">
        <f t="shared" si="1"/>
        <v>1</v>
      </c>
      <c r="O25" s="167"/>
      <c r="P25" s="203" t="s">
        <v>494</v>
      </c>
      <c r="Q25" s="204"/>
      <c r="R25" s="204"/>
      <c r="S25" s="204"/>
      <c r="T25" s="204"/>
      <c r="U25" s="205"/>
    </row>
    <row r="26" spans="1:21" ht="15.75" customHeight="1">
      <c r="A26" s="85"/>
      <c r="B26" s="37">
        <f t="shared" si="0"/>
        <v>13</v>
      </c>
      <c r="C26" s="145" t="s">
        <v>281</v>
      </c>
      <c r="D26" s="80"/>
      <c r="E26" s="81"/>
      <c r="F26" s="146" t="s">
        <v>282</v>
      </c>
      <c r="G26" s="17"/>
      <c r="H26" s="18" t="s">
        <v>49</v>
      </c>
      <c r="I26" s="59"/>
      <c r="J26" s="19">
        <v>5</v>
      </c>
      <c r="K26" s="19"/>
      <c r="L26" s="50"/>
      <c r="M26" s="73" t="s">
        <v>21</v>
      </c>
      <c r="N26" s="54">
        <f t="shared" si="1"/>
        <v>5</v>
      </c>
      <c r="O26" s="167"/>
      <c r="P26" s="203"/>
      <c r="Q26" s="204"/>
      <c r="R26" s="204"/>
      <c r="S26" s="204"/>
      <c r="T26" s="204"/>
      <c r="U26" s="205"/>
    </row>
    <row r="27" spans="1:21" ht="15.75" customHeight="1">
      <c r="A27" s="85"/>
      <c r="B27" s="37">
        <f t="shared" si="0"/>
        <v>14</v>
      </c>
      <c r="C27" s="145" t="s">
        <v>495</v>
      </c>
      <c r="D27" s="80"/>
      <c r="E27" s="81"/>
      <c r="F27" s="146" t="s">
        <v>276</v>
      </c>
      <c r="G27" s="17"/>
      <c r="H27" s="18" t="s">
        <v>49</v>
      </c>
      <c r="I27" s="59"/>
      <c r="J27" s="19">
        <v>3</v>
      </c>
      <c r="K27" s="19"/>
      <c r="L27" s="50"/>
      <c r="M27" s="73" t="s">
        <v>21</v>
      </c>
      <c r="N27" s="54">
        <f t="shared" si="1"/>
        <v>3</v>
      </c>
      <c r="O27" s="167"/>
      <c r="P27" s="203"/>
      <c r="Q27" s="204"/>
      <c r="R27" s="204"/>
      <c r="S27" s="204"/>
      <c r="T27" s="204"/>
      <c r="U27" s="205"/>
    </row>
    <row r="28" spans="1:21" ht="15.75" customHeight="1">
      <c r="A28" s="85"/>
      <c r="B28" s="37">
        <f t="shared" si="0"/>
        <v>15</v>
      </c>
      <c r="C28" s="145" t="s">
        <v>277</v>
      </c>
      <c r="D28" s="80"/>
      <c r="E28" s="81"/>
      <c r="F28" s="146" t="s">
        <v>278</v>
      </c>
      <c r="G28" s="17"/>
      <c r="H28" s="18" t="s">
        <v>49</v>
      </c>
      <c r="I28" s="59"/>
      <c r="J28" s="19">
        <v>4</v>
      </c>
      <c r="K28" s="19"/>
      <c r="L28" s="50"/>
      <c r="M28" s="73" t="s">
        <v>21</v>
      </c>
      <c r="N28" s="54">
        <f t="shared" si="1"/>
        <v>4</v>
      </c>
      <c r="O28" s="167"/>
      <c r="P28" s="203"/>
      <c r="Q28" s="204"/>
      <c r="R28" s="204"/>
      <c r="S28" s="204"/>
      <c r="T28" s="204"/>
      <c r="U28" s="205"/>
    </row>
    <row r="29" spans="1:21" ht="15.75" customHeight="1">
      <c r="A29" s="85"/>
      <c r="B29" s="37">
        <f t="shared" si="0"/>
        <v>16</v>
      </c>
      <c r="C29" s="145" t="s">
        <v>496</v>
      </c>
      <c r="D29" s="80"/>
      <c r="E29" s="81"/>
      <c r="F29" s="146" t="s">
        <v>497</v>
      </c>
      <c r="G29" s="17"/>
      <c r="H29" s="18" t="s">
        <v>49</v>
      </c>
      <c r="I29" s="59"/>
      <c r="J29" s="19">
        <v>10</v>
      </c>
      <c r="K29" s="19"/>
      <c r="L29" s="50"/>
      <c r="M29" s="73" t="s">
        <v>21</v>
      </c>
      <c r="N29" s="54">
        <f t="shared" si="1"/>
        <v>10</v>
      </c>
      <c r="O29" s="167"/>
      <c r="P29" s="203"/>
      <c r="Q29" s="204"/>
      <c r="R29" s="204"/>
      <c r="S29" s="204"/>
      <c r="T29" s="204"/>
      <c r="U29" s="205"/>
    </row>
    <row r="30" spans="1:21" ht="15.75" customHeight="1">
      <c r="A30" s="85"/>
      <c r="B30" s="37">
        <f t="shared" si="0"/>
        <v>17</v>
      </c>
      <c r="C30" s="145" t="s">
        <v>279</v>
      </c>
      <c r="D30" s="80"/>
      <c r="E30" s="81"/>
      <c r="F30" s="146" t="s">
        <v>280</v>
      </c>
      <c r="G30" s="17"/>
      <c r="H30" s="18" t="s">
        <v>49</v>
      </c>
      <c r="I30" s="59"/>
      <c r="J30" s="19">
        <v>10</v>
      </c>
      <c r="K30" s="19"/>
      <c r="L30" s="50"/>
      <c r="M30" s="73" t="s">
        <v>21</v>
      </c>
      <c r="N30" s="54">
        <f t="shared" si="1"/>
        <v>10</v>
      </c>
      <c r="O30" s="167"/>
      <c r="P30" s="203"/>
      <c r="Q30" s="204"/>
      <c r="R30" s="204"/>
      <c r="S30" s="204"/>
      <c r="T30" s="204"/>
      <c r="U30" s="205"/>
    </row>
    <row r="31" spans="1:21" ht="15.75" customHeight="1">
      <c r="A31" s="85"/>
      <c r="B31" s="37">
        <f t="shared" si="0"/>
        <v>18</v>
      </c>
      <c r="C31" s="145" t="s">
        <v>189</v>
      </c>
      <c r="D31" s="80"/>
      <c r="E31" s="81"/>
      <c r="F31" s="146" t="s">
        <v>190</v>
      </c>
      <c r="G31" s="17"/>
      <c r="H31" s="18" t="s">
        <v>49</v>
      </c>
      <c r="I31" s="59"/>
      <c r="J31" s="19">
        <v>7</v>
      </c>
      <c r="K31" s="19"/>
      <c r="L31" s="50"/>
      <c r="M31" s="73" t="s">
        <v>21</v>
      </c>
      <c r="N31" s="54">
        <f t="shared" si="1"/>
        <v>7</v>
      </c>
      <c r="O31" s="167"/>
      <c r="P31" s="203" t="s">
        <v>498</v>
      </c>
      <c r="Q31" s="204"/>
      <c r="R31" s="204"/>
      <c r="S31" s="204"/>
      <c r="T31" s="204"/>
      <c r="U31" s="205"/>
    </row>
    <row r="32" spans="1:21" ht="15.75" customHeight="1">
      <c r="A32" s="85"/>
      <c r="B32" s="37">
        <f t="shared" si="0"/>
        <v>19</v>
      </c>
      <c r="C32" s="145" t="s">
        <v>287</v>
      </c>
      <c r="D32" s="80"/>
      <c r="E32" s="81"/>
      <c r="F32" s="146" t="s">
        <v>288</v>
      </c>
      <c r="G32" s="17"/>
      <c r="H32" s="18" t="s">
        <v>24</v>
      </c>
      <c r="I32" s="59"/>
      <c r="J32" s="19"/>
      <c r="K32" s="19"/>
      <c r="L32" s="50"/>
      <c r="M32" s="73" t="s">
        <v>21</v>
      </c>
      <c r="N32" s="54">
        <f t="shared" si="1"/>
        <v>7</v>
      </c>
      <c r="O32" s="167"/>
      <c r="P32" s="203"/>
      <c r="Q32" s="204"/>
      <c r="R32" s="204"/>
      <c r="S32" s="204"/>
      <c r="T32" s="204"/>
      <c r="U32" s="205"/>
    </row>
    <row r="33" spans="1:21" ht="15.75" customHeight="1">
      <c r="A33" s="85"/>
      <c r="B33" s="37">
        <f t="shared" si="0"/>
        <v>20</v>
      </c>
      <c r="C33" s="145" t="s">
        <v>289</v>
      </c>
      <c r="D33" s="80"/>
      <c r="E33" s="81"/>
      <c r="F33" s="146" t="s">
        <v>290</v>
      </c>
      <c r="G33" s="17"/>
      <c r="H33" s="18" t="s">
        <v>54</v>
      </c>
      <c r="I33" s="59"/>
      <c r="J33" s="19"/>
      <c r="K33" s="19"/>
      <c r="L33" s="50"/>
      <c r="M33" s="73" t="s">
        <v>21</v>
      </c>
      <c r="N33" s="54">
        <f t="shared" si="1"/>
        <v>0</v>
      </c>
      <c r="O33" s="167"/>
      <c r="P33" s="203"/>
      <c r="Q33" s="204"/>
      <c r="R33" s="204"/>
      <c r="S33" s="204"/>
      <c r="T33" s="204"/>
      <c r="U33" s="205"/>
    </row>
    <row r="34" spans="1:21" ht="15.75" customHeight="1">
      <c r="A34" s="85"/>
      <c r="B34" s="37">
        <f t="shared" si="0"/>
        <v>21</v>
      </c>
      <c r="C34" s="145" t="s">
        <v>291</v>
      </c>
      <c r="D34" s="80"/>
      <c r="E34" s="81"/>
      <c r="F34" s="146" t="s">
        <v>292</v>
      </c>
      <c r="G34" s="17"/>
      <c r="H34" s="18" t="s">
        <v>49</v>
      </c>
      <c r="I34" s="59"/>
      <c r="J34" s="19">
        <v>3</v>
      </c>
      <c r="K34" s="19"/>
      <c r="L34" s="50"/>
      <c r="M34" s="73" t="s">
        <v>21</v>
      </c>
      <c r="N34" s="54">
        <f t="shared" si="1"/>
        <v>3</v>
      </c>
      <c r="O34" s="167"/>
      <c r="P34" s="203"/>
      <c r="Q34" s="204"/>
      <c r="R34" s="204"/>
      <c r="S34" s="204"/>
      <c r="T34" s="204"/>
      <c r="U34" s="205"/>
    </row>
    <row r="35" spans="1:21" ht="15.75" customHeight="1">
      <c r="A35" s="85"/>
      <c r="B35" s="37">
        <f t="shared" si="0"/>
        <v>22</v>
      </c>
      <c r="C35" s="145" t="s">
        <v>283</v>
      </c>
      <c r="D35" s="80"/>
      <c r="E35" s="81"/>
      <c r="F35" s="146" t="s">
        <v>284</v>
      </c>
      <c r="G35" s="17"/>
      <c r="H35" s="18" t="s">
        <v>56</v>
      </c>
      <c r="I35" s="59"/>
      <c r="J35" s="19">
        <v>1</v>
      </c>
      <c r="K35" s="19">
        <v>0</v>
      </c>
      <c r="L35" s="50"/>
      <c r="M35" s="73" t="s">
        <v>21</v>
      </c>
      <c r="N35" s="54">
        <f t="shared" si="1"/>
        <v>1</v>
      </c>
      <c r="O35" s="167">
        <v>0</v>
      </c>
      <c r="P35" s="203"/>
      <c r="Q35" s="204"/>
      <c r="R35" s="204"/>
      <c r="S35" s="204"/>
      <c r="T35" s="204"/>
      <c r="U35" s="205"/>
    </row>
    <row r="36" spans="1:21" ht="15.75" customHeight="1">
      <c r="A36" s="85"/>
      <c r="B36" s="37">
        <f t="shared" si="0"/>
        <v>23</v>
      </c>
      <c r="C36" s="145" t="s">
        <v>285</v>
      </c>
      <c r="D36" s="80"/>
      <c r="E36" s="81"/>
      <c r="F36" s="146" t="s">
        <v>286</v>
      </c>
      <c r="G36" s="17"/>
      <c r="H36" s="18" t="s">
        <v>49</v>
      </c>
      <c r="I36" s="59"/>
      <c r="J36" s="19">
        <v>1</v>
      </c>
      <c r="K36" s="19"/>
      <c r="L36" s="50"/>
      <c r="M36" s="73" t="s">
        <v>21</v>
      </c>
      <c r="N36" s="54">
        <f t="shared" si="1"/>
        <v>1</v>
      </c>
      <c r="O36" s="167"/>
      <c r="P36" s="203" t="s">
        <v>172</v>
      </c>
      <c r="Q36" s="204"/>
      <c r="R36" s="204"/>
      <c r="S36" s="204"/>
      <c r="T36" s="204"/>
      <c r="U36" s="205"/>
    </row>
    <row r="37" spans="1:21" ht="27.6" customHeight="1">
      <c r="A37" s="85"/>
      <c r="B37" s="37">
        <f t="shared" si="0"/>
        <v>24</v>
      </c>
      <c r="C37" s="145" t="s">
        <v>225</v>
      </c>
      <c r="D37" s="80"/>
      <c r="E37" s="81"/>
      <c r="F37" s="146" t="s">
        <v>226</v>
      </c>
      <c r="G37" s="17"/>
      <c r="H37" s="18" t="s">
        <v>49</v>
      </c>
      <c r="I37" s="59"/>
      <c r="J37" s="19">
        <v>1</v>
      </c>
      <c r="K37" s="19"/>
      <c r="L37" s="50" t="s">
        <v>187</v>
      </c>
      <c r="M37" s="73" t="s">
        <v>21</v>
      </c>
      <c r="N37" s="54">
        <f t="shared" si="1"/>
        <v>1</v>
      </c>
      <c r="O37" s="167"/>
      <c r="P37" s="206" t="s">
        <v>274</v>
      </c>
      <c r="Q37" s="204"/>
      <c r="R37" s="204"/>
      <c r="S37" s="204"/>
      <c r="T37" s="204"/>
      <c r="U37" s="205"/>
    </row>
    <row r="38" spans="1:21" ht="27.6" customHeight="1">
      <c r="A38" s="85"/>
      <c r="B38" s="37">
        <f t="shared" si="0"/>
        <v>25</v>
      </c>
      <c r="C38" s="145" t="s">
        <v>499</v>
      </c>
      <c r="D38" s="80"/>
      <c r="E38" s="81"/>
      <c r="F38" s="146" t="s">
        <v>500</v>
      </c>
      <c r="G38" s="17"/>
      <c r="H38" s="18" t="s">
        <v>49</v>
      </c>
      <c r="I38" s="59"/>
      <c r="J38" s="19">
        <v>1</v>
      </c>
      <c r="K38" s="19"/>
      <c r="L38" s="50"/>
      <c r="M38" s="73" t="s">
        <v>21</v>
      </c>
      <c r="N38" s="54">
        <f t="shared" si="1"/>
        <v>1</v>
      </c>
      <c r="O38" s="167"/>
      <c r="P38" s="206" t="s">
        <v>501</v>
      </c>
      <c r="Q38" s="204"/>
      <c r="R38" s="204"/>
      <c r="S38" s="204"/>
      <c r="T38" s="204"/>
      <c r="U38" s="205"/>
    </row>
    <row r="39" spans="1:21" ht="15.75">
      <c r="A39" s="85"/>
      <c r="B39" s="37">
        <f t="shared" ref="B39:B45" si="2">ROW()-13</f>
        <v>26</v>
      </c>
      <c r="C39" s="107" t="s">
        <v>36</v>
      </c>
      <c r="D39" s="107"/>
      <c r="E39" s="108"/>
      <c r="F39" s="109" t="s">
        <v>78</v>
      </c>
      <c r="G39" s="110"/>
      <c r="H39" s="18" t="s">
        <v>51</v>
      </c>
      <c r="I39" s="59"/>
      <c r="J39" s="113">
        <v>12</v>
      </c>
      <c r="K39" s="113"/>
      <c r="L39" s="114"/>
      <c r="M39" s="115" t="s">
        <v>35</v>
      </c>
      <c r="N39" s="116">
        <f t="shared" si="1"/>
        <v>12</v>
      </c>
      <c r="O39" s="168"/>
      <c r="P39" s="200"/>
      <c r="Q39" s="201"/>
      <c r="R39" s="201"/>
      <c r="S39" s="201"/>
      <c r="T39" s="201"/>
      <c r="U39" s="202"/>
    </row>
    <row r="40" spans="1:21" ht="15.75">
      <c r="A40" s="85"/>
      <c r="B40" s="37">
        <f t="shared" si="2"/>
        <v>27</v>
      </c>
      <c r="C40" s="107" t="s">
        <v>37</v>
      </c>
      <c r="D40" s="107"/>
      <c r="E40" s="108"/>
      <c r="F40" s="109" t="s">
        <v>43</v>
      </c>
      <c r="G40" s="110"/>
      <c r="H40" s="18" t="s">
        <v>51</v>
      </c>
      <c r="I40" s="59"/>
      <c r="J40" s="113">
        <v>10</v>
      </c>
      <c r="K40" s="113"/>
      <c r="L40" s="114"/>
      <c r="M40" s="115" t="s">
        <v>21</v>
      </c>
      <c r="N40" s="116">
        <f t="shared" si="1"/>
        <v>10</v>
      </c>
      <c r="O40" s="168"/>
      <c r="P40" s="200"/>
      <c r="Q40" s="201"/>
      <c r="R40" s="201"/>
      <c r="S40" s="201"/>
      <c r="T40" s="201"/>
      <c r="U40" s="202"/>
    </row>
    <row r="41" spans="1:21" ht="15.75">
      <c r="A41" s="85"/>
      <c r="B41" s="37">
        <f t="shared" si="2"/>
        <v>28</v>
      </c>
      <c r="C41" s="107" t="s">
        <v>38</v>
      </c>
      <c r="D41" s="107"/>
      <c r="E41" s="108"/>
      <c r="F41" s="109" t="s">
        <v>80</v>
      </c>
      <c r="G41" s="110"/>
      <c r="H41" s="18" t="s">
        <v>86</v>
      </c>
      <c r="I41" s="59"/>
      <c r="J41" s="113"/>
      <c r="K41" s="113"/>
      <c r="L41" s="114"/>
      <c r="M41" s="115" t="s">
        <v>21</v>
      </c>
      <c r="N41" s="116">
        <f t="shared" si="1"/>
        <v>0</v>
      </c>
      <c r="O41" s="168"/>
      <c r="P41" s="200"/>
      <c r="Q41" s="201"/>
      <c r="R41" s="201"/>
      <c r="S41" s="201"/>
      <c r="T41" s="201"/>
      <c r="U41" s="202"/>
    </row>
    <row r="42" spans="1:21" ht="15.75">
      <c r="A42" s="85"/>
      <c r="B42" s="37">
        <f t="shared" si="2"/>
        <v>29</v>
      </c>
      <c r="C42" s="107" t="s">
        <v>39</v>
      </c>
      <c r="D42" s="107"/>
      <c r="E42" s="108"/>
      <c r="F42" s="109" t="s">
        <v>79</v>
      </c>
      <c r="G42" s="110"/>
      <c r="H42" s="18" t="s">
        <v>51</v>
      </c>
      <c r="I42" s="59"/>
      <c r="J42" s="113">
        <v>12</v>
      </c>
      <c r="K42" s="113"/>
      <c r="L42" s="114"/>
      <c r="M42" s="115" t="s">
        <v>35</v>
      </c>
      <c r="N42" s="116">
        <f t="shared" si="1"/>
        <v>12</v>
      </c>
      <c r="O42" s="168"/>
      <c r="P42" s="200"/>
      <c r="Q42" s="201"/>
      <c r="R42" s="201"/>
      <c r="S42" s="201"/>
      <c r="T42" s="201"/>
      <c r="U42" s="202"/>
    </row>
    <row r="43" spans="1:21" ht="15.75">
      <c r="A43" s="85"/>
      <c r="B43" s="37">
        <f t="shared" si="2"/>
        <v>30</v>
      </c>
      <c r="C43" s="107" t="s">
        <v>40</v>
      </c>
      <c r="D43" s="107"/>
      <c r="E43" s="108"/>
      <c r="F43" s="109" t="s">
        <v>44</v>
      </c>
      <c r="G43" s="110"/>
      <c r="H43" s="18" t="s">
        <v>51</v>
      </c>
      <c r="I43" s="59"/>
      <c r="J43" s="113">
        <v>10</v>
      </c>
      <c r="K43" s="113"/>
      <c r="L43" s="114"/>
      <c r="M43" s="115" t="s">
        <v>21</v>
      </c>
      <c r="N43" s="116">
        <f t="shared" si="1"/>
        <v>10</v>
      </c>
      <c r="O43" s="168"/>
      <c r="P43" s="200"/>
      <c r="Q43" s="201"/>
      <c r="R43" s="201"/>
      <c r="S43" s="201"/>
      <c r="T43" s="201"/>
      <c r="U43" s="202"/>
    </row>
    <row r="44" spans="1:21" ht="15.75">
      <c r="A44" s="85"/>
      <c r="B44" s="37">
        <f t="shared" si="2"/>
        <v>31</v>
      </c>
      <c r="C44" s="107" t="s">
        <v>41</v>
      </c>
      <c r="D44" s="107"/>
      <c r="E44" s="108"/>
      <c r="F44" s="109" t="s">
        <v>81</v>
      </c>
      <c r="G44" s="110"/>
      <c r="H44" s="18" t="s">
        <v>86</v>
      </c>
      <c r="I44" s="59"/>
      <c r="J44" s="113"/>
      <c r="K44" s="113"/>
      <c r="L44" s="114"/>
      <c r="M44" s="115" t="s">
        <v>21</v>
      </c>
      <c r="N44" s="116">
        <f t="shared" si="1"/>
        <v>0</v>
      </c>
      <c r="O44" s="168"/>
      <c r="P44" s="200"/>
      <c r="Q44" s="201"/>
      <c r="R44" s="201"/>
      <c r="S44" s="201"/>
      <c r="T44" s="201"/>
      <c r="U44" s="202"/>
    </row>
    <row r="45" spans="1:21" ht="15.75">
      <c r="A45" s="85"/>
      <c r="B45" s="37">
        <f t="shared" si="2"/>
        <v>32</v>
      </c>
      <c r="C45" s="80" t="s">
        <v>46</v>
      </c>
      <c r="D45" s="80"/>
      <c r="E45" s="81"/>
      <c r="F45" s="84" t="s">
        <v>71</v>
      </c>
      <c r="G45" s="17"/>
      <c r="H45" s="18" t="s">
        <v>62</v>
      </c>
      <c r="I45" s="59"/>
      <c r="J45" s="19">
        <v>8</v>
      </c>
      <c r="K45" s="19"/>
      <c r="L45" s="50" t="s">
        <v>47</v>
      </c>
      <c r="M45" s="73" t="s">
        <v>35</v>
      </c>
      <c r="N45" s="54">
        <f t="shared" si="1"/>
        <v>8</v>
      </c>
      <c r="O45" s="167">
        <v>0</v>
      </c>
      <c r="P45" s="203" t="s">
        <v>48</v>
      </c>
      <c r="Q45" s="204"/>
      <c r="R45" s="204"/>
      <c r="S45" s="204"/>
      <c r="T45" s="204"/>
      <c r="U45" s="205"/>
    </row>
    <row r="46" spans="1:21" ht="16.5" thickBot="1">
      <c r="A46" s="118"/>
      <c r="B46" s="119"/>
      <c r="C46" s="120"/>
      <c r="D46" s="120"/>
      <c r="E46" s="121"/>
      <c r="F46" s="129"/>
      <c r="G46" s="122"/>
      <c r="H46" s="147"/>
      <c r="I46" s="148"/>
      <c r="J46" s="125"/>
      <c r="K46" s="125"/>
      <c r="L46" s="126"/>
      <c r="M46" s="126"/>
      <c r="N46" s="127"/>
      <c r="O46" s="169"/>
      <c r="P46" s="197"/>
      <c r="Q46" s="198"/>
      <c r="R46" s="198"/>
      <c r="S46" s="198"/>
      <c r="T46" s="198"/>
      <c r="U46" s="199"/>
    </row>
  </sheetData>
  <mergeCells count="63">
    <mergeCell ref="O1:U1"/>
    <mergeCell ref="J2:K2"/>
    <mergeCell ref="L2:M2"/>
    <mergeCell ref="O2:U2"/>
    <mergeCell ref="J3:K3"/>
    <mergeCell ref="L3:M3"/>
    <mergeCell ref="O3:U3"/>
    <mergeCell ref="J4:K4"/>
    <mergeCell ref="L4:M4"/>
    <mergeCell ref="O4:U4"/>
    <mergeCell ref="J5:K5"/>
    <mergeCell ref="L5:M5"/>
    <mergeCell ref="O5:U5"/>
    <mergeCell ref="E6:H6"/>
    <mergeCell ref="K6:M6"/>
    <mergeCell ref="O6:U6"/>
    <mergeCell ref="E7:H7"/>
    <mergeCell ref="K7:M7"/>
    <mergeCell ref="O7:U7"/>
    <mergeCell ref="P15:U15"/>
    <mergeCell ref="E8:H8"/>
    <mergeCell ref="K8:M8"/>
    <mergeCell ref="O8:U8"/>
    <mergeCell ref="E9:H9"/>
    <mergeCell ref="O9:U9"/>
    <mergeCell ref="E10:H10"/>
    <mergeCell ref="O10:U10"/>
    <mergeCell ref="E11:H11"/>
    <mergeCell ref="O11:U11"/>
    <mergeCell ref="O12:U12"/>
    <mergeCell ref="P13:U13"/>
    <mergeCell ref="P14:U14"/>
    <mergeCell ref="P27:U27"/>
    <mergeCell ref="P16:U16"/>
    <mergeCell ref="P17:U17"/>
    <mergeCell ref="P18:U18"/>
    <mergeCell ref="P19:U19"/>
    <mergeCell ref="P20:U20"/>
    <mergeCell ref="P21:U21"/>
    <mergeCell ref="P22:U22"/>
    <mergeCell ref="P23:U23"/>
    <mergeCell ref="P24:U24"/>
    <mergeCell ref="P25:U25"/>
    <mergeCell ref="P26:U26"/>
    <mergeCell ref="P39:U39"/>
    <mergeCell ref="P28:U28"/>
    <mergeCell ref="P29:U29"/>
    <mergeCell ref="P30:U30"/>
    <mergeCell ref="P31:U31"/>
    <mergeCell ref="P32:U32"/>
    <mergeCell ref="P33:U33"/>
    <mergeCell ref="P34:U34"/>
    <mergeCell ref="P35:U35"/>
    <mergeCell ref="P36:U36"/>
    <mergeCell ref="P37:U37"/>
    <mergeCell ref="P38:U38"/>
    <mergeCell ref="P46:U46"/>
    <mergeCell ref="P40:U40"/>
    <mergeCell ref="P41:U41"/>
    <mergeCell ref="P42:U42"/>
    <mergeCell ref="P43:U43"/>
    <mergeCell ref="P44:U44"/>
    <mergeCell ref="P45:U45"/>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29698"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29699"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29700"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29701"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29702"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B2232248-51A2-4126-BE68-5809391E0D3A}">
            <xm:f>(AND(H14&lt;&gt;"",ISERROR(VLOOKUP(H14,system!$E:$E,1,FALSE))))</xm:f>
            <x14:dxf>
              <fill>
                <patternFill patternType="solid">
                  <bgColor rgb="FFFF0000"/>
                </patternFill>
              </fill>
            </x14:dxf>
          </x14:cfRule>
          <xm:sqref>H14:H38</xm:sqref>
        </x14:conditionalFormatting>
        <x14:conditionalFormatting xmlns:xm="http://schemas.microsoft.com/office/excel/2006/main">
          <x14:cfRule type="expression" priority="3" id="{36B4A812-D3F1-438E-A134-6FBE2034EAE0}">
            <xm:f>(AND(H14&lt;&gt;"",ISERROR(VLOOKUP(H14,system!$E:$E,1,FALSE))))</xm:f>
            <x14:dxf>
              <fill>
                <patternFill>
                  <bgColor rgb="FFFF0000"/>
                </patternFill>
              </fill>
            </x14:dxf>
          </x14:cfRule>
          <xm:sqref>I14:I38</xm:sqref>
        </x14:conditionalFormatting>
        <x14:conditionalFormatting xmlns:xm="http://schemas.microsoft.com/office/excel/2006/main">
          <x14:cfRule type="expression" priority="2" id="{614C0A4E-D688-4BC5-B3E2-6DEB0FDD35AA}">
            <xm:f>(AND(H39&lt;&gt;"",ISERROR(VLOOKUP(H39,system!$E:$E,1,FALSE))))</xm:f>
            <x14:dxf>
              <fill>
                <patternFill patternType="solid">
                  <bgColor rgb="FFFF0000"/>
                </patternFill>
              </fill>
            </x14:dxf>
          </x14:cfRule>
          <xm:sqref>H39:H46</xm:sqref>
        </x14:conditionalFormatting>
        <x14:conditionalFormatting xmlns:xm="http://schemas.microsoft.com/office/excel/2006/main">
          <x14:cfRule type="expression" priority="1" id="{6396C50E-92BA-405A-A17C-FF98B39F092E}">
            <xm:f>(AND(H39&lt;&gt;"",ISERROR(VLOOKUP(H39,system!$E:$E,1,FALSE))))</xm:f>
            <x14:dxf>
              <fill>
                <patternFill>
                  <bgColor rgb="FFFF0000"/>
                </patternFill>
              </fill>
            </x14:dxf>
          </x14:cfRule>
          <xm:sqref>I39:I46</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A1:U37"/>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7" t="s">
        <v>27</v>
      </c>
      <c r="P1" s="248"/>
      <c r="Q1" s="248"/>
      <c r="R1" s="248"/>
      <c r="S1" s="248"/>
      <c r="T1" s="248"/>
      <c r="U1" s="249"/>
    </row>
    <row r="2" spans="1:21" ht="14.45" customHeight="1">
      <c r="A2" s="39"/>
      <c r="B2" s="100" t="s">
        <v>64</v>
      </c>
      <c r="C2" s="5"/>
      <c r="D2" s="5"/>
      <c r="E2" s="5"/>
      <c r="F2" s="5"/>
      <c r="G2" s="6"/>
      <c r="H2" s="7"/>
      <c r="I2" s="8"/>
      <c r="J2" s="250"/>
      <c r="K2" s="251"/>
      <c r="L2" s="250"/>
      <c r="M2" s="251"/>
      <c r="N2" s="52"/>
      <c r="O2" s="252" t="s">
        <v>505</v>
      </c>
      <c r="P2" s="253"/>
      <c r="Q2" s="253"/>
      <c r="R2" s="253"/>
      <c r="S2" s="253"/>
      <c r="T2" s="253"/>
      <c r="U2" s="254"/>
    </row>
    <row r="3" spans="1:21" ht="14.25" customHeight="1">
      <c r="A3" s="40"/>
      <c r="B3" s="35"/>
      <c r="C3" s="5"/>
      <c r="D3" s="5"/>
      <c r="E3" s="5"/>
      <c r="F3" s="5"/>
      <c r="G3" s="9"/>
      <c r="H3" s="10"/>
      <c r="I3" s="176" t="s">
        <v>1032</v>
      </c>
      <c r="J3" s="255" t="s">
        <v>1032</v>
      </c>
      <c r="K3" s="256"/>
      <c r="L3" s="255" t="s">
        <v>1032</v>
      </c>
      <c r="M3" s="256"/>
      <c r="N3" s="52"/>
      <c r="O3" s="257"/>
      <c r="P3" s="258"/>
      <c r="Q3" s="258"/>
      <c r="R3" s="258"/>
      <c r="S3" s="258"/>
      <c r="T3" s="258"/>
      <c r="U3" s="259"/>
    </row>
    <row r="4" spans="1:21" ht="14.45" customHeight="1">
      <c r="A4" s="41"/>
      <c r="B4" s="36" t="s">
        <v>3</v>
      </c>
      <c r="C4" s="5"/>
      <c r="D4" s="5"/>
      <c r="E4" s="5"/>
      <c r="F4" s="5"/>
      <c r="G4" s="6"/>
      <c r="H4" s="10"/>
      <c r="I4" s="177" t="s">
        <v>1035</v>
      </c>
      <c r="J4" s="240" t="s">
        <v>1034</v>
      </c>
      <c r="K4" s="241"/>
      <c r="L4" s="240" t="s">
        <v>1033</v>
      </c>
      <c r="M4" s="241"/>
      <c r="N4" s="52"/>
      <c r="O4" s="210"/>
      <c r="P4" s="211"/>
      <c r="Q4" s="211"/>
      <c r="R4" s="211"/>
      <c r="S4" s="211"/>
      <c r="T4" s="211"/>
      <c r="U4" s="212"/>
    </row>
    <row r="5" spans="1:21" ht="14.45" customHeight="1" thickBot="1">
      <c r="A5" s="42"/>
      <c r="B5" s="11"/>
      <c r="C5" s="11"/>
      <c r="D5" s="11"/>
      <c r="E5" s="11"/>
      <c r="F5" s="11"/>
      <c r="G5" s="12"/>
      <c r="H5" s="13"/>
      <c r="I5" s="14"/>
      <c r="J5" s="242"/>
      <c r="K5" s="243"/>
      <c r="L5" s="244"/>
      <c r="M5" s="245"/>
      <c r="N5" s="53"/>
      <c r="O5" s="246"/>
      <c r="P5" s="211"/>
      <c r="Q5" s="211"/>
      <c r="R5" s="211"/>
      <c r="S5" s="211"/>
      <c r="T5" s="211"/>
      <c r="U5" s="212"/>
    </row>
    <row r="6" spans="1:21" ht="14.45" customHeight="1">
      <c r="A6" s="43"/>
      <c r="B6" s="101" t="s">
        <v>4</v>
      </c>
      <c r="C6" s="20"/>
      <c r="D6" s="21"/>
      <c r="E6" s="222" t="s">
        <v>65</v>
      </c>
      <c r="F6" s="223"/>
      <c r="G6" s="223"/>
      <c r="H6" s="224"/>
      <c r="I6" s="60" t="s">
        <v>26</v>
      </c>
      <c r="J6" s="26"/>
      <c r="K6" s="225" t="s">
        <v>33</v>
      </c>
      <c r="L6" s="226"/>
      <c r="M6" s="227"/>
      <c r="N6" s="91" t="s">
        <v>5</v>
      </c>
      <c r="O6" s="210"/>
      <c r="P6" s="211"/>
      <c r="Q6" s="211"/>
      <c r="R6" s="211"/>
      <c r="S6" s="211"/>
      <c r="T6" s="211"/>
      <c r="U6" s="212"/>
    </row>
    <row r="7" spans="1:21" ht="15.75" customHeight="1">
      <c r="A7" s="44"/>
      <c r="B7" s="102" t="s">
        <v>6</v>
      </c>
      <c r="C7" s="22"/>
      <c r="D7" s="23"/>
      <c r="E7" s="228" t="s">
        <v>145</v>
      </c>
      <c r="F7" s="229"/>
      <c r="G7" s="229"/>
      <c r="H7" s="230"/>
      <c r="I7" s="61" t="s">
        <v>28</v>
      </c>
      <c r="J7" s="27"/>
      <c r="K7" s="231" t="s">
        <v>34</v>
      </c>
      <c r="L7" s="232"/>
      <c r="M7" s="233"/>
      <c r="N7" s="92">
        <f>COUNTIF(H14:H14,"LONG")+COUNTIF(H14:H14,"LONG RAW")</f>
        <v>0</v>
      </c>
      <c r="O7" s="210"/>
      <c r="P7" s="211"/>
      <c r="Q7" s="211"/>
      <c r="R7" s="211"/>
      <c r="S7" s="211"/>
      <c r="T7" s="211"/>
      <c r="U7" s="212"/>
    </row>
    <row r="8" spans="1:21" ht="14.45" customHeight="1">
      <c r="A8" s="45"/>
      <c r="B8" s="22" t="s">
        <v>7</v>
      </c>
      <c r="C8" s="22"/>
      <c r="D8" s="23"/>
      <c r="E8" s="228" t="s">
        <v>502</v>
      </c>
      <c r="F8" s="229"/>
      <c r="G8" s="229"/>
      <c r="H8" s="230"/>
      <c r="I8" s="62"/>
      <c r="J8" s="27"/>
      <c r="K8" s="234"/>
      <c r="L8" s="235"/>
      <c r="M8" s="236"/>
      <c r="N8" s="92"/>
      <c r="O8" s="210"/>
      <c r="P8" s="211"/>
      <c r="Q8" s="211"/>
      <c r="R8" s="211"/>
      <c r="S8" s="211"/>
      <c r="T8" s="211"/>
      <c r="U8" s="212"/>
    </row>
    <row r="9" spans="1:21" ht="14.45" customHeight="1">
      <c r="A9" s="45"/>
      <c r="B9" s="22" t="s">
        <v>8</v>
      </c>
      <c r="C9" s="22"/>
      <c r="D9" s="23"/>
      <c r="E9" s="237" t="s">
        <v>68</v>
      </c>
      <c r="F9" s="238"/>
      <c r="G9" s="238"/>
      <c r="H9" s="239"/>
      <c r="I9" s="61" t="s">
        <v>9</v>
      </c>
      <c r="J9" s="27"/>
      <c r="K9" s="86"/>
      <c r="L9" s="88">
        <f>SUM(N14:N38)</f>
        <v>130</v>
      </c>
      <c r="M9" s="82"/>
      <c r="N9" s="93">
        <f>SUMIF(M14:M14,"■",N14:N14)</f>
        <v>0</v>
      </c>
      <c r="O9" s="210"/>
      <c r="P9" s="211"/>
      <c r="Q9" s="211"/>
      <c r="R9" s="211"/>
      <c r="S9" s="211"/>
      <c r="T9" s="211"/>
      <c r="U9" s="212"/>
    </row>
    <row r="10" spans="1:21" ht="14.45" customHeight="1">
      <c r="A10" s="45"/>
      <c r="B10" s="22" t="s">
        <v>10</v>
      </c>
      <c r="C10" s="22"/>
      <c r="D10" s="23"/>
      <c r="E10" s="219" t="s">
        <v>68</v>
      </c>
      <c r="F10" s="220"/>
      <c r="G10" s="220"/>
      <c r="H10" s="221"/>
      <c r="I10" s="61" t="s">
        <v>11</v>
      </c>
      <c r="J10" s="27"/>
      <c r="K10" s="86"/>
      <c r="L10" s="89">
        <f>E11*L9/1000</f>
        <v>0</v>
      </c>
      <c r="M10" s="82"/>
      <c r="N10" s="55"/>
      <c r="O10" s="210"/>
      <c r="P10" s="211"/>
      <c r="Q10" s="211"/>
      <c r="R10" s="211"/>
      <c r="S10" s="211"/>
      <c r="T10" s="211"/>
      <c r="U10" s="212"/>
    </row>
    <row r="11" spans="1:21" ht="17.25" customHeight="1" thickBot="1">
      <c r="A11" s="46"/>
      <c r="B11" s="24" t="s">
        <v>29</v>
      </c>
      <c r="C11" s="24"/>
      <c r="D11" s="25"/>
      <c r="E11" s="207"/>
      <c r="F11" s="208"/>
      <c r="G11" s="208"/>
      <c r="H11" s="209"/>
      <c r="I11" s="103" t="s">
        <v>12</v>
      </c>
      <c r="J11" s="104"/>
      <c r="K11" s="87"/>
      <c r="L11" s="90"/>
      <c r="M11" s="83"/>
      <c r="N11" s="56"/>
      <c r="O11" s="210"/>
      <c r="P11" s="211"/>
      <c r="Q11" s="211"/>
      <c r="R11" s="211"/>
      <c r="S11" s="211"/>
      <c r="T11" s="211"/>
      <c r="U11" s="212"/>
    </row>
    <row r="12" spans="1:21" ht="15.75" customHeight="1" thickBot="1">
      <c r="A12" s="64"/>
      <c r="B12" s="65"/>
      <c r="C12" s="30"/>
      <c r="D12" s="30"/>
      <c r="E12" s="31"/>
      <c r="F12" s="32"/>
      <c r="G12" s="29"/>
      <c r="H12" s="28"/>
      <c r="I12" s="29"/>
      <c r="J12" s="30" t="s">
        <v>13</v>
      </c>
      <c r="K12" s="31"/>
      <c r="L12" s="66"/>
      <c r="M12" s="48"/>
      <c r="N12" s="57">
        <f>COUNTA(H14:H14)</f>
        <v>1</v>
      </c>
      <c r="O12" s="213"/>
      <c r="P12" s="214"/>
      <c r="Q12" s="214"/>
      <c r="R12" s="214"/>
      <c r="S12" s="214"/>
      <c r="T12" s="214"/>
      <c r="U12" s="21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16" t="s">
        <v>32</v>
      </c>
      <c r="Q13" s="217"/>
      <c r="R13" s="217"/>
      <c r="S13" s="217"/>
      <c r="T13" s="217"/>
      <c r="U13" s="218"/>
    </row>
    <row r="14" spans="1:21" ht="15.75" customHeight="1">
      <c r="A14" s="85" t="s">
        <v>188</v>
      </c>
      <c r="B14" s="37">
        <f t="shared" ref="B14:B29" si="0">ROW()-13</f>
        <v>1</v>
      </c>
      <c r="C14" s="145" t="s">
        <v>186</v>
      </c>
      <c r="D14" s="80"/>
      <c r="E14" s="81"/>
      <c r="F14" s="146" t="s">
        <v>1029</v>
      </c>
      <c r="G14" s="17"/>
      <c r="H14" s="18" t="s">
        <v>49</v>
      </c>
      <c r="I14" s="59"/>
      <c r="J14" s="19">
        <v>1</v>
      </c>
      <c r="K14" s="19"/>
      <c r="L14" s="50" t="s">
        <v>187</v>
      </c>
      <c r="M14" s="73" t="s">
        <v>21</v>
      </c>
      <c r="N14" s="54">
        <f t="shared" ref="N14:N36" si="1">IF(H14="NUMBER",IF(J14&gt;0,INT((J14+1)/2+0.9),0),IF(H14="DATE",7,IF(OR(H14="LONG",H14="LONG RAW"),100000,J14)))</f>
        <v>1</v>
      </c>
      <c r="O14" s="167"/>
      <c r="P14" s="203" t="s">
        <v>174</v>
      </c>
      <c r="Q14" s="204"/>
      <c r="R14" s="204"/>
      <c r="S14" s="204"/>
      <c r="T14" s="204"/>
      <c r="U14" s="205"/>
    </row>
    <row r="15" spans="1:21" ht="15.75" customHeight="1">
      <c r="A15" s="85"/>
      <c r="B15" s="37">
        <f t="shared" si="0"/>
        <v>2</v>
      </c>
      <c r="C15" s="145" t="s">
        <v>491</v>
      </c>
      <c r="D15" s="80"/>
      <c r="E15" s="81"/>
      <c r="F15" s="146" t="s">
        <v>401</v>
      </c>
      <c r="G15" s="17"/>
      <c r="H15" s="18" t="s">
        <v>49</v>
      </c>
      <c r="I15" s="59"/>
      <c r="J15" s="19">
        <v>7</v>
      </c>
      <c r="K15" s="19"/>
      <c r="L15" s="50" t="s">
        <v>187</v>
      </c>
      <c r="M15" s="73" t="s">
        <v>21</v>
      </c>
      <c r="N15" s="54">
        <f t="shared" si="1"/>
        <v>7</v>
      </c>
      <c r="O15" s="167"/>
      <c r="P15" s="203"/>
      <c r="Q15" s="204"/>
      <c r="R15" s="204"/>
      <c r="S15" s="204"/>
      <c r="T15" s="204"/>
      <c r="U15" s="205"/>
    </row>
    <row r="16" spans="1:21" ht="15.75" customHeight="1">
      <c r="A16" s="85"/>
      <c r="B16" s="37">
        <f t="shared" si="0"/>
        <v>3</v>
      </c>
      <c r="C16" s="145" t="s">
        <v>193</v>
      </c>
      <c r="D16" s="80"/>
      <c r="E16" s="81"/>
      <c r="F16" s="146" t="s">
        <v>194</v>
      </c>
      <c r="G16" s="17"/>
      <c r="H16" s="18" t="s">
        <v>49</v>
      </c>
      <c r="I16" s="59"/>
      <c r="J16" s="19">
        <v>12</v>
      </c>
      <c r="K16" s="19"/>
      <c r="L16" s="50"/>
      <c r="M16" s="73" t="s">
        <v>21</v>
      </c>
      <c r="N16" s="54">
        <f t="shared" si="1"/>
        <v>12</v>
      </c>
      <c r="O16" s="167"/>
      <c r="P16" s="203"/>
      <c r="Q16" s="204"/>
      <c r="R16" s="204"/>
      <c r="S16" s="204"/>
      <c r="T16" s="204"/>
      <c r="U16" s="205"/>
    </row>
    <row r="17" spans="1:21" ht="15.75" customHeight="1">
      <c r="A17" s="85"/>
      <c r="B17" s="37">
        <f t="shared" si="0"/>
        <v>4</v>
      </c>
      <c r="C17" s="145" t="s">
        <v>195</v>
      </c>
      <c r="D17" s="80"/>
      <c r="E17" s="81"/>
      <c r="F17" s="146" t="s">
        <v>1058</v>
      </c>
      <c r="G17" s="17"/>
      <c r="H17" s="18" t="s">
        <v>49</v>
      </c>
      <c r="I17" s="59"/>
      <c r="J17" s="19">
        <v>1</v>
      </c>
      <c r="K17" s="19"/>
      <c r="L17" s="50" t="s">
        <v>187</v>
      </c>
      <c r="M17" s="73" t="s">
        <v>21</v>
      </c>
      <c r="N17" s="54">
        <f t="shared" si="1"/>
        <v>1</v>
      </c>
      <c r="O17" s="167"/>
      <c r="P17" s="203" t="s">
        <v>174</v>
      </c>
      <c r="Q17" s="204"/>
      <c r="R17" s="204"/>
      <c r="S17" s="204"/>
      <c r="T17" s="204"/>
      <c r="U17" s="205"/>
    </row>
    <row r="18" spans="1:21" ht="15.75" customHeight="1">
      <c r="A18" s="85"/>
      <c r="B18" s="37">
        <f t="shared" si="0"/>
        <v>5</v>
      </c>
      <c r="C18" s="145" t="s">
        <v>196</v>
      </c>
      <c r="D18" s="80"/>
      <c r="E18" s="81"/>
      <c r="F18" s="146" t="s">
        <v>197</v>
      </c>
      <c r="G18" s="17"/>
      <c r="H18" s="18" t="s">
        <v>51</v>
      </c>
      <c r="I18" s="59"/>
      <c r="J18" s="19">
        <v>25</v>
      </c>
      <c r="K18" s="19"/>
      <c r="L18" s="50" t="s">
        <v>187</v>
      </c>
      <c r="M18" s="73" t="s">
        <v>21</v>
      </c>
      <c r="N18" s="54">
        <f t="shared" si="1"/>
        <v>25</v>
      </c>
      <c r="O18" s="167"/>
      <c r="P18" s="203"/>
      <c r="Q18" s="204"/>
      <c r="R18" s="204"/>
      <c r="S18" s="204"/>
      <c r="T18" s="204"/>
      <c r="U18" s="205"/>
    </row>
    <row r="19" spans="1:21" ht="15.75" customHeight="1">
      <c r="A19" s="85"/>
      <c r="B19" s="37">
        <f t="shared" si="0"/>
        <v>6</v>
      </c>
      <c r="C19" s="145" t="s">
        <v>198</v>
      </c>
      <c r="D19" s="80"/>
      <c r="E19" s="81"/>
      <c r="F19" s="146" t="s">
        <v>199</v>
      </c>
      <c r="G19" s="17"/>
      <c r="H19" s="18" t="s">
        <v>51</v>
      </c>
      <c r="I19" s="59"/>
      <c r="J19" s="19">
        <v>4</v>
      </c>
      <c r="K19" s="19"/>
      <c r="L19" s="50" t="s">
        <v>187</v>
      </c>
      <c r="M19" s="73" t="s">
        <v>21</v>
      </c>
      <c r="N19" s="54">
        <f t="shared" si="1"/>
        <v>4</v>
      </c>
      <c r="O19" s="167"/>
      <c r="P19" s="203" t="s">
        <v>200</v>
      </c>
      <c r="Q19" s="204"/>
      <c r="R19" s="204"/>
      <c r="S19" s="204"/>
      <c r="T19" s="204"/>
      <c r="U19" s="205"/>
    </row>
    <row r="20" spans="1:21" ht="62.85" customHeight="1">
      <c r="A20" s="85"/>
      <c r="B20" s="37">
        <f t="shared" si="0"/>
        <v>7</v>
      </c>
      <c r="C20" s="145" t="s">
        <v>201</v>
      </c>
      <c r="D20" s="80"/>
      <c r="E20" s="81"/>
      <c r="F20" s="146" t="s">
        <v>202</v>
      </c>
      <c r="G20" s="17"/>
      <c r="H20" s="18" t="s">
        <v>49</v>
      </c>
      <c r="I20" s="59"/>
      <c r="J20" s="19">
        <v>1</v>
      </c>
      <c r="K20" s="19"/>
      <c r="L20" s="50" t="s">
        <v>187</v>
      </c>
      <c r="M20" s="73" t="s">
        <v>21</v>
      </c>
      <c r="N20" s="54">
        <f t="shared" si="1"/>
        <v>1</v>
      </c>
      <c r="O20" s="167"/>
      <c r="P20" s="206" t="s">
        <v>267</v>
      </c>
      <c r="Q20" s="204"/>
      <c r="R20" s="204"/>
      <c r="S20" s="204"/>
      <c r="T20" s="204"/>
      <c r="U20" s="205"/>
    </row>
    <row r="21" spans="1:21" ht="27.6" customHeight="1">
      <c r="A21" s="85"/>
      <c r="B21" s="37">
        <f t="shared" si="0"/>
        <v>8</v>
      </c>
      <c r="C21" s="145" t="s">
        <v>204</v>
      </c>
      <c r="D21" s="80"/>
      <c r="E21" s="81"/>
      <c r="F21" s="146" t="s">
        <v>205</v>
      </c>
      <c r="G21" s="17"/>
      <c r="H21" s="18" t="s">
        <v>49</v>
      </c>
      <c r="I21" s="59"/>
      <c r="J21" s="19">
        <v>1</v>
      </c>
      <c r="K21" s="19"/>
      <c r="L21" s="50" t="s">
        <v>187</v>
      </c>
      <c r="M21" s="73" t="s">
        <v>21</v>
      </c>
      <c r="N21" s="54">
        <f t="shared" si="1"/>
        <v>1</v>
      </c>
      <c r="O21" s="167"/>
      <c r="P21" s="206" t="s">
        <v>206</v>
      </c>
      <c r="Q21" s="204"/>
      <c r="R21" s="204"/>
      <c r="S21" s="204"/>
      <c r="T21" s="204"/>
      <c r="U21" s="205"/>
    </row>
    <row r="22" spans="1:21" ht="15.75" customHeight="1">
      <c r="A22" s="85"/>
      <c r="B22" s="37">
        <f t="shared" si="0"/>
        <v>9</v>
      </c>
      <c r="C22" s="145" t="s">
        <v>506</v>
      </c>
      <c r="D22" s="80"/>
      <c r="E22" s="81"/>
      <c r="F22" s="146" t="s">
        <v>507</v>
      </c>
      <c r="G22" s="17"/>
      <c r="H22" s="18" t="s">
        <v>209</v>
      </c>
      <c r="I22" s="59"/>
      <c r="J22" s="19"/>
      <c r="K22" s="19"/>
      <c r="L22" s="50"/>
      <c r="M22" s="73" t="s">
        <v>21</v>
      </c>
      <c r="N22" s="54">
        <f t="shared" si="1"/>
        <v>0</v>
      </c>
      <c r="O22" s="167"/>
      <c r="P22" s="203"/>
      <c r="Q22" s="204"/>
      <c r="R22" s="204"/>
      <c r="S22" s="204"/>
      <c r="T22" s="204"/>
      <c r="U22" s="205"/>
    </row>
    <row r="23" spans="1:21" ht="15.75" customHeight="1">
      <c r="A23" s="85"/>
      <c r="B23" s="37">
        <f t="shared" si="0"/>
        <v>10</v>
      </c>
      <c r="C23" s="145" t="s">
        <v>268</v>
      </c>
      <c r="D23" s="80"/>
      <c r="E23" s="81"/>
      <c r="F23" s="146" t="s">
        <v>269</v>
      </c>
      <c r="G23" s="17"/>
      <c r="H23" s="18" t="s">
        <v>24</v>
      </c>
      <c r="I23" s="59"/>
      <c r="J23" s="19"/>
      <c r="K23" s="19"/>
      <c r="L23" s="50"/>
      <c r="M23" s="73" t="s">
        <v>21</v>
      </c>
      <c r="N23" s="54">
        <f t="shared" si="1"/>
        <v>7</v>
      </c>
      <c r="O23" s="167"/>
      <c r="P23" s="203"/>
      <c r="Q23" s="204"/>
      <c r="R23" s="204"/>
      <c r="S23" s="204"/>
      <c r="T23" s="204"/>
      <c r="U23" s="205"/>
    </row>
    <row r="24" spans="1:21" ht="15.75" customHeight="1">
      <c r="A24" s="85"/>
      <c r="B24" s="37">
        <f t="shared" si="0"/>
        <v>11</v>
      </c>
      <c r="C24" s="145" t="s">
        <v>270</v>
      </c>
      <c r="D24" s="80"/>
      <c r="E24" s="81"/>
      <c r="F24" s="146" t="s">
        <v>271</v>
      </c>
      <c r="G24" s="17"/>
      <c r="H24" s="18" t="s">
        <v>54</v>
      </c>
      <c r="I24" s="59"/>
      <c r="J24" s="19"/>
      <c r="K24" s="19"/>
      <c r="L24" s="50"/>
      <c r="M24" s="73" t="s">
        <v>21</v>
      </c>
      <c r="N24" s="54">
        <f t="shared" si="1"/>
        <v>0</v>
      </c>
      <c r="O24" s="167"/>
      <c r="P24" s="203"/>
      <c r="Q24" s="204"/>
      <c r="R24" s="204"/>
      <c r="S24" s="204"/>
      <c r="T24" s="204"/>
      <c r="U24" s="205"/>
    </row>
    <row r="25" spans="1:21" ht="15.75" customHeight="1">
      <c r="A25" s="85"/>
      <c r="B25" s="37">
        <f t="shared" si="0"/>
        <v>12</v>
      </c>
      <c r="C25" s="145" t="s">
        <v>281</v>
      </c>
      <c r="D25" s="80"/>
      <c r="E25" s="81"/>
      <c r="F25" s="146" t="s">
        <v>282</v>
      </c>
      <c r="G25" s="17"/>
      <c r="H25" s="18" t="s">
        <v>49</v>
      </c>
      <c r="I25" s="59"/>
      <c r="J25" s="19">
        <v>5</v>
      </c>
      <c r="K25" s="19"/>
      <c r="L25" s="50"/>
      <c r="M25" s="73" t="s">
        <v>21</v>
      </c>
      <c r="N25" s="54">
        <f t="shared" si="1"/>
        <v>5</v>
      </c>
      <c r="O25" s="167"/>
      <c r="P25" s="203"/>
      <c r="Q25" s="204"/>
      <c r="R25" s="204"/>
      <c r="S25" s="204"/>
      <c r="T25" s="204"/>
      <c r="U25" s="205"/>
    </row>
    <row r="26" spans="1:21" ht="15.75" customHeight="1">
      <c r="A26" s="85"/>
      <c r="B26" s="37">
        <f t="shared" si="0"/>
        <v>13</v>
      </c>
      <c r="C26" s="145" t="s">
        <v>495</v>
      </c>
      <c r="D26" s="80"/>
      <c r="E26" s="81"/>
      <c r="F26" s="146" t="s">
        <v>276</v>
      </c>
      <c r="G26" s="17"/>
      <c r="H26" s="18" t="s">
        <v>49</v>
      </c>
      <c r="I26" s="59"/>
      <c r="J26" s="19">
        <v>3</v>
      </c>
      <c r="K26" s="19"/>
      <c r="L26" s="50"/>
      <c r="M26" s="73" t="s">
        <v>21</v>
      </c>
      <c r="N26" s="54">
        <f t="shared" si="1"/>
        <v>3</v>
      </c>
      <c r="O26" s="167"/>
      <c r="P26" s="203"/>
      <c r="Q26" s="204"/>
      <c r="R26" s="204"/>
      <c r="S26" s="204"/>
      <c r="T26" s="204"/>
      <c r="U26" s="205"/>
    </row>
    <row r="27" spans="1:21" ht="15.75" customHeight="1">
      <c r="A27" s="85"/>
      <c r="B27" s="37">
        <f t="shared" si="0"/>
        <v>14</v>
      </c>
      <c r="C27" s="145" t="s">
        <v>277</v>
      </c>
      <c r="D27" s="80"/>
      <c r="E27" s="81"/>
      <c r="F27" s="146" t="s">
        <v>278</v>
      </c>
      <c r="G27" s="17"/>
      <c r="H27" s="18" t="s">
        <v>49</v>
      </c>
      <c r="I27" s="59"/>
      <c r="J27" s="19">
        <v>4</v>
      </c>
      <c r="K27" s="19"/>
      <c r="L27" s="50"/>
      <c r="M27" s="73" t="s">
        <v>21</v>
      </c>
      <c r="N27" s="54">
        <f t="shared" si="1"/>
        <v>4</v>
      </c>
      <c r="O27" s="167"/>
      <c r="P27" s="203"/>
      <c r="Q27" s="204"/>
      <c r="R27" s="204"/>
      <c r="S27" s="204"/>
      <c r="T27" s="204"/>
      <c r="U27" s="205"/>
    </row>
    <row r="28" spans="1:21" ht="15.75" customHeight="1">
      <c r="A28" s="85"/>
      <c r="B28" s="37">
        <f t="shared" si="0"/>
        <v>15</v>
      </c>
      <c r="C28" s="145" t="s">
        <v>287</v>
      </c>
      <c r="D28" s="80"/>
      <c r="E28" s="81"/>
      <c r="F28" s="146" t="s">
        <v>288</v>
      </c>
      <c r="G28" s="17"/>
      <c r="H28" s="18" t="s">
        <v>24</v>
      </c>
      <c r="I28" s="59"/>
      <c r="J28" s="19"/>
      <c r="K28" s="19"/>
      <c r="L28" s="50"/>
      <c r="M28" s="73" t="s">
        <v>21</v>
      </c>
      <c r="N28" s="54">
        <f t="shared" si="1"/>
        <v>7</v>
      </c>
      <c r="O28" s="167"/>
      <c r="P28" s="203"/>
      <c r="Q28" s="204"/>
      <c r="R28" s="204"/>
      <c r="S28" s="204"/>
      <c r="T28" s="204"/>
      <c r="U28" s="205"/>
    </row>
    <row r="29" spans="1:21" ht="15.75" customHeight="1">
      <c r="A29" s="85"/>
      <c r="B29" s="37">
        <f t="shared" si="0"/>
        <v>16</v>
      </c>
      <c r="C29" s="145" t="s">
        <v>289</v>
      </c>
      <c r="D29" s="80"/>
      <c r="E29" s="81"/>
      <c r="F29" s="146" t="s">
        <v>290</v>
      </c>
      <c r="G29" s="17"/>
      <c r="H29" s="18" t="s">
        <v>54</v>
      </c>
      <c r="I29" s="59"/>
      <c r="J29" s="19"/>
      <c r="K29" s="19"/>
      <c r="L29" s="50"/>
      <c r="M29" s="73" t="s">
        <v>21</v>
      </c>
      <c r="N29" s="54">
        <f t="shared" si="1"/>
        <v>0</v>
      </c>
      <c r="O29" s="167"/>
      <c r="P29" s="203"/>
      <c r="Q29" s="204"/>
      <c r="R29" s="204"/>
      <c r="S29" s="204"/>
      <c r="T29" s="204"/>
      <c r="U29" s="205"/>
    </row>
    <row r="30" spans="1:21" ht="15.75">
      <c r="A30" s="85"/>
      <c r="B30" s="37">
        <f t="shared" ref="B30:B36" si="2">ROW()-13</f>
        <v>17</v>
      </c>
      <c r="C30" s="107" t="s">
        <v>36</v>
      </c>
      <c r="D30" s="107"/>
      <c r="E30" s="108"/>
      <c r="F30" s="109" t="s">
        <v>78</v>
      </c>
      <c r="G30" s="110"/>
      <c r="H30" s="18" t="s">
        <v>51</v>
      </c>
      <c r="I30" s="59"/>
      <c r="J30" s="113">
        <v>12</v>
      </c>
      <c r="K30" s="113"/>
      <c r="L30" s="114"/>
      <c r="M30" s="115" t="s">
        <v>35</v>
      </c>
      <c r="N30" s="116">
        <f t="shared" si="1"/>
        <v>12</v>
      </c>
      <c r="O30" s="168"/>
      <c r="P30" s="200"/>
      <c r="Q30" s="201"/>
      <c r="R30" s="201"/>
      <c r="S30" s="201"/>
      <c r="T30" s="201"/>
      <c r="U30" s="202"/>
    </row>
    <row r="31" spans="1:21" ht="15.75">
      <c r="A31" s="85"/>
      <c r="B31" s="37">
        <f t="shared" si="2"/>
        <v>18</v>
      </c>
      <c r="C31" s="107" t="s">
        <v>37</v>
      </c>
      <c r="D31" s="107"/>
      <c r="E31" s="108"/>
      <c r="F31" s="109" t="s">
        <v>43</v>
      </c>
      <c r="G31" s="110"/>
      <c r="H31" s="18" t="s">
        <v>51</v>
      </c>
      <c r="I31" s="59"/>
      <c r="J31" s="113">
        <v>10</v>
      </c>
      <c r="K31" s="113"/>
      <c r="L31" s="114"/>
      <c r="M31" s="115" t="s">
        <v>21</v>
      </c>
      <c r="N31" s="116">
        <f t="shared" si="1"/>
        <v>10</v>
      </c>
      <c r="O31" s="168"/>
      <c r="P31" s="200"/>
      <c r="Q31" s="201"/>
      <c r="R31" s="201"/>
      <c r="S31" s="201"/>
      <c r="T31" s="201"/>
      <c r="U31" s="202"/>
    </row>
    <row r="32" spans="1:21" ht="15.75">
      <c r="A32" s="85"/>
      <c r="B32" s="37">
        <f t="shared" si="2"/>
        <v>19</v>
      </c>
      <c r="C32" s="107" t="s">
        <v>38</v>
      </c>
      <c r="D32" s="107"/>
      <c r="E32" s="108"/>
      <c r="F32" s="109" t="s">
        <v>80</v>
      </c>
      <c r="G32" s="110"/>
      <c r="H32" s="18" t="s">
        <v>86</v>
      </c>
      <c r="I32" s="59"/>
      <c r="J32" s="113"/>
      <c r="K32" s="113"/>
      <c r="L32" s="114"/>
      <c r="M32" s="115" t="s">
        <v>21</v>
      </c>
      <c r="N32" s="116">
        <f t="shared" si="1"/>
        <v>0</v>
      </c>
      <c r="O32" s="168"/>
      <c r="P32" s="200"/>
      <c r="Q32" s="201"/>
      <c r="R32" s="201"/>
      <c r="S32" s="201"/>
      <c r="T32" s="201"/>
      <c r="U32" s="202"/>
    </row>
    <row r="33" spans="1:21" ht="15.75">
      <c r="A33" s="85"/>
      <c r="B33" s="37">
        <f t="shared" si="2"/>
        <v>20</v>
      </c>
      <c r="C33" s="107" t="s">
        <v>39</v>
      </c>
      <c r="D33" s="107"/>
      <c r="E33" s="108"/>
      <c r="F33" s="109" t="s">
        <v>79</v>
      </c>
      <c r="G33" s="110"/>
      <c r="H33" s="18" t="s">
        <v>51</v>
      </c>
      <c r="I33" s="59"/>
      <c r="J33" s="113">
        <v>12</v>
      </c>
      <c r="K33" s="113"/>
      <c r="L33" s="114"/>
      <c r="M33" s="115" t="s">
        <v>35</v>
      </c>
      <c r="N33" s="116">
        <f t="shared" si="1"/>
        <v>12</v>
      </c>
      <c r="O33" s="168"/>
      <c r="P33" s="200"/>
      <c r="Q33" s="201"/>
      <c r="R33" s="201"/>
      <c r="S33" s="201"/>
      <c r="T33" s="201"/>
      <c r="U33" s="202"/>
    </row>
    <row r="34" spans="1:21" ht="15.75">
      <c r="A34" s="85"/>
      <c r="B34" s="37">
        <f t="shared" si="2"/>
        <v>21</v>
      </c>
      <c r="C34" s="107" t="s">
        <v>40</v>
      </c>
      <c r="D34" s="107"/>
      <c r="E34" s="108"/>
      <c r="F34" s="109" t="s">
        <v>44</v>
      </c>
      <c r="G34" s="110"/>
      <c r="H34" s="18" t="s">
        <v>51</v>
      </c>
      <c r="I34" s="59"/>
      <c r="J34" s="113">
        <v>10</v>
      </c>
      <c r="K34" s="113"/>
      <c r="L34" s="114"/>
      <c r="M34" s="115" t="s">
        <v>21</v>
      </c>
      <c r="N34" s="116">
        <f t="shared" si="1"/>
        <v>10</v>
      </c>
      <c r="O34" s="168"/>
      <c r="P34" s="200"/>
      <c r="Q34" s="201"/>
      <c r="R34" s="201"/>
      <c r="S34" s="201"/>
      <c r="T34" s="201"/>
      <c r="U34" s="202"/>
    </row>
    <row r="35" spans="1:21" ht="15.75">
      <c r="A35" s="85"/>
      <c r="B35" s="37">
        <f t="shared" si="2"/>
        <v>22</v>
      </c>
      <c r="C35" s="107" t="s">
        <v>41</v>
      </c>
      <c r="D35" s="107"/>
      <c r="E35" s="108"/>
      <c r="F35" s="109" t="s">
        <v>81</v>
      </c>
      <c r="G35" s="110"/>
      <c r="H35" s="18" t="s">
        <v>86</v>
      </c>
      <c r="I35" s="59"/>
      <c r="J35" s="113"/>
      <c r="K35" s="113"/>
      <c r="L35" s="114"/>
      <c r="M35" s="115" t="s">
        <v>21</v>
      </c>
      <c r="N35" s="116">
        <f t="shared" si="1"/>
        <v>0</v>
      </c>
      <c r="O35" s="168"/>
      <c r="P35" s="200"/>
      <c r="Q35" s="201"/>
      <c r="R35" s="201"/>
      <c r="S35" s="201"/>
      <c r="T35" s="201"/>
      <c r="U35" s="202"/>
    </row>
    <row r="36" spans="1:21" ht="15.75">
      <c r="A36" s="85"/>
      <c r="B36" s="37">
        <f t="shared" si="2"/>
        <v>23</v>
      </c>
      <c r="C36" s="80" t="s">
        <v>46</v>
      </c>
      <c r="D36" s="80"/>
      <c r="E36" s="81"/>
      <c r="F36" s="84" t="s">
        <v>71</v>
      </c>
      <c r="G36" s="17"/>
      <c r="H36" s="18" t="s">
        <v>62</v>
      </c>
      <c r="I36" s="59"/>
      <c r="J36" s="19">
        <v>8</v>
      </c>
      <c r="K36" s="19"/>
      <c r="L36" s="50" t="s">
        <v>47</v>
      </c>
      <c r="M36" s="73" t="s">
        <v>35</v>
      </c>
      <c r="N36" s="54">
        <f t="shared" si="1"/>
        <v>8</v>
      </c>
      <c r="O36" s="167">
        <v>0</v>
      </c>
      <c r="P36" s="203" t="s">
        <v>48</v>
      </c>
      <c r="Q36" s="204"/>
      <c r="R36" s="204"/>
      <c r="S36" s="204"/>
      <c r="T36" s="204"/>
      <c r="U36" s="205"/>
    </row>
    <row r="37" spans="1:21" ht="16.5" thickBot="1">
      <c r="A37" s="118"/>
      <c r="B37" s="119"/>
      <c r="C37" s="120"/>
      <c r="D37" s="120"/>
      <c r="E37" s="121"/>
      <c r="F37" s="129"/>
      <c r="G37" s="122"/>
      <c r="H37" s="147"/>
      <c r="I37" s="148"/>
      <c r="J37" s="125"/>
      <c r="K37" s="125"/>
      <c r="L37" s="126"/>
      <c r="M37" s="126"/>
      <c r="N37" s="127"/>
      <c r="O37" s="169"/>
      <c r="P37" s="197"/>
      <c r="Q37" s="198"/>
      <c r="R37" s="198"/>
      <c r="S37" s="198"/>
      <c r="T37" s="198"/>
      <c r="U37" s="199"/>
    </row>
  </sheetData>
  <mergeCells count="54">
    <mergeCell ref="O1:U1"/>
    <mergeCell ref="J2:K2"/>
    <mergeCell ref="L2:M2"/>
    <mergeCell ref="O2:U2"/>
    <mergeCell ref="J3:K3"/>
    <mergeCell ref="L3:M3"/>
    <mergeCell ref="O3:U3"/>
    <mergeCell ref="J4:K4"/>
    <mergeCell ref="L4:M4"/>
    <mergeCell ref="O4:U4"/>
    <mergeCell ref="J5:K5"/>
    <mergeCell ref="L5:M5"/>
    <mergeCell ref="O5:U5"/>
    <mergeCell ref="E6:H6"/>
    <mergeCell ref="K6:M6"/>
    <mergeCell ref="O6:U6"/>
    <mergeCell ref="E7:H7"/>
    <mergeCell ref="K7:M7"/>
    <mergeCell ref="O7:U7"/>
    <mergeCell ref="P15:U15"/>
    <mergeCell ref="E8:H8"/>
    <mergeCell ref="K8:M8"/>
    <mergeCell ref="O8:U8"/>
    <mergeCell ref="E9:H9"/>
    <mergeCell ref="O9:U9"/>
    <mergeCell ref="E10:H10"/>
    <mergeCell ref="O10:U10"/>
    <mergeCell ref="E11:H11"/>
    <mergeCell ref="O11:U11"/>
    <mergeCell ref="O12:U12"/>
    <mergeCell ref="P13:U13"/>
    <mergeCell ref="P14:U14"/>
    <mergeCell ref="P27:U27"/>
    <mergeCell ref="P16:U16"/>
    <mergeCell ref="P17:U17"/>
    <mergeCell ref="P18:U18"/>
    <mergeCell ref="P19:U19"/>
    <mergeCell ref="P20:U20"/>
    <mergeCell ref="P21:U21"/>
    <mergeCell ref="P22:U22"/>
    <mergeCell ref="P23:U23"/>
    <mergeCell ref="P24:U24"/>
    <mergeCell ref="P25:U25"/>
    <mergeCell ref="P26:U26"/>
    <mergeCell ref="P34:U34"/>
    <mergeCell ref="P35:U35"/>
    <mergeCell ref="P36:U36"/>
    <mergeCell ref="P37:U37"/>
    <mergeCell ref="P28:U28"/>
    <mergeCell ref="P29:U29"/>
    <mergeCell ref="P30:U30"/>
    <mergeCell ref="P31:U31"/>
    <mergeCell ref="P32:U32"/>
    <mergeCell ref="P33:U3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21"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30722"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30723"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30724"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30725"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30726"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0BE2566D-7AAC-4A02-9DFC-083C50A9A774}">
            <xm:f>(AND(H14&lt;&gt;"",ISERROR(VLOOKUP(H14,system!$E:$E,1,FALSE))))</xm:f>
            <x14:dxf>
              <fill>
                <patternFill patternType="solid">
                  <bgColor rgb="FFFF0000"/>
                </patternFill>
              </fill>
            </x14:dxf>
          </x14:cfRule>
          <xm:sqref>H14:H29</xm:sqref>
        </x14:conditionalFormatting>
        <x14:conditionalFormatting xmlns:xm="http://schemas.microsoft.com/office/excel/2006/main">
          <x14:cfRule type="expression" priority="3" id="{67712F20-D511-48C0-960B-BDFA2AAE4AEC}">
            <xm:f>(AND(H14&lt;&gt;"",ISERROR(VLOOKUP(H14,system!$E:$E,1,FALSE))))</xm:f>
            <x14:dxf>
              <fill>
                <patternFill>
                  <bgColor rgb="FFFF0000"/>
                </patternFill>
              </fill>
            </x14:dxf>
          </x14:cfRule>
          <xm:sqref>I14:I29</xm:sqref>
        </x14:conditionalFormatting>
        <x14:conditionalFormatting xmlns:xm="http://schemas.microsoft.com/office/excel/2006/main">
          <x14:cfRule type="expression" priority="2" id="{08BB9537-3756-471A-A536-BE1A58814358}">
            <xm:f>(AND(H30&lt;&gt;"",ISERROR(VLOOKUP(H30,system!$E:$E,1,FALSE))))</xm:f>
            <x14:dxf>
              <fill>
                <patternFill patternType="solid">
                  <bgColor rgb="FFFF0000"/>
                </patternFill>
              </fill>
            </x14:dxf>
          </x14:cfRule>
          <xm:sqref>H30:H37</xm:sqref>
        </x14:conditionalFormatting>
        <x14:conditionalFormatting xmlns:xm="http://schemas.microsoft.com/office/excel/2006/main">
          <x14:cfRule type="expression" priority="1" id="{CAA4881F-B9AF-4ED5-BF34-1FD3B98F5CE8}">
            <xm:f>(AND(H30&lt;&gt;"",ISERROR(VLOOKUP(H30,system!$E:$E,1,FALSE))))</xm:f>
            <x14:dxf>
              <fill>
                <patternFill>
                  <bgColor rgb="FFFF0000"/>
                </patternFill>
              </fill>
            </x14:dxf>
          </x14:cfRule>
          <xm:sqref>I30:I37</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A1:U37"/>
  <sheetViews>
    <sheetView showGridLines="0" zoomScaleNormal="100" workbookViewId="0">
      <pane ySplit="13" topLeftCell="A14" activePane="bottomLeft" state="frozen"/>
      <selection activeCell="D13" sqref="D13"/>
      <selection pane="bottomLeft" activeCell="F12" sqref="F12"/>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7" t="s">
        <v>27</v>
      </c>
      <c r="P1" s="248"/>
      <c r="Q1" s="248"/>
      <c r="R1" s="248"/>
      <c r="S1" s="248"/>
      <c r="T1" s="248"/>
      <c r="U1" s="249"/>
    </row>
    <row r="2" spans="1:21" ht="14.45" customHeight="1">
      <c r="A2" s="39"/>
      <c r="B2" s="100" t="s">
        <v>64</v>
      </c>
      <c r="C2" s="5"/>
      <c r="D2" s="5"/>
      <c r="E2" s="5"/>
      <c r="F2" s="5"/>
      <c r="G2" s="6"/>
      <c r="H2" s="7"/>
      <c r="I2" s="8"/>
      <c r="J2" s="250"/>
      <c r="K2" s="251"/>
      <c r="L2" s="250"/>
      <c r="M2" s="251"/>
      <c r="N2" s="52"/>
      <c r="O2" s="252" t="s">
        <v>512</v>
      </c>
      <c r="P2" s="253"/>
      <c r="Q2" s="253"/>
      <c r="R2" s="253"/>
      <c r="S2" s="253"/>
      <c r="T2" s="253"/>
      <c r="U2" s="254"/>
    </row>
    <row r="3" spans="1:21" ht="14.25" customHeight="1">
      <c r="A3" s="40"/>
      <c r="B3" s="35"/>
      <c r="C3" s="5"/>
      <c r="D3" s="5"/>
      <c r="E3" s="5"/>
      <c r="F3" s="5"/>
      <c r="G3" s="9"/>
      <c r="H3" s="10"/>
      <c r="I3" s="176" t="s">
        <v>1032</v>
      </c>
      <c r="J3" s="255" t="s">
        <v>1032</v>
      </c>
      <c r="K3" s="256"/>
      <c r="L3" s="255" t="s">
        <v>1032</v>
      </c>
      <c r="M3" s="256"/>
      <c r="N3" s="52"/>
      <c r="O3" s="257"/>
      <c r="P3" s="258"/>
      <c r="Q3" s="258"/>
      <c r="R3" s="258"/>
      <c r="S3" s="258"/>
      <c r="T3" s="258"/>
      <c r="U3" s="259"/>
    </row>
    <row r="4" spans="1:21" ht="14.45" customHeight="1">
      <c r="A4" s="41"/>
      <c r="B4" s="36" t="s">
        <v>3</v>
      </c>
      <c r="C4" s="5"/>
      <c r="D4" s="5"/>
      <c r="E4" s="5"/>
      <c r="F4" s="5"/>
      <c r="G4" s="6"/>
      <c r="H4" s="10"/>
      <c r="I4" s="177" t="s">
        <v>1035</v>
      </c>
      <c r="J4" s="240" t="s">
        <v>1034</v>
      </c>
      <c r="K4" s="241"/>
      <c r="L4" s="240" t="s">
        <v>1033</v>
      </c>
      <c r="M4" s="241"/>
      <c r="N4" s="52"/>
      <c r="O4" s="210"/>
      <c r="P4" s="211"/>
      <c r="Q4" s="211"/>
      <c r="R4" s="211"/>
      <c r="S4" s="211"/>
      <c r="T4" s="211"/>
      <c r="U4" s="212"/>
    </row>
    <row r="5" spans="1:21" ht="14.45" customHeight="1" thickBot="1">
      <c r="A5" s="42"/>
      <c r="B5" s="11"/>
      <c r="C5" s="11"/>
      <c r="D5" s="11"/>
      <c r="E5" s="11"/>
      <c r="F5" s="11"/>
      <c r="G5" s="12"/>
      <c r="H5" s="13"/>
      <c r="I5" s="14"/>
      <c r="J5" s="242"/>
      <c r="K5" s="243"/>
      <c r="L5" s="244"/>
      <c r="M5" s="245"/>
      <c r="N5" s="53"/>
      <c r="O5" s="246"/>
      <c r="P5" s="211"/>
      <c r="Q5" s="211"/>
      <c r="R5" s="211"/>
      <c r="S5" s="211"/>
      <c r="T5" s="211"/>
      <c r="U5" s="212"/>
    </row>
    <row r="6" spans="1:21" ht="14.45" customHeight="1">
      <c r="A6" s="43"/>
      <c r="B6" s="101" t="s">
        <v>4</v>
      </c>
      <c r="C6" s="20"/>
      <c r="D6" s="21"/>
      <c r="E6" s="222" t="s">
        <v>65</v>
      </c>
      <c r="F6" s="223"/>
      <c r="G6" s="223"/>
      <c r="H6" s="224"/>
      <c r="I6" s="60" t="s">
        <v>26</v>
      </c>
      <c r="J6" s="26"/>
      <c r="K6" s="225" t="s">
        <v>33</v>
      </c>
      <c r="L6" s="226"/>
      <c r="M6" s="227"/>
      <c r="N6" s="91" t="s">
        <v>5</v>
      </c>
      <c r="O6" s="210"/>
      <c r="P6" s="211"/>
      <c r="Q6" s="211"/>
      <c r="R6" s="211"/>
      <c r="S6" s="211"/>
      <c r="T6" s="211"/>
      <c r="U6" s="212"/>
    </row>
    <row r="7" spans="1:21" ht="15.75" customHeight="1">
      <c r="A7" s="44"/>
      <c r="B7" s="102" t="s">
        <v>6</v>
      </c>
      <c r="C7" s="22"/>
      <c r="D7" s="23"/>
      <c r="E7" s="228" t="s">
        <v>146</v>
      </c>
      <c r="F7" s="229"/>
      <c r="G7" s="229"/>
      <c r="H7" s="230"/>
      <c r="I7" s="61" t="s">
        <v>28</v>
      </c>
      <c r="J7" s="27"/>
      <c r="K7" s="231" t="s">
        <v>34</v>
      </c>
      <c r="L7" s="232"/>
      <c r="M7" s="233"/>
      <c r="N7" s="92">
        <f>COUNTIF(H14:H14,"LONG")+COUNTIF(H14:H14,"LONG RAW")</f>
        <v>0</v>
      </c>
      <c r="O7" s="210"/>
      <c r="P7" s="211"/>
      <c r="Q7" s="211"/>
      <c r="R7" s="211"/>
      <c r="S7" s="211"/>
      <c r="T7" s="211"/>
      <c r="U7" s="212"/>
    </row>
    <row r="8" spans="1:21" ht="14.45" customHeight="1">
      <c r="A8" s="45"/>
      <c r="B8" s="22" t="s">
        <v>7</v>
      </c>
      <c r="C8" s="22"/>
      <c r="D8" s="23"/>
      <c r="E8" s="228" t="s">
        <v>508</v>
      </c>
      <c r="F8" s="229"/>
      <c r="G8" s="229"/>
      <c r="H8" s="230"/>
      <c r="I8" s="62"/>
      <c r="J8" s="27"/>
      <c r="K8" s="234"/>
      <c r="L8" s="235"/>
      <c r="M8" s="236"/>
      <c r="N8" s="92"/>
      <c r="O8" s="210"/>
      <c r="P8" s="211"/>
      <c r="Q8" s="211"/>
      <c r="R8" s="211"/>
      <c r="S8" s="211"/>
      <c r="T8" s="211"/>
      <c r="U8" s="212"/>
    </row>
    <row r="9" spans="1:21" ht="14.45" customHeight="1">
      <c r="A9" s="45"/>
      <c r="B9" s="22" t="s">
        <v>8</v>
      </c>
      <c r="C9" s="22"/>
      <c r="D9" s="23"/>
      <c r="E9" s="237" t="s">
        <v>68</v>
      </c>
      <c r="F9" s="238"/>
      <c r="G9" s="238"/>
      <c r="H9" s="239"/>
      <c r="I9" s="61" t="s">
        <v>9</v>
      </c>
      <c r="J9" s="27"/>
      <c r="K9" s="86"/>
      <c r="L9" s="88">
        <f>SUM(N14:N38)</f>
        <v>100</v>
      </c>
      <c r="M9" s="82"/>
      <c r="N9" s="93">
        <f>SUMIF(M14:M14,"■",N14:N14)</f>
        <v>0</v>
      </c>
      <c r="O9" s="210"/>
      <c r="P9" s="211"/>
      <c r="Q9" s="211"/>
      <c r="R9" s="211"/>
      <c r="S9" s="211"/>
      <c r="T9" s="211"/>
      <c r="U9" s="212"/>
    </row>
    <row r="10" spans="1:21" ht="14.45" customHeight="1">
      <c r="A10" s="45"/>
      <c r="B10" s="22" t="s">
        <v>10</v>
      </c>
      <c r="C10" s="22"/>
      <c r="D10" s="23"/>
      <c r="E10" s="219" t="s">
        <v>68</v>
      </c>
      <c r="F10" s="220"/>
      <c r="G10" s="220"/>
      <c r="H10" s="221"/>
      <c r="I10" s="61" t="s">
        <v>11</v>
      </c>
      <c r="J10" s="27"/>
      <c r="K10" s="86"/>
      <c r="L10" s="89">
        <f>E11*L9/1000</f>
        <v>0</v>
      </c>
      <c r="M10" s="82"/>
      <c r="N10" s="55"/>
      <c r="O10" s="210"/>
      <c r="P10" s="211"/>
      <c r="Q10" s="211"/>
      <c r="R10" s="211"/>
      <c r="S10" s="211"/>
      <c r="T10" s="211"/>
      <c r="U10" s="212"/>
    </row>
    <row r="11" spans="1:21" ht="17.25" customHeight="1" thickBot="1">
      <c r="A11" s="46"/>
      <c r="B11" s="24" t="s">
        <v>29</v>
      </c>
      <c r="C11" s="24"/>
      <c r="D11" s="25"/>
      <c r="E11" s="207"/>
      <c r="F11" s="208"/>
      <c r="G11" s="208"/>
      <c r="H11" s="209"/>
      <c r="I11" s="103" t="s">
        <v>12</v>
      </c>
      <c r="J11" s="104"/>
      <c r="K11" s="87"/>
      <c r="L11" s="90"/>
      <c r="M11" s="83"/>
      <c r="N11" s="56"/>
      <c r="O11" s="210"/>
      <c r="P11" s="211"/>
      <c r="Q11" s="211"/>
      <c r="R11" s="211"/>
      <c r="S11" s="211"/>
      <c r="T11" s="211"/>
      <c r="U11" s="212"/>
    </row>
    <row r="12" spans="1:21" ht="15.75" customHeight="1" thickBot="1">
      <c r="A12" s="64"/>
      <c r="B12" s="65"/>
      <c r="C12" s="30"/>
      <c r="D12" s="30"/>
      <c r="E12" s="31"/>
      <c r="F12" s="32"/>
      <c r="G12" s="29"/>
      <c r="H12" s="28"/>
      <c r="I12" s="29"/>
      <c r="J12" s="30" t="s">
        <v>13</v>
      </c>
      <c r="K12" s="31"/>
      <c r="L12" s="66"/>
      <c r="M12" s="48"/>
      <c r="N12" s="57">
        <f>COUNTA(H14:H14)</f>
        <v>1</v>
      </c>
      <c r="O12" s="213"/>
      <c r="P12" s="214"/>
      <c r="Q12" s="214"/>
      <c r="R12" s="214"/>
      <c r="S12" s="214"/>
      <c r="T12" s="214"/>
      <c r="U12" s="21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16" t="s">
        <v>32</v>
      </c>
      <c r="Q13" s="217"/>
      <c r="R13" s="217"/>
      <c r="S13" s="217"/>
      <c r="T13" s="217"/>
      <c r="U13" s="218"/>
    </row>
    <row r="14" spans="1:21" ht="15.75" customHeight="1">
      <c r="A14" s="85" t="s">
        <v>188</v>
      </c>
      <c r="B14" s="37">
        <f t="shared" ref="B14:B29" si="0">ROW()-13</f>
        <v>1</v>
      </c>
      <c r="C14" s="145" t="s">
        <v>1062</v>
      </c>
      <c r="D14" s="80"/>
      <c r="E14" s="81"/>
      <c r="F14" s="146" t="s">
        <v>1059</v>
      </c>
      <c r="G14" s="17"/>
      <c r="H14" s="18" t="s">
        <v>49</v>
      </c>
      <c r="I14" s="59"/>
      <c r="J14" s="19">
        <v>1</v>
      </c>
      <c r="K14" s="19"/>
      <c r="L14" s="50" t="s">
        <v>187</v>
      </c>
      <c r="M14" s="73" t="s">
        <v>21</v>
      </c>
      <c r="N14" s="54">
        <f t="shared" ref="N14:N36" si="1">IF(H14="NUMBER",IF(J14&gt;0,INT((J14+1)/2+0.9),0),IF(H14="DATE",7,IF(OR(H14="LONG",H14="LONG RAW"),100000,J14)))</f>
        <v>1</v>
      </c>
      <c r="O14" s="167"/>
      <c r="P14" s="203" t="s">
        <v>174</v>
      </c>
      <c r="Q14" s="204"/>
      <c r="R14" s="204"/>
      <c r="S14" s="204"/>
      <c r="T14" s="204"/>
      <c r="U14" s="205"/>
    </row>
    <row r="15" spans="1:21" ht="15.75" customHeight="1">
      <c r="A15" s="85"/>
      <c r="B15" s="37">
        <f t="shared" si="0"/>
        <v>2</v>
      </c>
      <c r="C15" s="145" t="s">
        <v>193</v>
      </c>
      <c r="D15" s="80"/>
      <c r="E15" s="81"/>
      <c r="F15" s="146" t="s">
        <v>194</v>
      </c>
      <c r="G15" s="17"/>
      <c r="H15" s="18" t="s">
        <v>49</v>
      </c>
      <c r="I15" s="59"/>
      <c r="J15" s="19">
        <v>12</v>
      </c>
      <c r="K15" s="19"/>
      <c r="L15" s="50"/>
      <c r="M15" s="73" t="s">
        <v>21</v>
      </c>
      <c r="N15" s="54">
        <f t="shared" si="1"/>
        <v>12</v>
      </c>
      <c r="O15" s="167"/>
      <c r="P15" s="203"/>
      <c r="Q15" s="204"/>
      <c r="R15" s="204"/>
      <c r="S15" s="204"/>
      <c r="T15" s="204"/>
      <c r="U15" s="205"/>
    </row>
    <row r="16" spans="1:21" ht="15.75" customHeight="1">
      <c r="A16" s="85" t="s">
        <v>188</v>
      </c>
      <c r="B16" s="37">
        <f t="shared" si="0"/>
        <v>3</v>
      </c>
      <c r="C16" s="145" t="s">
        <v>195</v>
      </c>
      <c r="D16" s="80"/>
      <c r="E16" s="81"/>
      <c r="F16" s="146" t="s">
        <v>1058</v>
      </c>
      <c r="G16" s="17"/>
      <c r="H16" s="18" t="s">
        <v>49</v>
      </c>
      <c r="I16" s="59"/>
      <c r="J16" s="19">
        <v>1</v>
      </c>
      <c r="K16" s="19"/>
      <c r="L16" s="50" t="s">
        <v>187</v>
      </c>
      <c r="M16" s="73" t="s">
        <v>21</v>
      </c>
      <c r="N16" s="54">
        <f t="shared" si="1"/>
        <v>1</v>
      </c>
      <c r="O16" s="167"/>
      <c r="P16" s="203" t="s">
        <v>174</v>
      </c>
      <c r="Q16" s="204"/>
      <c r="R16" s="204"/>
      <c r="S16" s="204"/>
      <c r="T16" s="204"/>
      <c r="U16" s="205"/>
    </row>
    <row r="17" spans="1:21" ht="15.75" customHeight="1">
      <c r="A17" s="85" t="s">
        <v>188</v>
      </c>
      <c r="B17" s="37">
        <f t="shared" si="0"/>
        <v>4</v>
      </c>
      <c r="C17" s="145" t="s">
        <v>196</v>
      </c>
      <c r="D17" s="80"/>
      <c r="E17" s="81"/>
      <c r="F17" s="146" t="s">
        <v>197</v>
      </c>
      <c r="G17" s="17"/>
      <c r="H17" s="18" t="s">
        <v>51</v>
      </c>
      <c r="I17" s="59"/>
      <c r="J17" s="19">
        <v>25</v>
      </c>
      <c r="K17" s="19"/>
      <c r="L17" s="50" t="s">
        <v>187</v>
      </c>
      <c r="M17" s="73" t="s">
        <v>21</v>
      </c>
      <c r="N17" s="54">
        <f t="shared" si="1"/>
        <v>25</v>
      </c>
      <c r="O17" s="167"/>
      <c r="P17" s="203"/>
      <c r="Q17" s="204"/>
      <c r="R17" s="204"/>
      <c r="S17" s="204"/>
      <c r="T17" s="204"/>
      <c r="U17" s="205"/>
    </row>
    <row r="18" spans="1:21" ht="15.75" customHeight="1">
      <c r="A18" s="85" t="s">
        <v>188</v>
      </c>
      <c r="B18" s="37">
        <f t="shared" si="0"/>
        <v>5</v>
      </c>
      <c r="C18" s="145" t="s">
        <v>198</v>
      </c>
      <c r="D18" s="80"/>
      <c r="E18" s="81"/>
      <c r="F18" s="146" t="s">
        <v>199</v>
      </c>
      <c r="G18" s="17"/>
      <c r="H18" s="18" t="s">
        <v>51</v>
      </c>
      <c r="I18" s="59"/>
      <c r="J18" s="19">
        <v>4</v>
      </c>
      <c r="K18" s="19"/>
      <c r="L18" s="50" t="s">
        <v>187</v>
      </c>
      <c r="M18" s="73" t="s">
        <v>21</v>
      </c>
      <c r="N18" s="54">
        <f t="shared" si="1"/>
        <v>4</v>
      </c>
      <c r="O18" s="167"/>
      <c r="P18" s="203" t="s">
        <v>200</v>
      </c>
      <c r="Q18" s="204"/>
      <c r="R18" s="204"/>
      <c r="S18" s="204"/>
      <c r="T18" s="204"/>
      <c r="U18" s="205"/>
    </row>
    <row r="19" spans="1:21" ht="62.85" customHeight="1">
      <c r="A19" s="85" t="s">
        <v>188</v>
      </c>
      <c r="B19" s="37">
        <f t="shared" si="0"/>
        <v>6</v>
      </c>
      <c r="C19" s="145" t="s">
        <v>201</v>
      </c>
      <c r="D19" s="80"/>
      <c r="E19" s="81"/>
      <c r="F19" s="146" t="s">
        <v>202</v>
      </c>
      <c r="G19" s="17"/>
      <c r="H19" s="18" t="s">
        <v>49</v>
      </c>
      <c r="I19" s="59"/>
      <c r="J19" s="19">
        <v>1</v>
      </c>
      <c r="K19" s="19"/>
      <c r="L19" s="50" t="s">
        <v>187</v>
      </c>
      <c r="M19" s="73" t="s">
        <v>21</v>
      </c>
      <c r="N19" s="54">
        <f t="shared" si="1"/>
        <v>1</v>
      </c>
      <c r="O19" s="167"/>
      <c r="P19" s="206" t="s">
        <v>267</v>
      </c>
      <c r="Q19" s="204"/>
      <c r="R19" s="204"/>
      <c r="S19" s="204"/>
      <c r="T19" s="204"/>
      <c r="U19" s="205"/>
    </row>
    <row r="20" spans="1:21" ht="27.6" customHeight="1">
      <c r="A20" s="85" t="s">
        <v>188</v>
      </c>
      <c r="B20" s="37">
        <f t="shared" si="0"/>
        <v>7</v>
      </c>
      <c r="C20" s="145" t="s">
        <v>204</v>
      </c>
      <c r="D20" s="80"/>
      <c r="E20" s="81"/>
      <c r="F20" s="146" t="s">
        <v>205</v>
      </c>
      <c r="G20" s="17"/>
      <c r="H20" s="18" t="s">
        <v>49</v>
      </c>
      <c r="I20" s="59"/>
      <c r="J20" s="19">
        <v>1</v>
      </c>
      <c r="K20" s="19"/>
      <c r="L20" s="50" t="s">
        <v>187</v>
      </c>
      <c r="M20" s="73" t="s">
        <v>21</v>
      </c>
      <c r="N20" s="54">
        <f t="shared" si="1"/>
        <v>1</v>
      </c>
      <c r="O20" s="167"/>
      <c r="P20" s="206" t="s">
        <v>206</v>
      </c>
      <c r="Q20" s="204"/>
      <c r="R20" s="204"/>
      <c r="S20" s="204"/>
      <c r="T20" s="204"/>
      <c r="U20" s="205"/>
    </row>
    <row r="21" spans="1:21" ht="15.75" customHeight="1">
      <c r="A21" s="85"/>
      <c r="B21" s="37">
        <f t="shared" si="0"/>
        <v>8</v>
      </c>
      <c r="C21" s="145" t="s">
        <v>191</v>
      </c>
      <c r="D21" s="80"/>
      <c r="E21" s="81"/>
      <c r="F21" s="146" t="s">
        <v>192</v>
      </c>
      <c r="G21" s="17"/>
      <c r="H21" s="18" t="s">
        <v>49</v>
      </c>
      <c r="I21" s="59"/>
      <c r="J21" s="19">
        <v>3</v>
      </c>
      <c r="K21" s="19"/>
      <c r="L21" s="50"/>
      <c r="M21" s="73" t="s">
        <v>21</v>
      </c>
      <c r="N21" s="54">
        <f t="shared" si="1"/>
        <v>3</v>
      </c>
      <c r="O21" s="167"/>
      <c r="P21" s="203" t="s">
        <v>163</v>
      </c>
      <c r="Q21" s="204"/>
      <c r="R21" s="204"/>
      <c r="S21" s="204"/>
      <c r="T21" s="204"/>
      <c r="U21" s="205"/>
    </row>
    <row r="22" spans="1:21" ht="15.75" customHeight="1">
      <c r="A22" s="85"/>
      <c r="B22" s="37">
        <f t="shared" si="0"/>
        <v>9</v>
      </c>
      <c r="C22" s="145" t="s">
        <v>513</v>
      </c>
      <c r="D22" s="80"/>
      <c r="E22" s="81"/>
      <c r="F22" s="146" t="s">
        <v>514</v>
      </c>
      <c r="G22" s="17"/>
      <c r="H22" s="18" t="s">
        <v>209</v>
      </c>
      <c r="I22" s="59"/>
      <c r="J22" s="19"/>
      <c r="K22" s="19"/>
      <c r="L22" s="50"/>
      <c r="M22" s="73" t="s">
        <v>21</v>
      </c>
      <c r="N22" s="54">
        <f t="shared" si="1"/>
        <v>0</v>
      </c>
      <c r="O22" s="167"/>
      <c r="P22" s="203"/>
      <c r="Q22" s="204"/>
      <c r="R22" s="204"/>
      <c r="S22" s="204"/>
      <c r="T22" s="204"/>
      <c r="U22" s="205"/>
    </row>
    <row r="23" spans="1:21" ht="15.75" customHeight="1">
      <c r="A23" s="85"/>
      <c r="B23" s="37">
        <f t="shared" si="0"/>
        <v>10</v>
      </c>
      <c r="C23" s="145" t="s">
        <v>515</v>
      </c>
      <c r="D23" s="80"/>
      <c r="E23" s="81"/>
      <c r="F23" s="181" t="s">
        <v>516</v>
      </c>
      <c r="G23" s="182"/>
      <c r="H23" s="18" t="s">
        <v>209</v>
      </c>
      <c r="I23" s="59"/>
      <c r="J23" s="19"/>
      <c r="K23" s="19"/>
      <c r="L23" s="50"/>
      <c r="M23" s="73" t="s">
        <v>21</v>
      </c>
      <c r="N23" s="54">
        <f t="shared" si="1"/>
        <v>0</v>
      </c>
      <c r="O23" s="167"/>
      <c r="P23" s="203"/>
      <c r="Q23" s="204"/>
      <c r="R23" s="204"/>
      <c r="S23" s="204"/>
      <c r="T23" s="204"/>
      <c r="U23" s="205"/>
    </row>
    <row r="24" spans="1:21" ht="15.75" customHeight="1">
      <c r="A24" s="85"/>
      <c r="B24" s="37">
        <f t="shared" si="0"/>
        <v>11</v>
      </c>
      <c r="C24" s="145" t="s">
        <v>1097</v>
      </c>
      <c r="D24" s="80"/>
      <c r="E24" s="81"/>
      <c r="F24" s="181" t="s">
        <v>1098</v>
      </c>
      <c r="G24" s="182"/>
      <c r="H24" s="18" t="s">
        <v>209</v>
      </c>
      <c r="I24" s="59"/>
      <c r="J24" s="19"/>
      <c r="K24" s="19"/>
      <c r="L24" s="50"/>
      <c r="M24" s="73" t="s">
        <v>21</v>
      </c>
      <c r="N24" s="54">
        <f t="shared" si="1"/>
        <v>0</v>
      </c>
      <c r="O24" s="167"/>
      <c r="P24" s="203"/>
      <c r="Q24" s="204"/>
      <c r="R24" s="204"/>
      <c r="S24" s="204"/>
      <c r="T24" s="204"/>
      <c r="U24" s="205"/>
    </row>
    <row r="25" spans="1:21" ht="15.75" customHeight="1">
      <c r="A25" s="85"/>
      <c r="B25" s="37">
        <f t="shared" si="0"/>
        <v>12</v>
      </c>
      <c r="C25" s="145" t="s">
        <v>517</v>
      </c>
      <c r="D25" s="80"/>
      <c r="E25" s="81"/>
      <c r="F25" s="181" t="s">
        <v>518</v>
      </c>
      <c r="G25" s="182"/>
      <c r="H25" s="18" t="s">
        <v>209</v>
      </c>
      <c r="I25" s="59"/>
      <c r="J25" s="19"/>
      <c r="K25" s="19"/>
      <c r="L25" s="50"/>
      <c r="M25" s="73" t="s">
        <v>21</v>
      </c>
      <c r="N25" s="54">
        <f t="shared" si="1"/>
        <v>0</v>
      </c>
      <c r="O25" s="167"/>
      <c r="P25" s="203"/>
      <c r="Q25" s="204"/>
      <c r="R25" s="204"/>
      <c r="S25" s="204"/>
      <c r="T25" s="204"/>
      <c r="U25" s="205"/>
    </row>
    <row r="26" spans="1:21" ht="15.75" customHeight="1">
      <c r="A26" s="85"/>
      <c r="B26" s="37">
        <f t="shared" si="0"/>
        <v>13</v>
      </c>
      <c r="C26" s="145" t="s">
        <v>1096</v>
      </c>
      <c r="D26" s="80"/>
      <c r="E26" s="81"/>
      <c r="F26" s="181" t="s">
        <v>1099</v>
      </c>
      <c r="G26" s="182"/>
      <c r="H26" s="18" t="s">
        <v>209</v>
      </c>
      <c r="I26" s="59"/>
      <c r="J26" s="19"/>
      <c r="K26" s="19"/>
      <c r="L26" s="50"/>
      <c r="M26" s="73" t="s">
        <v>21</v>
      </c>
      <c r="N26" s="54">
        <f t="shared" ref="N26" si="2">IF(H26="NUMBER",IF(J26&gt;0,INT((J26+1)/2+0.9),0),IF(H26="DATE",7,IF(OR(H26="LONG",H26="LONG RAW"),100000,J26)))</f>
        <v>0</v>
      </c>
      <c r="O26" s="167"/>
      <c r="P26" s="203"/>
      <c r="Q26" s="204"/>
      <c r="R26" s="204"/>
      <c r="S26" s="204"/>
      <c r="T26" s="204"/>
      <c r="U26" s="205"/>
    </row>
    <row r="27" spans="1:21" ht="15.75" customHeight="1">
      <c r="A27" s="85"/>
      <c r="B27" s="37">
        <f t="shared" si="0"/>
        <v>14</v>
      </c>
      <c r="C27" s="145" t="s">
        <v>519</v>
      </c>
      <c r="D27" s="80"/>
      <c r="E27" s="81"/>
      <c r="F27" s="146" t="s">
        <v>520</v>
      </c>
      <c r="G27" s="17"/>
      <c r="H27" s="18" t="s">
        <v>209</v>
      </c>
      <c r="I27" s="59"/>
      <c r="J27" s="19"/>
      <c r="K27" s="19"/>
      <c r="L27" s="50"/>
      <c r="M27" s="73" t="s">
        <v>21</v>
      </c>
      <c r="N27" s="54">
        <f t="shared" si="1"/>
        <v>0</v>
      </c>
      <c r="O27" s="167"/>
      <c r="P27" s="203"/>
      <c r="Q27" s="204"/>
      <c r="R27" s="204"/>
      <c r="S27" s="204"/>
      <c r="T27" s="204"/>
      <c r="U27" s="205"/>
    </row>
    <row r="28" spans="1:21" ht="15.75" customHeight="1">
      <c r="A28" s="85"/>
      <c r="B28" s="37">
        <f t="shared" si="0"/>
        <v>15</v>
      </c>
      <c r="C28" s="145" t="s">
        <v>521</v>
      </c>
      <c r="D28" s="80"/>
      <c r="E28" s="81"/>
      <c r="F28" s="146" t="s">
        <v>522</v>
      </c>
      <c r="G28" s="17"/>
      <c r="H28" s="18" t="s">
        <v>209</v>
      </c>
      <c r="I28" s="59"/>
      <c r="J28" s="19"/>
      <c r="K28" s="19"/>
      <c r="L28" s="50"/>
      <c r="M28" s="73" t="s">
        <v>21</v>
      </c>
      <c r="N28" s="54">
        <f t="shared" si="1"/>
        <v>0</v>
      </c>
      <c r="O28" s="167"/>
      <c r="P28" s="203" t="s">
        <v>523</v>
      </c>
      <c r="Q28" s="204"/>
      <c r="R28" s="204"/>
      <c r="S28" s="204"/>
      <c r="T28" s="204"/>
      <c r="U28" s="205"/>
    </row>
    <row r="29" spans="1:21" ht="15.75" customHeight="1">
      <c r="A29" s="85"/>
      <c r="B29" s="37">
        <f t="shared" si="0"/>
        <v>16</v>
      </c>
      <c r="C29" s="145" t="s">
        <v>306</v>
      </c>
      <c r="D29" s="80"/>
      <c r="E29" s="81"/>
      <c r="F29" s="146" t="s">
        <v>307</v>
      </c>
      <c r="G29" s="17"/>
      <c r="H29" s="18" t="s">
        <v>209</v>
      </c>
      <c r="I29" s="59"/>
      <c r="J29" s="19"/>
      <c r="K29" s="19"/>
      <c r="L29" s="50"/>
      <c r="M29" s="73" t="s">
        <v>21</v>
      </c>
      <c r="N29" s="54">
        <f t="shared" si="1"/>
        <v>0</v>
      </c>
      <c r="O29" s="167"/>
      <c r="P29" s="203"/>
      <c r="Q29" s="204"/>
      <c r="R29" s="204"/>
      <c r="S29" s="204"/>
      <c r="T29" s="204"/>
      <c r="U29" s="205"/>
    </row>
    <row r="30" spans="1:21" ht="15.75">
      <c r="A30" s="85"/>
      <c r="B30" s="37">
        <f t="shared" ref="B30:B36" si="3">ROW()-13</f>
        <v>17</v>
      </c>
      <c r="C30" s="107" t="s">
        <v>36</v>
      </c>
      <c r="D30" s="107"/>
      <c r="E30" s="108"/>
      <c r="F30" s="109" t="s">
        <v>78</v>
      </c>
      <c r="G30" s="110"/>
      <c r="H30" s="18" t="s">
        <v>51</v>
      </c>
      <c r="I30" s="59"/>
      <c r="J30" s="113">
        <v>12</v>
      </c>
      <c r="K30" s="113"/>
      <c r="L30" s="114"/>
      <c r="M30" s="115" t="s">
        <v>35</v>
      </c>
      <c r="N30" s="116">
        <f t="shared" si="1"/>
        <v>12</v>
      </c>
      <c r="O30" s="168"/>
      <c r="P30" s="200"/>
      <c r="Q30" s="201"/>
      <c r="R30" s="201"/>
      <c r="S30" s="201"/>
      <c r="T30" s="201"/>
      <c r="U30" s="202"/>
    </row>
    <row r="31" spans="1:21" ht="15.75">
      <c r="A31" s="85"/>
      <c r="B31" s="37">
        <f t="shared" si="3"/>
        <v>18</v>
      </c>
      <c r="C31" s="107" t="s">
        <v>37</v>
      </c>
      <c r="D31" s="107"/>
      <c r="E31" s="108"/>
      <c r="F31" s="109" t="s">
        <v>43</v>
      </c>
      <c r="G31" s="110"/>
      <c r="H31" s="18" t="s">
        <v>51</v>
      </c>
      <c r="I31" s="59"/>
      <c r="J31" s="113">
        <v>10</v>
      </c>
      <c r="K31" s="113"/>
      <c r="L31" s="114"/>
      <c r="M31" s="115" t="s">
        <v>21</v>
      </c>
      <c r="N31" s="116">
        <f t="shared" si="1"/>
        <v>10</v>
      </c>
      <c r="O31" s="168"/>
      <c r="P31" s="200"/>
      <c r="Q31" s="201"/>
      <c r="R31" s="201"/>
      <c r="S31" s="201"/>
      <c r="T31" s="201"/>
      <c r="U31" s="202"/>
    </row>
    <row r="32" spans="1:21" ht="15.75">
      <c r="A32" s="85"/>
      <c r="B32" s="37">
        <f t="shared" si="3"/>
        <v>19</v>
      </c>
      <c r="C32" s="107" t="s">
        <v>38</v>
      </c>
      <c r="D32" s="107"/>
      <c r="E32" s="108"/>
      <c r="F32" s="109" t="s">
        <v>80</v>
      </c>
      <c r="G32" s="110"/>
      <c r="H32" s="18" t="s">
        <v>86</v>
      </c>
      <c r="I32" s="59"/>
      <c r="J32" s="113"/>
      <c r="K32" s="113"/>
      <c r="L32" s="114"/>
      <c r="M32" s="115" t="s">
        <v>21</v>
      </c>
      <c r="N32" s="116">
        <f t="shared" si="1"/>
        <v>0</v>
      </c>
      <c r="O32" s="168"/>
      <c r="P32" s="200"/>
      <c r="Q32" s="201"/>
      <c r="R32" s="201"/>
      <c r="S32" s="201"/>
      <c r="T32" s="201"/>
      <c r="U32" s="202"/>
    </row>
    <row r="33" spans="1:21" ht="15.75">
      <c r="A33" s="85"/>
      <c r="B33" s="37">
        <f t="shared" si="3"/>
        <v>20</v>
      </c>
      <c r="C33" s="107" t="s">
        <v>39</v>
      </c>
      <c r="D33" s="107"/>
      <c r="E33" s="108"/>
      <c r="F33" s="109" t="s">
        <v>79</v>
      </c>
      <c r="G33" s="110"/>
      <c r="H33" s="18" t="s">
        <v>51</v>
      </c>
      <c r="I33" s="59"/>
      <c r="J33" s="113">
        <v>12</v>
      </c>
      <c r="K33" s="113"/>
      <c r="L33" s="114"/>
      <c r="M33" s="115" t="s">
        <v>35</v>
      </c>
      <c r="N33" s="116">
        <f t="shared" si="1"/>
        <v>12</v>
      </c>
      <c r="O33" s="168"/>
      <c r="P33" s="200"/>
      <c r="Q33" s="201"/>
      <c r="R33" s="201"/>
      <c r="S33" s="201"/>
      <c r="T33" s="201"/>
      <c r="U33" s="202"/>
    </row>
    <row r="34" spans="1:21" ht="15.75">
      <c r="A34" s="85"/>
      <c r="B34" s="37">
        <f t="shared" si="3"/>
        <v>21</v>
      </c>
      <c r="C34" s="107" t="s">
        <v>40</v>
      </c>
      <c r="D34" s="107"/>
      <c r="E34" s="108"/>
      <c r="F34" s="109" t="s">
        <v>44</v>
      </c>
      <c r="G34" s="110"/>
      <c r="H34" s="18" t="s">
        <v>51</v>
      </c>
      <c r="I34" s="59"/>
      <c r="J34" s="113">
        <v>10</v>
      </c>
      <c r="K34" s="113"/>
      <c r="L34" s="114"/>
      <c r="M34" s="115" t="s">
        <v>21</v>
      </c>
      <c r="N34" s="116">
        <f t="shared" si="1"/>
        <v>10</v>
      </c>
      <c r="O34" s="168"/>
      <c r="P34" s="200"/>
      <c r="Q34" s="201"/>
      <c r="R34" s="201"/>
      <c r="S34" s="201"/>
      <c r="T34" s="201"/>
      <c r="U34" s="202"/>
    </row>
    <row r="35" spans="1:21" ht="15.75">
      <c r="A35" s="85"/>
      <c r="B35" s="37">
        <f t="shared" si="3"/>
        <v>22</v>
      </c>
      <c r="C35" s="107" t="s">
        <v>41</v>
      </c>
      <c r="D35" s="107"/>
      <c r="E35" s="108"/>
      <c r="F35" s="109" t="s">
        <v>81</v>
      </c>
      <c r="G35" s="110"/>
      <c r="H35" s="18" t="s">
        <v>86</v>
      </c>
      <c r="I35" s="59"/>
      <c r="J35" s="113"/>
      <c r="K35" s="113"/>
      <c r="L35" s="114"/>
      <c r="M35" s="115" t="s">
        <v>21</v>
      </c>
      <c r="N35" s="116">
        <f t="shared" si="1"/>
        <v>0</v>
      </c>
      <c r="O35" s="168"/>
      <c r="P35" s="200"/>
      <c r="Q35" s="201"/>
      <c r="R35" s="201"/>
      <c r="S35" s="201"/>
      <c r="T35" s="201"/>
      <c r="U35" s="202"/>
    </row>
    <row r="36" spans="1:21" ht="15.75">
      <c r="A36" s="85"/>
      <c r="B36" s="37">
        <f t="shared" si="3"/>
        <v>23</v>
      </c>
      <c r="C36" s="80" t="s">
        <v>46</v>
      </c>
      <c r="D36" s="80"/>
      <c r="E36" s="81"/>
      <c r="F36" s="84" t="s">
        <v>71</v>
      </c>
      <c r="G36" s="17"/>
      <c r="H36" s="18" t="s">
        <v>62</v>
      </c>
      <c r="I36" s="59"/>
      <c r="J36" s="19">
        <v>8</v>
      </c>
      <c r="K36" s="19"/>
      <c r="L36" s="50" t="s">
        <v>47</v>
      </c>
      <c r="M36" s="73" t="s">
        <v>35</v>
      </c>
      <c r="N36" s="54">
        <f t="shared" si="1"/>
        <v>8</v>
      </c>
      <c r="O36" s="167">
        <v>0</v>
      </c>
      <c r="P36" s="203" t="s">
        <v>48</v>
      </c>
      <c r="Q36" s="204"/>
      <c r="R36" s="204"/>
      <c r="S36" s="204"/>
      <c r="T36" s="204"/>
      <c r="U36" s="205"/>
    </row>
    <row r="37" spans="1:21" ht="16.5" thickBot="1">
      <c r="A37" s="118"/>
      <c r="B37" s="119"/>
      <c r="C37" s="120"/>
      <c r="D37" s="120"/>
      <c r="E37" s="121"/>
      <c r="F37" s="129"/>
      <c r="G37" s="122"/>
      <c r="H37" s="147"/>
      <c r="I37" s="148"/>
      <c r="J37" s="125"/>
      <c r="K37" s="125"/>
      <c r="L37" s="126"/>
      <c r="M37" s="126"/>
      <c r="N37" s="127"/>
      <c r="O37" s="169"/>
      <c r="P37" s="197"/>
      <c r="Q37" s="198"/>
      <c r="R37" s="198"/>
      <c r="S37" s="198"/>
      <c r="T37" s="198"/>
      <c r="U37" s="199"/>
    </row>
  </sheetData>
  <mergeCells count="54">
    <mergeCell ref="O1:U1"/>
    <mergeCell ref="J2:K2"/>
    <mergeCell ref="L2:M2"/>
    <mergeCell ref="O2:U2"/>
    <mergeCell ref="J3:K3"/>
    <mergeCell ref="L3:M3"/>
    <mergeCell ref="O3:U3"/>
    <mergeCell ref="J4:K4"/>
    <mergeCell ref="L4:M4"/>
    <mergeCell ref="O4:U4"/>
    <mergeCell ref="J5:K5"/>
    <mergeCell ref="L5:M5"/>
    <mergeCell ref="O5:U5"/>
    <mergeCell ref="E6:H6"/>
    <mergeCell ref="K6:M6"/>
    <mergeCell ref="O6:U6"/>
    <mergeCell ref="E7:H7"/>
    <mergeCell ref="K7:M7"/>
    <mergeCell ref="O7:U7"/>
    <mergeCell ref="P15:U15"/>
    <mergeCell ref="E8:H8"/>
    <mergeCell ref="K8:M8"/>
    <mergeCell ref="O8:U8"/>
    <mergeCell ref="E9:H9"/>
    <mergeCell ref="O9:U9"/>
    <mergeCell ref="E10:H10"/>
    <mergeCell ref="O10:U10"/>
    <mergeCell ref="E11:H11"/>
    <mergeCell ref="O11:U11"/>
    <mergeCell ref="O12:U12"/>
    <mergeCell ref="P13:U13"/>
    <mergeCell ref="P14:U14"/>
    <mergeCell ref="P29:U29"/>
    <mergeCell ref="P16:U16"/>
    <mergeCell ref="P17:U17"/>
    <mergeCell ref="P18:U18"/>
    <mergeCell ref="P19:U19"/>
    <mergeCell ref="P20:U20"/>
    <mergeCell ref="P21:U21"/>
    <mergeCell ref="P22:U22"/>
    <mergeCell ref="P23:U23"/>
    <mergeCell ref="P25:U25"/>
    <mergeCell ref="P27:U27"/>
    <mergeCell ref="P28:U28"/>
    <mergeCell ref="P26:U26"/>
    <mergeCell ref="P24:U24"/>
    <mergeCell ref="P36:U36"/>
    <mergeCell ref="P37:U37"/>
    <mergeCell ref="P30:U30"/>
    <mergeCell ref="P31:U31"/>
    <mergeCell ref="P32:U32"/>
    <mergeCell ref="P33:U33"/>
    <mergeCell ref="P34:U34"/>
    <mergeCell ref="P35:U35"/>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1745"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31746"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31747"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31748"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31749"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31750"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89C9D416-DA18-4BD7-9248-41D44D8FD004}">
            <xm:f>(AND(H14&lt;&gt;"",ISERROR(VLOOKUP(H14,system!$E:$E,1,FALSE))))</xm:f>
            <x14:dxf>
              <fill>
                <patternFill patternType="solid">
                  <bgColor rgb="FFFF0000"/>
                </patternFill>
              </fill>
            </x14:dxf>
          </x14:cfRule>
          <xm:sqref>H14:H23 H27:H29 H25</xm:sqref>
        </x14:conditionalFormatting>
        <x14:conditionalFormatting xmlns:xm="http://schemas.microsoft.com/office/excel/2006/main">
          <x14:cfRule type="expression" priority="7" id="{0993FF80-6904-4EFC-BA34-0C1FC8C4DEF0}">
            <xm:f>(AND(H14&lt;&gt;"",ISERROR(VLOOKUP(H14,system!$E:$E,1,FALSE))))</xm:f>
            <x14:dxf>
              <fill>
                <patternFill>
                  <bgColor rgb="FFFF0000"/>
                </patternFill>
              </fill>
            </x14:dxf>
          </x14:cfRule>
          <xm:sqref>I14:I23 I27:I29 I25</xm:sqref>
        </x14:conditionalFormatting>
        <x14:conditionalFormatting xmlns:xm="http://schemas.microsoft.com/office/excel/2006/main">
          <x14:cfRule type="expression" priority="6" id="{08F877EA-1DCF-421E-AE1C-2E328C332CDA}">
            <xm:f>(AND(H30&lt;&gt;"",ISERROR(VLOOKUP(H30,system!$E:$E,1,FALSE))))</xm:f>
            <x14:dxf>
              <fill>
                <patternFill patternType="solid">
                  <bgColor rgb="FFFF0000"/>
                </patternFill>
              </fill>
            </x14:dxf>
          </x14:cfRule>
          <xm:sqref>H30:H37</xm:sqref>
        </x14:conditionalFormatting>
        <x14:conditionalFormatting xmlns:xm="http://schemas.microsoft.com/office/excel/2006/main">
          <x14:cfRule type="expression" priority="5" id="{3C160D41-9AB1-4B3C-8502-76CF036978B3}">
            <xm:f>(AND(H30&lt;&gt;"",ISERROR(VLOOKUP(H30,system!$E:$E,1,FALSE))))</xm:f>
            <x14:dxf>
              <fill>
                <patternFill>
                  <bgColor rgb="FFFF0000"/>
                </patternFill>
              </fill>
            </x14:dxf>
          </x14:cfRule>
          <xm:sqref>I30:I37</xm:sqref>
        </x14:conditionalFormatting>
        <x14:conditionalFormatting xmlns:xm="http://schemas.microsoft.com/office/excel/2006/main">
          <x14:cfRule type="expression" priority="4" id="{017E2308-2806-41D4-B2C3-AC916D08D7E0}">
            <xm:f>(AND(H26&lt;&gt;"",ISERROR(VLOOKUP(H26,system!$E:$E,1,FALSE))))</xm:f>
            <x14:dxf>
              <fill>
                <patternFill patternType="solid">
                  <bgColor rgb="FFFF0000"/>
                </patternFill>
              </fill>
            </x14:dxf>
          </x14:cfRule>
          <xm:sqref>H26</xm:sqref>
        </x14:conditionalFormatting>
        <x14:conditionalFormatting xmlns:xm="http://schemas.microsoft.com/office/excel/2006/main">
          <x14:cfRule type="expression" priority="3" id="{FBCF6D60-7447-41BC-A9E5-544B2F1AA9A6}">
            <xm:f>(AND(H26&lt;&gt;"",ISERROR(VLOOKUP(H26,system!$E:$E,1,FALSE))))</xm:f>
            <x14:dxf>
              <fill>
                <patternFill>
                  <bgColor rgb="FFFF0000"/>
                </patternFill>
              </fill>
            </x14:dxf>
          </x14:cfRule>
          <xm:sqref>I26</xm:sqref>
        </x14:conditionalFormatting>
        <x14:conditionalFormatting xmlns:xm="http://schemas.microsoft.com/office/excel/2006/main">
          <x14:cfRule type="expression" priority="2" id="{9EA4DBC5-A0AF-4328-873B-F72F58D8BF2D}">
            <xm:f>(AND(H24&lt;&gt;"",ISERROR(VLOOKUP(H24,system!$E:$E,1,FALSE))))</xm:f>
            <x14:dxf>
              <fill>
                <patternFill patternType="solid">
                  <bgColor rgb="FFFF0000"/>
                </patternFill>
              </fill>
            </x14:dxf>
          </x14:cfRule>
          <xm:sqref>H24</xm:sqref>
        </x14:conditionalFormatting>
        <x14:conditionalFormatting xmlns:xm="http://schemas.microsoft.com/office/excel/2006/main">
          <x14:cfRule type="expression" priority="1" id="{F15A3072-1C0B-4754-9629-C1BCA3654341}">
            <xm:f>(AND(H24&lt;&gt;"",ISERROR(VLOOKUP(H24,system!$E:$E,1,FALSE))))</xm:f>
            <x14:dxf>
              <fill>
                <patternFill>
                  <bgColor rgb="FFFF0000"/>
                </patternFill>
              </fill>
            </x14:dxf>
          </x14:cfRule>
          <xm:sqref>I24</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A1:U36"/>
  <sheetViews>
    <sheetView showGridLines="0" zoomScaleNormal="100" workbookViewId="0">
      <pane ySplit="13" topLeftCell="A14" activePane="bottomLeft" state="frozen"/>
      <selection activeCell="D13" sqref="D13"/>
      <selection pane="bottomLeft" activeCell="P25" sqref="P25:U25"/>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7" t="s">
        <v>27</v>
      </c>
      <c r="P1" s="248"/>
      <c r="Q1" s="248"/>
      <c r="R1" s="248"/>
      <c r="S1" s="248"/>
      <c r="T1" s="248"/>
      <c r="U1" s="249"/>
    </row>
    <row r="2" spans="1:21" ht="14.45" customHeight="1">
      <c r="A2" s="39"/>
      <c r="B2" s="100" t="s">
        <v>64</v>
      </c>
      <c r="C2" s="5"/>
      <c r="D2" s="5"/>
      <c r="E2" s="5"/>
      <c r="F2" s="5"/>
      <c r="G2" s="6"/>
      <c r="H2" s="7"/>
      <c r="I2" s="8"/>
      <c r="J2" s="250"/>
      <c r="K2" s="251"/>
      <c r="L2" s="250"/>
      <c r="M2" s="251"/>
      <c r="N2" s="52"/>
      <c r="O2" s="252" t="s">
        <v>527</v>
      </c>
      <c r="P2" s="253"/>
      <c r="Q2" s="253"/>
      <c r="R2" s="253"/>
      <c r="S2" s="253"/>
      <c r="T2" s="253"/>
      <c r="U2" s="254"/>
    </row>
    <row r="3" spans="1:21" ht="14.25" customHeight="1">
      <c r="A3" s="40"/>
      <c r="B3" s="35"/>
      <c r="C3" s="5"/>
      <c r="D3" s="5"/>
      <c r="E3" s="5"/>
      <c r="F3" s="5"/>
      <c r="G3" s="9"/>
      <c r="H3" s="10"/>
      <c r="I3" s="176" t="s">
        <v>1032</v>
      </c>
      <c r="J3" s="255" t="s">
        <v>1032</v>
      </c>
      <c r="K3" s="256"/>
      <c r="L3" s="255" t="s">
        <v>1032</v>
      </c>
      <c r="M3" s="256"/>
      <c r="N3" s="52"/>
      <c r="O3" s="257"/>
      <c r="P3" s="258"/>
      <c r="Q3" s="258"/>
      <c r="R3" s="258"/>
      <c r="S3" s="258"/>
      <c r="T3" s="258"/>
      <c r="U3" s="259"/>
    </row>
    <row r="4" spans="1:21" ht="14.45" customHeight="1">
      <c r="A4" s="41"/>
      <c r="B4" s="36" t="s">
        <v>3</v>
      </c>
      <c r="C4" s="5"/>
      <c r="D4" s="5"/>
      <c r="E4" s="5"/>
      <c r="F4" s="5"/>
      <c r="G4" s="6"/>
      <c r="H4" s="10"/>
      <c r="I4" s="177" t="s">
        <v>1035</v>
      </c>
      <c r="J4" s="240" t="s">
        <v>1034</v>
      </c>
      <c r="K4" s="241"/>
      <c r="L4" s="240" t="s">
        <v>1033</v>
      </c>
      <c r="M4" s="241"/>
      <c r="N4" s="52"/>
      <c r="O4" s="210"/>
      <c r="P4" s="211"/>
      <c r="Q4" s="211"/>
      <c r="R4" s="211"/>
      <c r="S4" s="211"/>
      <c r="T4" s="211"/>
      <c r="U4" s="212"/>
    </row>
    <row r="5" spans="1:21" ht="14.45" customHeight="1" thickBot="1">
      <c r="A5" s="42"/>
      <c r="B5" s="11"/>
      <c r="C5" s="11"/>
      <c r="D5" s="11"/>
      <c r="E5" s="11"/>
      <c r="F5" s="11"/>
      <c r="G5" s="12"/>
      <c r="H5" s="13"/>
      <c r="I5" s="14"/>
      <c r="J5" s="242"/>
      <c r="K5" s="243"/>
      <c r="L5" s="244"/>
      <c r="M5" s="245"/>
      <c r="N5" s="53"/>
      <c r="O5" s="246"/>
      <c r="P5" s="211"/>
      <c r="Q5" s="211"/>
      <c r="R5" s="211"/>
      <c r="S5" s="211"/>
      <c r="T5" s="211"/>
      <c r="U5" s="212"/>
    </row>
    <row r="6" spans="1:21" ht="14.45" customHeight="1">
      <c r="A6" s="43"/>
      <c r="B6" s="101" t="s">
        <v>4</v>
      </c>
      <c r="C6" s="20"/>
      <c r="D6" s="21"/>
      <c r="E6" s="222" t="s">
        <v>65</v>
      </c>
      <c r="F6" s="223"/>
      <c r="G6" s="223"/>
      <c r="H6" s="224"/>
      <c r="I6" s="60" t="s">
        <v>26</v>
      </c>
      <c r="J6" s="26"/>
      <c r="K6" s="225" t="s">
        <v>33</v>
      </c>
      <c r="L6" s="226"/>
      <c r="M6" s="227"/>
      <c r="N6" s="91" t="s">
        <v>5</v>
      </c>
      <c r="O6" s="210"/>
      <c r="P6" s="211"/>
      <c r="Q6" s="211"/>
      <c r="R6" s="211"/>
      <c r="S6" s="211"/>
      <c r="T6" s="211"/>
      <c r="U6" s="212"/>
    </row>
    <row r="7" spans="1:21" ht="15.75" customHeight="1">
      <c r="A7" s="44"/>
      <c r="B7" s="102" t="s">
        <v>6</v>
      </c>
      <c r="C7" s="22"/>
      <c r="D7" s="23"/>
      <c r="E7" s="228" t="s">
        <v>147</v>
      </c>
      <c r="F7" s="229"/>
      <c r="G7" s="229"/>
      <c r="H7" s="230"/>
      <c r="I7" s="61" t="s">
        <v>28</v>
      </c>
      <c r="J7" s="27"/>
      <c r="K7" s="231" t="s">
        <v>34</v>
      </c>
      <c r="L7" s="232"/>
      <c r="M7" s="233"/>
      <c r="N7" s="92">
        <f>COUNTIF(H14:H14,"LONG")+COUNTIF(H14:H14,"LONG RAW")</f>
        <v>0</v>
      </c>
      <c r="O7" s="210"/>
      <c r="P7" s="211"/>
      <c r="Q7" s="211"/>
      <c r="R7" s="211"/>
      <c r="S7" s="211"/>
      <c r="T7" s="211"/>
      <c r="U7" s="212"/>
    </row>
    <row r="8" spans="1:21" ht="14.45" customHeight="1">
      <c r="A8" s="45"/>
      <c r="B8" s="22" t="s">
        <v>7</v>
      </c>
      <c r="C8" s="22"/>
      <c r="D8" s="23"/>
      <c r="E8" s="228" t="s">
        <v>524</v>
      </c>
      <c r="F8" s="229"/>
      <c r="G8" s="229"/>
      <c r="H8" s="230"/>
      <c r="I8" s="62"/>
      <c r="J8" s="27"/>
      <c r="K8" s="234"/>
      <c r="L8" s="235"/>
      <c r="M8" s="236"/>
      <c r="N8" s="92"/>
      <c r="O8" s="210"/>
      <c r="P8" s="211"/>
      <c r="Q8" s="211"/>
      <c r="R8" s="211"/>
      <c r="S8" s="211"/>
      <c r="T8" s="211"/>
      <c r="U8" s="212"/>
    </row>
    <row r="9" spans="1:21" ht="14.45" customHeight="1">
      <c r="A9" s="45"/>
      <c r="B9" s="22" t="s">
        <v>8</v>
      </c>
      <c r="C9" s="22"/>
      <c r="D9" s="23"/>
      <c r="E9" s="237" t="s">
        <v>68</v>
      </c>
      <c r="F9" s="238"/>
      <c r="G9" s="238"/>
      <c r="H9" s="239"/>
      <c r="I9" s="61" t="s">
        <v>9</v>
      </c>
      <c r="J9" s="27"/>
      <c r="K9" s="86"/>
      <c r="L9" s="88">
        <f>SUM(N14:N37)</f>
        <v>224</v>
      </c>
      <c r="M9" s="82"/>
      <c r="N9" s="93">
        <f>SUMIF(M14:M14,"■",N14:N14)</f>
        <v>0</v>
      </c>
      <c r="O9" s="210"/>
      <c r="P9" s="211"/>
      <c r="Q9" s="211"/>
      <c r="R9" s="211"/>
      <c r="S9" s="211"/>
      <c r="T9" s="211"/>
      <c r="U9" s="212"/>
    </row>
    <row r="10" spans="1:21" ht="14.45" customHeight="1">
      <c r="A10" s="45"/>
      <c r="B10" s="22" t="s">
        <v>10</v>
      </c>
      <c r="C10" s="22"/>
      <c r="D10" s="23"/>
      <c r="E10" s="219" t="s">
        <v>68</v>
      </c>
      <c r="F10" s="220"/>
      <c r="G10" s="220"/>
      <c r="H10" s="221"/>
      <c r="I10" s="61" t="s">
        <v>11</v>
      </c>
      <c r="J10" s="27"/>
      <c r="K10" s="86"/>
      <c r="L10" s="89">
        <f>E11*L9/1000</f>
        <v>0</v>
      </c>
      <c r="M10" s="82"/>
      <c r="N10" s="55"/>
      <c r="O10" s="210"/>
      <c r="P10" s="211"/>
      <c r="Q10" s="211"/>
      <c r="R10" s="211"/>
      <c r="S10" s="211"/>
      <c r="T10" s="211"/>
      <c r="U10" s="212"/>
    </row>
    <row r="11" spans="1:21" ht="17.25" customHeight="1" thickBot="1">
      <c r="A11" s="46"/>
      <c r="B11" s="24" t="s">
        <v>29</v>
      </c>
      <c r="C11" s="24"/>
      <c r="D11" s="25"/>
      <c r="E11" s="207"/>
      <c r="F11" s="208"/>
      <c r="G11" s="208"/>
      <c r="H11" s="209"/>
      <c r="I11" s="103" t="s">
        <v>12</v>
      </c>
      <c r="J11" s="104"/>
      <c r="K11" s="87"/>
      <c r="L11" s="90"/>
      <c r="M11" s="83"/>
      <c r="N11" s="56"/>
      <c r="O11" s="210"/>
      <c r="P11" s="211"/>
      <c r="Q11" s="211"/>
      <c r="R11" s="211"/>
      <c r="S11" s="211"/>
      <c r="T11" s="211"/>
      <c r="U11" s="212"/>
    </row>
    <row r="12" spans="1:21" ht="15.75" customHeight="1" thickBot="1">
      <c r="A12" s="64"/>
      <c r="B12" s="65"/>
      <c r="C12" s="30"/>
      <c r="D12" s="30"/>
      <c r="E12" s="31"/>
      <c r="F12" s="32"/>
      <c r="G12" s="29"/>
      <c r="H12" s="28"/>
      <c r="I12" s="29"/>
      <c r="J12" s="30" t="s">
        <v>13</v>
      </c>
      <c r="K12" s="31"/>
      <c r="L12" s="66"/>
      <c r="M12" s="48"/>
      <c r="N12" s="57">
        <f>COUNTA(H14:H14)</f>
        <v>1</v>
      </c>
      <c r="O12" s="213"/>
      <c r="P12" s="214"/>
      <c r="Q12" s="214"/>
      <c r="R12" s="214"/>
      <c r="S12" s="214"/>
      <c r="T12" s="214"/>
      <c r="U12" s="21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16" t="s">
        <v>32</v>
      </c>
      <c r="Q13" s="217"/>
      <c r="R13" s="217"/>
      <c r="S13" s="217"/>
      <c r="T13" s="217"/>
      <c r="U13" s="218"/>
    </row>
    <row r="14" spans="1:21" ht="15.75" customHeight="1">
      <c r="A14" s="85" t="s">
        <v>188</v>
      </c>
      <c r="B14" s="37">
        <f t="shared" ref="B14:B28" si="0">ROW()-13</f>
        <v>1</v>
      </c>
      <c r="C14" s="145" t="s">
        <v>528</v>
      </c>
      <c r="D14" s="80"/>
      <c r="E14" s="81"/>
      <c r="F14" s="146" t="s">
        <v>529</v>
      </c>
      <c r="G14" s="17"/>
      <c r="H14" s="18" t="s">
        <v>209</v>
      </c>
      <c r="I14" s="59"/>
      <c r="J14" s="19"/>
      <c r="K14" s="19"/>
      <c r="L14" s="50"/>
      <c r="M14" s="73" t="s">
        <v>21</v>
      </c>
      <c r="N14" s="54">
        <f t="shared" ref="N14:N35" si="1">IF(H14="NUMBER",IF(J14&gt;0,INT((J14+1)/2+0.9),0),IF(H14="DATE",7,IF(OR(H14="LONG",H14="LONG RAW"),100000,J14)))</f>
        <v>0</v>
      </c>
      <c r="O14" s="167"/>
      <c r="P14" s="203" t="s">
        <v>530</v>
      </c>
      <c r="Q14" s="204"/>
      <c r="R14" s="204"/>
      <c r="S14" s="204"/>
      <c r="T14" s="204"/>
      <c r="U14" s="205"/>
    </row>
    <row r="15" spans="1:21" ht="15.75" customHeight="1">
      <c r="A15" s="85"/>
      <c r="B15" s="37">
        <f t="shared" si="0"/>
        <v>2</v>
      </c>
      <c r="C15" s="145" t="s">
        <v>186</v>
      </c>
      <c r="D15" s="80"/>
      <c r="E15" s="81"/>
      <c r="F15" s="146" t="s">
        <v>1029</v>
      </c>
      <c r="G15" s="17"/>
      <c r="H15" s="18" t="s">
        <v>49</v>
      </c>
      <c r="I15" s="59"/>
      <c r="J15" s="19">
        <v>1</v>
      </c>
      <c r="K15" s="19"/>
      <c r="L15" s="50" t="s">
        <v>187</v>
      </c>
      <c r="M15" s="73" t="s">
        <v>21</v>
      </c>
      <c r="N15" s="54">
        <f t="shared" si="1"/>
        <v>1</v>
      </c>
      <c r="O15" s="167"/>
      <c r="P15" s="203"/>
      <c r="Q15" s="204"/>
      <c r="R15" s="204"/>
      <c r="S15" s="204"/>
      <c r="T15" s="204"/>
      <c r="U15" s="205"/>
    </row>
    <row r="16" spans="1:21" ht="15.75" customHeight="1">
      <c r="A16" s="85"/>
      <c r="B16" s="37">
        <f t="shared" si="0"/>
        <v>3</v>
      </c>
      <c r="C16" s="145" t="s">
        <v>531</v>
      </c>
      <c r="D16" s="80"/>
      <c r="E16" s="81"/>
      <c r="F16" s="146" t="s">
        <v>326</v>
      </c>
      <c r="G16" s="17"/>
      <c r="H16" s="18" t="s">
        <v>51</v>
      </c>
      <c r="I16" s="59"/>
      <c r="J16" s="19">
        <v>14</v>
      </c>
      <c r="K16" s="19"/>
      <c r="L16" s="50" t="s">
        <v>187</v>
      </c>
      <c r="M16" s="73" t="s">
        <v>21</v>
      </c>
      <c r="N16" s="54">
        <f t="shared" si="1"/>
        <v>14</v>
      </c>
      <c r="O16" s="167"/>
      <c r="P16" s="203"/>
      <c r="Q16" s="204"/>
      <c r="R16" s="204"/>
      <c r="S16" s="204"/>
      <c r="T16" s="204"/>
      <c r="U16" s="205"/>
    </row>
    <row r="17" spans="1:21" ht="15.75" customHeight="1">
      <c r="A17" s="85"/>
      <c r="B17" s="37">
        <f t="shared" si="0"/>
        <v>4</v>
      </c>
      <c r="C17" s="145" t="s">
        <v>193</v>
      </c>
      <c r="D17" s="80"/>
      <c r="E17" s="81"/>
      <c r="F17" s="146" t="s">
        <v>194</v>
      </c>
      <c r="G17" s="17"/>
      <c r="H17" s="18" t="s">
        <v>49</v>
      </c>
      <c r="I17" s="59"/>
      <c r="J17" s="19">
        <v>12</v>
      </c>
      <c r="K17" s="19"/>
      <c r="L17" s="50"/>
      <c r="M17" s="73" t="s">
        <v>21</v>
      </c>
      <c r="N17" s="54">
        <f t="shared" si="1"/>
        <v>12</v>
      </c>
      <c r="O17" s="167"/>
      <c r="P17" s="203"/>
      <c r="Q17" s="204"/>
      <c r="R17" s="204"/>
      <c r="S17" s="204"/>
      <c r="T17" s="204"/>
      <c r="U17" s="205"/>
    </row>
    <row r="18" spans="1:21" ht="15.75" customHeight="1">
      <c r="A18" s="85"/>
      <c r="B18" s="37">
        <f t="shared" si="0"/>
        <v>5</v>
      </c>
      <c r="C18" s="145" t="s">
        <v>195</v>
      </c>
      <c r="D18" s="80"/>
      <c r="E18" s="81"/>
      <c r="F18" s="146" t="s">
        <v>1058</v>
      </c>
      <c r="G18" s="17"/>
      <c r="H18" s="18" t="s">
        <v>49</v>
      </c>
      <c r="I18" s="59"/>
      <c r="J18" s="19">
        <v>1</v>
      </c>
      <c r="K18" s="19"/>
      <c r="L18" s="50" t="s">
        <v>187</v>
      </c>
      <c r="M18" s="73" t="s">
        <v>21</v>
      </c>
      <c r="N18" s="54">
        <f t="shared" si="1"/>
        <v>1</v>
      </c>
      <c r="O18" s="167"/>
      <c r="P18" s="203" t="s">
        <v>174</v>
      </c>
      <c r="Q18" s="204"/>
      <c r="R18" s="204"/>
      <c r="S18" s="204"/>
      <c r="T18" s="204"/>
      <c r="U18" s="205"/>
    </row>
    <row r="19" spans="1:21" ht="15.75" customHeight="1">
      <c r="A19" s="85"/>
      <c r="B19" s="37">
        <f t="shared" si="0"/>
        <v>6</v>
      </c>
      <c r="C19" s="145" t="s">
        <v>196</v>
      </c>
      <c r="D19" s="80"/>
      <c r="E19" s="81"/>
      <c r="F19" s="146" t="s">
        <v>197</v>
      </c>
      <c r="G19" s="17"/>
      <c r="H19" s="18" t="s">
        <v>51</v>
      </c>
      <c r="I19" s="59"/>
      <c r="J19" s="19">
        <v>25</v>
      </c>
      <c r="K19" s="19"/>
      <c r="L19" s="50" t="s">
        <v>187</v>
      </c>
      <c r="M19" s="73" t="s">
        <v>21</v>
      </c>
      <c r="N19" s="54">
        <f t="shared" si="1"/>
        <v>25</v>
      </c>
      <c r="O19" s="167"/>
      <c r="P19" s="203"/>
      <c r="Q19" s="204"/>
      <c r="R19" s="204"/>
      <c r="S19" s="204"/>
      <c r="T19" s="204"/>
      <c r="U19" s="205"/>
    </row>
    <row r="20" spans="1:21" ht="15.75" customHeight="1">
      <c r="A20" s="85"/>
      <c r="B20" s="37">
        <f t="shared" si="0"/>
        <v>7</v>
      </c>
      <c r="C20" s="145" t="s">
        <v>198</v>
      </c>
      <c r="D20" s="80"/>
      <c r="E20" s="81"/>
      <c r="F20" s="146" t="s">
        <v>199</v>
      </c>
      <c r="G20" s="17"/>
      <c r="H20" s="18" t="s">
        <v>51</v>
      </c>
      <c r="I20" s="59"/>
      <c r="J20" s="19">
        <v>4</v>
      </c>
      <c r="K20" s="19"/>
      <c r="L20" s="50" t="s">
        <v>187</v>
      </c>
      <c r="M20" s="73" t="s">
        <v>21</v>
      </c>
      <c r="N20" s="54">
        <f t="shared" si="1"/>
        <v>4</v>
      </c>
      <c r="O20" s="167"/>
      <c r="P20" s="203" t="s">
        <v>200</v>
      </c>
      <c r="Q20" s="204"/>
      <c r="R20" s="204"/>
      <c r="S20" s="204"/>
      <c r="T20" s="204"/>
      <c r="U20" s="205"/>
    </row>
    <row r="21" spans="1:21" ht="62.85" customHeight="1">
      <c r="A21" s="85"/>
      <c r="B21" s="37">
        <f t="shared" si="0"/>
        <v>8</v>
      </c>
      <c r="C21" s="145" t="s">
        <v>201</v>
      </c>
      <c r="D21" s="80"/>
      <c r="E21" s="81"/>
      <c r="F21" s="146" t="s">
        <v>202</v>
      </c>
      <c r="G21" s="17"/>
      <c r="H21" s="18" t="s">
        <v>49</v>
      </c>
      <c r="I21" s="59"/>
      <c r="J21" s="19">
        <v>1</v>
      </c>
      <c r="K21" s="19"/>
      <c r="L21" s="50" t="s">
        <v>187</v>
      </c>
      <c r="M21" s="73" t="s">
        <v>21</v>
      </c>
      <c r="N21" s="54">
        <f t="shared" si="1"/>
        <v>1</v>
      </c>
      <c r="O21" s="167"/>
      <c r="P21" s="206" t="s">
        <v>267</v>
      </c>
      <c r="Q21" s="204"/>
      <c r="R21" s="204"/>
      <c r="S21" s="204"/>
      <c r="T21" s="204"/>
      <c r="U21" s="205"/>
    </row>
    <row r="22" spans="1:21" ht="27.6" customHeight="1">
      <c r="A22" s="85"/>
      <c r="B22" s="37">
        <f t="shared" si="0"/>
        <v>9</v>
      </c>
      <c r="C22" s="145" t="s">
        <v>204</v>
      </c>
      <c r="D22" s="80"/>
      <c r="E22" s="81"/>
      <c r="F22" s="146" t="s">
        <v>205</v>
      </c>
      <c r="G22" s="17"/>
      <c r="H22" s="18" t="s">
        <v>49</v>
      </c>
      <c r="I22" s="59"/>
      <c r="J22" s="19">
        <v>1</v>
      </c>
      <c r="K22" s="19"/>
      <c r="L22" s="50" t="s">
        <v>187</v>
      </c>
      <c r="M22" s="73" t="s">
        <v>21</v>
      </c>
      <c r="N22" s="54">
        <f t="shared" si="1"/>
        <v>1</v>
      </c>
      <c r="O22" s="167"/>
      <c r="P22" s="206" t="s">
        <v>206</v>
      </c>
      <c r="Q22" s="204"/>
      <c r="R22" s="204"/>
      <c r="S22" s="204"/>
      <c r="T22" s="204"/>
      <c r="U22" s="205"/>
    </row>
    <row r="23" spans="1:21" ht="15.75" customHeight="1">
      <c r="A23" s="85"/>
      <c r="B23" s="37">
        <f t="shared" si="0"/>
        <v>10</v>
      </c>
      <c r="C23" s="145" t="s">
        <v>191</v>
      </c>
      <c r="D23" s="80"/>
      <c r="E23" s="81"/>
      <c r="F23" s="146" t="s">
        <v>192</v>
      </c>
      <c r="G23" s="17"/>
      <c r="H23" s="18" t="s">
        <v>49</v>
      </c>
      <c r="I23" s="59"/>
      <c r="J23" s="19">
        <v>3</v>
      </c>
      <c r="K23" s="19"/>
      <c r="L23" s="50"/>
      <c r="M23" s="73" t="s">
        <v>21</v>
      </c>
      <c r="N23" s="54">
        <f t="shared" si="1"/>
        <v>3</v>
      </c>
      <c r="O23" s="167"/>
      <c r="P23" s="203" t="s">
        <v>163</v>
      </c>
      <c r="Q23" s="204"/>
      <c r="R23" s="204"/>
      <c r="S23" s="204"/>
      <c r="T23" s="204"/>
      <c r="U23" s="205"/>
    </row>
    <row r="24" spans="1:21" ht="15.75" customHeight="1">
      <c r="A24" s="85"/>
      <c r="B24" s="37">
        <f t="shared" si="0"/>
        <v>11</v>
      </c>
      <c r="C24" s="145" t="s">
        <v>532</v>
      </c>
      <c r="D24" s="80"/>
      <c r="E24" s="81"/>
      <c r="F24" s="146" t="s">
        <v>533</v>
      </c>
      <c r="G24" s="17"/>
      <c r="H24" s="18" t="s">
        <v>24</v>
      </c>
      <c r="I24" s="59"/>
      <c r="J24" s="19"/>
      <c r="K24" s="19"/>
      <c r="L24" s="50"/>
      <c r="M24" s="73" t="s">
        <v>21</v>
      </c>
      <c r="N24" s="54">
        <f t="shared" si="1"/>
        <v>7</v>
      </c>
      <c r="O24" s="167"/>
      <c r="P24" s="203"/>
      <c r="Q24" s="204"/>
      <c r="R24" s="204"/>
      <c r="S24" s="204"/>
      <c r="T24" s="204"/>
      <c r="U24" s="205"/>
    </row>
    <row r="25" spans="1:21" ht="35.25" customHeight="1">
      <c r="A25" s="85"/>
      <c r="B25" s="37">
        <f t="shared" si="0"/>
        <v>12</v>
      </c>
      <c r="C25" s="145" t="s">
        <v>534</v>
      </c>
      <c r="D25" s="80"/>
      <c r="E25" s="81"/>
      <c r="F25" s="146" t="s">
        <v>535</v>
      </c>
      <c r="G25" s="17"/>
      <c r="H25" s="18" t="s">
        <v>49</v>
      </c>
      <c r="I25" s="59"/>
      <c r="J25" s="19">
        <v>1</v>
      </c>
      <c r="K25" s="19"/>
      <c r="L25" s="50"/>
      <c r="M25" s="73" t="s">
        <v>21</v>
      </c>
      <c r="N25" s="54">
        <f t="shared" si="1"/>
        <v>1</v>
      </c>
      <c r="O25" s="167"/>
      <c r="P25" s="262" t="s">
        <v>1095</v>
      </c>
      <c r="Q25" s="263"/>
      <c r="R25" s="263"/>
      <c r="S25" s="263"/>
      <c r="T25" s="263"/>
      <c r="U25" s="264"/>
    </row>
    <row r="26" spans="1:21" ht="15.75" customHeight="1">
      <c r="A26" s="85"/>
      <c r="B26" s="37">
        <f t="shared" si="0"/>
        <v>13</v>
      </c>
      <c r="C26" s="145" t="s">
        <v>1092</v>
      </c>
      <c r="D26" s="80"/>
      <c r="E26" s="81"/>
      <c r="F26" s="146" t="s">
        <v>1093</v>
      </c>
      <c r="G26" s="17"/>
      <c r="H26" s="18" t="s">
        <v>49</v>
      </c>
      <c r="I26" s="59"/>
      <c r="J26" s="19">
        <v>1</v>
      </c>
      <c r="K26" s="19"/>
      <c r="L26" s="50"/>
      <c r="M26" s="73" t="s">
        <v>21</v>
      </c>
      <c r="N26" s="54">
        <f t="shared" ref="N26" si="2">IF(H26="NUMBER",IF(J26&gt;0,INT((J26+1)/2+0.9),0),IF(H26="DATE",7,IF(OR(H26="LONG",H26="LONG RAW"),100000,J26)))</f>
        <v>1</v>
      </c>
      <c r="O26" s="167"/>
      <c r="P26" s="203" t="s">
        <v>1094</v>
      </c>
      <c r="Q26" s="204"/>
      <c r="R26" s="204"/>
      <c r="S26" s="204"/>
      <c r="T26" s="204"/>
      <c r="U26" s="205"/>
    </row>
    <row r="27" spans="1:21" ht="15.75" customHeight="1">
      <c r="A27" s="85"/>
      <c r="B27" s="37">
        <f t="shared" si="0"/>
        <v>14</v>
      </c>
      <c r="C27" s="145" t="s">
        <v>536</v>
      </c>
      <c r="D27" s="80"/>
      <c r="E27" s="81"/>
      <c r="F27" s="146" t="s">
        <v>537</v>
      </c>
      <c r="G27" s="17"/>
      <c r="H27" s="18" t="s">
        <v>49</v>
      </c>
      <c r="I27" s="59"/>
      <c r="J27" s="19">
        <v>1</v>
      </c>
      <c r="K27" s="19"/>
      <c r="L27" s="50"/>
      <c r="M27" s="73" t="s">
        <v>21</v>
      </c>
      <c r="N27" s="54">
        <f t="shared" si="1"/>
        <v>1</v>
      </c>
      <c r="O27" s="167"/>
      <c r="P27" s="203" t="s">
        <v>1091</v>
      </c>
      <c r="Q27" s="204"/>
      <c r="R27" s="204"/>
      <c r="S27" s="204"/>
      <c r="T27" s="204"/>
      <c r="U27" s="205"/>
    </row>
    <row r="28" spans="1:21" ht="15.75" customHeight="1">
      <c r="A28" s="85"/>
      <c r="B28" s="37">
        <f t="shared" si="0"/>
        <v>15</v>
      </c>
      <c r="C28" s="145" t="s">
        <v>293</v>
      </c>
      <c r="D28" s="80"/>
      <c r="E28" s="81"/>
      <c r="F28" s="146" t="s">
        <v>294</v>
      </c>
      <c r="G28" s="17"/>
      <c r="H28" s="18" t="s">
        <v>51</v>
      </c>
      <c r="I28" s="59"/>
      <c r="J28" s="19">
        <v>100</v>
      </c>
      <c r="K28" s="19"/>
      <c r="L28" s="50"/>
      <c r="M28" s="73" t="s">
        <v>21</v>
      </c>
      <c r="N28" s="54">
        <f t="shared" si="1"/>
        <v>100</v>
      </c>
      <c r="O28" s="167"/>
      <c r="P28" s="203" t="s">
        <v>538</v>
      </c>
      <c r="Q28" s="204"/>
      <c r="R28" s="204"/>
      <c r="S28" s="204"/>
      <c r="T28" s="204"/>
      <c r="U28" s="205"/>
    </row>
    <row r="29" spans="1:21" ht="15.75">
      <c r="A29" s="85"/>
      <c r="B29" s="37">
        <f t="shared" ref="B29:B35" si="3">ROW()-13</f>
        <v>16</v>
      </c>
      <c r="C29" s="107" t="s">
        <v>36</v>
      </c>
      <c r="D29" s="107"/>
      <c r="E29" s="108"/>
      <c r="F29" s="109" t="s">
        <v>78</v>
      </c>
      <c r="G29" s="110"/>
      <c r="H29" s="18" t="s">
        <v>51</v>
      </c>
      <c r="I29" s="59"/>
      <c r="J29" s="113">
        <v>12</v>
      </c>
      <c r="K29" s="113"/>
      <c r="L29" s="114"/>
      <c r="M29" s="115" t="s">
        <v>35</v>
      </c>
      <c r="N29" s="116">
        <f t="shared" si="1"/>
        <v>12</v>
      </c>
      <c r="O29" s="168"/>
      <c r="P29" s="200"/>
      <c r="Q29" s="201"/>
      <c r="R29" s="201"/>
      <c r="S29" s="201"/>
      <c r="T29" s="201"/>
      <c r="U29" s="202"/>
    </row>
    <row r="30" spans="1:21" ht="15.75">
      <c r="A30" s="85"/>
      <c r="B30" s="37">
        <f t="shared" si="3"/>
        <v>17</v>
      </c>
      <c r="C30" s="107" t="s">
        <v>37</v>
      </c>
      <c r="D30" s="107"/>
      <c r="E30" s="108"/>
      <c r="F30" s="109" t="s">
        <v>43</v>
      </c>
      <c r="G30" s="110"/>
      <c r="H30" s="18" t="s">
        <v>51</v>
      </c>
      <c r="I30" s="59"/>
      <c r="J30" s="113">
        <v>10</v>
      </c>
      <c r="K30" s="113"/>
      <c r="L30" s="114"/>
      <c r="M30" s="115" t="s">
        <v>21</v>
      </c>
      <c r="N30" s="116">
        <f t="shared" si="1"/>
        <v>10</v>
      </c>
      <c r="O30" s="168"/>
      <c r="P30" s="200"/>
      <c r="Q30" s="201"/>
      <c r="R30" s="201"/>
      <c r="S30" s="201"/>
      <c r="T30" s="201"/>
      <c r="U30" s="202"/>
    </row>
    <row r="31" spans="1:21" ht="15.75">
      <c r="A31" s="85"/>
      <c r="B31" s="37">
        <f t="shared" si="3"/>
        <v>18</v>
      </c>
      <c r="C31" s="107" t="s">
        <v>38</v>
      </c>
      <c r="D31" s="107"/>
      <c r="E31" s="108"/>
      <c r="F31" s="109" t="s">
        <v>80</v>
      </c>
      <c r="G31" s="110"/>
      <c r="H31" s="18" t="s">
        <v>86</v>
      </c>
      <c r="I31" s="59"/>
      <c r="J31" s="113"/>
      <c r="K31" s="113"/>
      <c r="L31" s="114"/>
      <c r="M31" s="115" t="s">
        <v>21</v>
      </c>
      <c r="N31" s="116">
        <f t="shared" si="1"/>
        <v>0</v>
      </c>
      <c r="O31" s="168"/>
      <c r="P31" s="200"/>
      <c r="Q31" s="201"/>
      <c r="R31" s="201"/>
      <c r="S31" s="201"/>
      <c r="T31" s="201"/>
      <c r="U31" s="202"/>
    </row>
    <row r="32" spans="1:21" ht="15.75">
      <c r="A32" s="85"/>
      <c r="B32" s="37">
        <f t="shared" si="3"/>
        <v>19</v>
      </c>
      <c r="C32" s="107" t="s">
        <v>39</v>
      </c>
      <c r="D32" s="107"/>
      <c r="E32" s="108"/>
      <c r="F32" s="109" t="s">
        <v>79</v>
      </c>
      <c r="G32" s="110"/>
      <c r="H32" s="18" t="s">
        <v>51</v>
      </c>
      <c r="I32" s="59"/>
      <c r="J32" s="113">
        <v>12</v>
      </c>
      <c r="K32" s="113"/>
      <c r="L32" s="114"/>
      <c r="M32" s="115" t="s">
        <v>35</v>
      </c>
      <c r="N32" s="116">
        <f t="shared" si="1"/>
        <v>12</v>
      </c>
      <c r="O32" s="168"/>
      <c r="P32" s="200"/>
      <c r="Q32" s="201"/>
      <c r="R32" s="201"/>
      <c r="S32" s="201"/>
      <c r="T32" s="201"/>
      <c r="U32" s="202"/>
    </row>
    <row r="33" spans="1:21" ht="15.75">
      <c r="A33" s="85"/>
      <c r="B33" s="37">
        <f t="shared" si="3"/>
        <v>20</v>
      </c>
      <c r="C33" s="107" t="s">
        <v>40</v>
      </c>
      <c r="D33" s="107"/>
      <c r="E33" s="108"/>
      <c r="F33" s="109" t="s">
        <v>44</v>
      </c>
      <c r="G33" s="110"/>
      <c r="H33" s="18" t="s">
        <v>51</v>
      </c>
      <c r="I33" s="59"/>
      <c r="J33" s="113">
        <v>10</v>
      </c>
      <c r="K33" s="113"/>
      <c r="L33" s="114"/>
      <c r="M33" s="115" t="s">
        <v>21</v>
      </c>
      <c r="N33" s="116">
        <f t="shared" si="1"/>
        <v>10</v>
      </c>
      <c r="O33" s="168"/>
      <c r="P33" s="200"/>
      <c r="Q33" s="201"/>
      <c r="R33" s="201"/>
      <c r="S33" s="201"/>
      <c r="T33" s="201"/>
      <c r="U33" s="202"/>
    </row>
    <row r="34" spans="1:21" ht="15.75">
      <c r="A34" s="85"/>
      <c r="B34" s="37">
        <f t="shared" si="3"/>
        <v>21</v>
      </c>
      <c r="C34" s="107" t="s">
        <v>41</v>
      </c>
      <c r="D34" s="107"/>
      <c r="E34" s="108"/>
      <c r="F34" s="109" t="s">
        <v>81</v>
      </c>
      <c r="G34" s="110"/>
      <c r="H34" s="18" t="s">
        <v>86</v>
      </c>
      <c r="I34" s="59"/>
      <c r="J34" s="113"/>
      <c r="K34" s="113"/>
      <c r="L34" s="114"/>
      <c r="M34" s="115" t="s">
        <v>21</v>
      </c>
      <c r="N34" s="116">
        <f t="shared" si="1"/>
        <v>0</v>
      </c>
      <c r="O34" s="168"/>
      <c r="P34" s="200"/>
      <c r="Q34" s="201"/>
      <c r="R34" s="201"/>
      <c r="S34" s="201"/>
      <c r="T34" s="201"/>
      <c r="U34" s="202"/>
    </row>
    <row r="35" spans="1:21" ht="15.75">
      <c r="A35" s="85"/>
      <c r="B35" s="37">
        <f t="shared" si="3"/>
        <v>22</v>
      </c>
      <c r="C35" s="80" t="s">
        <v>46</v>
      </c>
      <c r="D35" s="80"/>
      <c r="E35" s="81"/>
      <c r="F35" s="84" t="s">
        <v>71</v>
      </c>
      <c r="G35" s="17"/>
      <c r="H35" s="18" t="s">
        <v>62</v>
      </c>
      <c r="I35" s="59"/>
      <c r="J35" s="19">
        <v>8</v>
      </c>
      <c r="K35" s="19"/>
      <c r="L35" s="50" t="s">
        <v>47</v>
      </c>
      <c r="M35" s="73" t="s">
        <v>35</v>
      </c>
      <c r="N35" s="54">
        <f t="shared" si="1"/>
        <v>8</v>
      </c>
      <c r="O35" s="167">
        <v>0</v>
      </c>
      <c r="P35" s="203" t="s">
        <v>48</v>
      </c>
      <c r="Q35" s="204"/>
      <c r="R35" s="204"/>
      <c r="S35" s="204"/>
      <c r="T35" s="204"/>
      <c r="U35" s="205"/>
    </row>
    <row r="36" spans="1:21" ht="16.5" thickBot="1">
      <c r="A36" s="118"/>
      <c r="B36" s="119"/>
      <c r="C36" s="120"/>
      <c r="D36" s="120"/>
      <c r="E36" s="121"/>
      <c r="F36" s="129"/>
      <c r="G36" s="122"/>
      <c r="H36" s="147"/>
      <c r="I36" s="148"/>
      <c r="J36" s="125"/>
      <c r="K36" s="125"/>
      <c r="L36" s="126"/>
      <c r="M36" s="126"/>
      <c r="N36" s="127"/>
      <c r="O36" s="169"/>
      <c r="P36" s="197"/>
      <c r="Q36" s="198"/>
      <c r="R36" s="198"/>
      <c r="S36" s="198"/>
      <c r="T36" s="198"/>
      <c r="U36" s="199"/>
    </row>
  </sheetData>
  <mergeCells count="53">
    <mergeCell ref="O1:U1"/>
    <mergeCell ref="J2:K2"/>
    <mergeCell ref="L2:M2"/>
    <mergeCell ref="O2:U2"/>
    <mergeCell ref="J3:K3"/>
    <mergeCell ref="L3:M3"/>
    <mergeCell ref="O3:U3"/>
    <mergeCell ref="J4:K4"/>
    <mergeCell ref="L4:M4"/>
    <mergeCell ref="O4:U4"/>
    <mergeCell ref="J5:K5"/>
    <mergeCell ref="L5:M5"/>
    <mergeCell ref="O5:U5"/>
    <mergeCell ref="E6:H6"/>
    <mergeCell ref="K6:M6"/>
    <mergeCell ref="O6:U6"/>
    <mergeCell ref="E7:H7"/>
    <mergeCell ref="K7:M7"/>
    <mergeCell ref="O7:U7"/>
    <mergeCell ref="P15:U15"/>
    <mergeCell ref="E8:H8"/>
    <mergeCell ref="K8:M8"/>
    <mergeCell ref="O8:U8"/>
    <mergeCell ref="E9:H9"/>
    <mergeCell ref="O9:U9"/>
    <mergeCell ref="E10:H10"/>
    <mergeCell ref="O10:U10"/>
    <mergeCell ref="E11:H11"/>
    <mergeCell ref="O11:U11"/>
    <mergeCell ref="O12:U12"/>
    <mergeCell ref="P13:U13"/>
    <mergeCell ref="P14:U14"/>
    <mergeCell ref="P28:U28"/>
    <mergeCell ref="P16:U16"/>
    <mergeCell ref="P17:U17"/>
    <mergeCell ref="P18:U18"/>
    <mergeCell ref="P19:U19"/>
    <mergeCell ref="P20:U20"/>
    <mergeCell ref="P21:U21"/>
    <mergeCell ref="P22:U22"/>
    <mergeCell ref="P23:U23"/>
    <mergeCell ref="P24:U24"/>
    <mergeCell ref="P25:U25"/>
    <mergeCell ref="P27:U27"/>
    <mergeCell ref="P26:U26"/>
    <mergeCell ref="P35:U35"/>
    <mergeCell ref="P36:U36"/>
    <mergeCell ref="P29:U29"/>
    <mergeCell ref="P30:U30"/>
    <mergeCell ref="P31:U31"/>
    <mergeCell ref="P32:U32"/>
    <mergeCell ref="P33:U33"/>
    <mergeCell ref="P34:U34"/>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769"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32770"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32771"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32772"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32773"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32774"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6" id="{6510E245-93D4-46BF-9848-76BA6E11A7B6}">
            <xm:f>(AND(H14&lt;&gt;"",ISERROR(VLOOKUP(H14,system!$E:$E,1,FALSE))))</xm:f>
            <x14:dxf>
              <fill>
                <patternFill patternType="solid">
                  <bgColor rgb="FFFF0000"/>
                </patternFill>
              </fill>
            </x14:dxf>
          </x14:cfRule>
          <xm:sqref>H14:H25 H27:H28</xm:sqref>
        </x14:conditionalFormatting>
        <x14:conditionalFormatting xmlns:xm="http://schemas.microsoft.com/office/excel/2006/main">
          <x14:cfRule type="expression" priority="5" id="{1D4AF445-59A5-468C-AAD3-ED22660E613A}">
            <xm:f>(AND(H14&lt;&gt;"",ISERROR(VLOOKUP(H14,system!$E:$E,1,FALSE))))</xm:f>
            <x14:dxf>
              <fill>
                <patternFill>
                  <bgColor rgb="FFFF0000"/>
                </patternFill>
              </fill>
            </x14:dxf>
          </x14:cfRule>
          <xm:sqref>I14:I25 I27:I28</xm:sqref>
        </x14:conditionalFormatting>
        <x14:conditionalFormatting xmlns:xm="http://schemas.microsoft.com/office/excel/2006/main">
          <x14:cfRule type="expression" priority="4" id="{3BFC06AF-9AB6-4450-8BAB-9FEA5BB26958}">
            <xm:f>(AND(H29&lt;&gt;"",ISERROR(VLOOKUP(H29,system!$E:$E,1,FALSE))))</xm:f>
            <x14:dxf>
              <fill>
                <patternFill patternType="solid">
                  <bgColor rgb="FFFF0000"/>
                </patternFill>
              </fill>
            </x14:dxf>
          </x14:cfRule>
          <xm:sqref>H29:H36</xm:sqref>
        </x14:conditionalFormatting>
        <x14:conditionalFormatting xmlns:xm="http://schemas.microsoft.com/office/excel/2006/main">
          <x14:cfRule type="expression" priority="3" id="{64490BA6-DB29-4B6F-A0EC-FF65FE0EADE0}">
            <xm:f>(AND(H29&lt;&gt;"",ISERROR(VLOOKUP(H29,system!$E:$E,1,FALSE))))</xm:f>
            <x14:dxf>
              <fill>
                <patternFill>
                  <bgColor rgb="FFFF0000"/>
                </patternFill>
              </fill>
            </x14:dxf>
          </x14:cfRule>
          <xm:sqref>I29:I36</xm:sqref>
        </x14:conditionalFormatting>
        <x14:conditionalFormatting xmlns:xm="http://schemas.microsoft.com/office/excel/2006/main">
          <x14:cfRule type="expression" priority="2" id="{5097E6AD-407F-4508-A782-F8CE4F5A096D}">
            <xm:f>(AND(H26&lt;&gt;"",ISERROR(VLOOKUP(H26,system!$E:$E,1,FALSE))))</xm:f>
            <x14:dxf>
              <fill>
                <patternFill patternType="solid">
                  <bgColor rgb="FFFF0000"/>
                </patternFill>
              </fill>
            </x14:dxf>
          </x14:cfRule>
          <xm:sqref>H26</xm:sqref>
        </x14:conditionalFormatting>
        <x14:conditionalFormatting xmlns:xm="http://schemas.microsoft.com/office/excel/2006/main">
          <x14:cfRule type="expression" priority="1" id="{14D04E37-A6EB-433C-AB32-D6FE7E83FE86}">
            <xm:f>(AND(H26&lt;&gt;"",ISERROR(VLOOKUP(H26,system!$E:$E,1,FALSE))))</xm:f>
            <x14:dxf>
              <fill>
                <patternFill>
                  <bgColor rgb="FFFF0000"/>
                </patternFill>
              </fill>
            </x14:dxf>
          </x14:cfRule>
          <xm:sqref>I26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A1:U40"/>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7" t="s">
        <v>27</v>
      </c>
      <c r="P1" s="248"/>
      <c r="Q1" s="248"/>
      <c r="R1" s="248"/>
      <c r="S1" s="248"/>
      <c r="T1" s="248"/>
      <c r="U1" s="249"/>
    </row>
    <row r="2" spans="1:21" ht="14.45" customHeight="1">
      <c r="A2" s="39"/>
      <c r="B2" s="100" t="s">
        <v>64</v>
      </c>
      <c r="C2" s="5"/>
      <c r="D2" s="5"/>
      <c r="E2" s="5"/>
      <c r="F2" s="5"/>
      <c r="G2" s="6"/>
      <c r="H2" s="7"/>
      <c r="I2" s="8"/>
      <c r="J2" s="250"/>
      <c r="K2" s="251"/>
      <c r="L2" s="250"/>
      <c r="M2" s="251"/>
      <c r="N2" s="52"/>
      <c r="O2" s="252" t="s">
        <v>543</v>
      </c>
      <c r="P2" s="253"/>
      <c r="Q2" s="253"/>
      <c r="R2" s="253"/>
      <c r="S2" s="253"/>
      <c r="T2" s="253"/>
      <c r="U2" s="254"/>
    </row>
    <row r="3" spans="1:21" ht="14.25" customHeight="1">
      <c r="A3" s="40"/>
      <c r="B3" s="35"/>
      <c r="C3" s="5"/>
      <c r="D3" s="5"/>
      <c r="E3" s="5"/>
      <c r="F3" s="5"/>
      <c r="G3" s="9"/>
      <c r="H3" s="10"/>
      <c r="I3" s="176" t="s">
        <v>1032</v>
      </c>
      <c r="J3" s="255" t="s">
        <v>1032</v>
      </c>
      <c r="K3" s="256"/>
      <c r="L3" s="255" t="s">
        <v>1032</v>
      </c>
      <c r="M3" s="256"/>
      <c r="N3" s="52"/>
      <c r="O3" s="257"/>
      <c r="P3" s="258"/>
      <c r="Q3" s="258"/>
      <c r="R3" s="258"/>
      <c r="S3" s="258"/>
      <c r="T3" s="258"/>
      <c r="U3" s="259"/>
    </row>
    <row r="4" spans="1:21" ht="14.45" customHeight="1">
      <c r="A4" s="41"/>
      <c r="B4" s="36" t="s">
        <v>3</v>
      </c>
      <c r="C4" s="5"/>
      <c r="D4" s="5"/>
      <c r="E4" s="5"/>
      <c r="F4" s="5"/>
      <c r="G4" s="6"/>
      <c r="H4" s="10"/>
      <c r="I4" s="177" t="s">
        <v>1035</v>
      </c>
      <c r="J4" s="240" t="s">
        <v>1034</v>
      </c>
      <c r="K4" s="241"/>
      <c r="L4" s="240" t="s">
        <v>1033</v>
      </c>
      <c r="M4" s="241"/>
      <c r="N4" s="52"/>
      <c r="O4" s="210"/>
      <c r="P4" s="211"/>
      <c r="Q4" s="211"/>
      <c r="R4" s="211"/>
      <c r="S4" s="211"/>
      <c r="T4" s="211"/>
      <c r="U4" s="212"/>
    </row>
    <row r="5" spans="1:21" ht="14.45" customHeight="1" thickBot="1">
      <c r="A5" s="42"/>
      <c r="B5" s="11"/>
      <c r="C5" s="11"/>
      <c r="D5" s="11"/>
      <c r="E5" s="11"/>
      <c r="F5" s="11"/>
      <c r="G5" s="12"/>
      <c r="H5" s="13"/>
      <c r="I5" s="14"/>
      <c r="J5" s="242"/>
      <c r="K5" s="243"/>
      <c r="L5" s="244"/>
      <c r="M5" s="245"/>
      <c r="N5" s="53"/>
      <c r="O5" s="246"/>
      <c r="P5" s="211"/>
      <c r="Q5" s="211"/>
      <c r="R5" s="211"/>
      <c r="S5" s="211"/>
      <c r="T5" s="211"/>
      <c r="U5" s="212"/>
    </row>
    <row r="6" spans="1:21" ht="14.45" customHeight="1">
      <c r="A6" s="43"/>
      <c r="B6" s="101" t="s">
        <v>4</v>
      </c>
      <c r="C6" s="20"/>
      <c r="D6" s="21"/>
      <c r="E6" s="222" t="s">
        <v>65</v>
      </c>
      <c r="F6" s="223"/>
      <c r="G6" s="223"/>
      <c r="H6" s="224"/>
      <c r="I6" s="60" t="s">
        <v>26</v>
      </c>
      <c r="J6" s="26"/>
      <c r="K6" s="225" t="s">
        <v>33</v>
      </c>
      <c r="L6" s="226"/>
      <c r="M6" s="227"/>
      <c r="N6" s="91" t="s">
        <v>5</v>
      </c>
      <c r="O6" s="210"/>
      <c r="P6" s="211"/>
      <c r="Q6" s="211"/>
      <c r="R6" s="211"/>
      <c r="S6" s="211"/>
      <c r="T6" s="211"/>
      <c r="U6" s="212"/>
    </row>
    <row r="7" spans="1:21" ht="15.75" customHeight="1">
      <c r="A7" s="44"/>
      <c r="B7" s="102" t="s">
        <v>6</v>
      </c>
      <c r="C7" s="22"/>
      <c r="D7" s="23"/>
      <c r="E7" s="228" t="s">
        <v>148</v>
      </c>
      <c r="F7" s="229"/>
      <c r="G7" s="229"/>
      <c r="H7" s="230"/>
      <c r="I7" s="61" t="s">
        <v>28</v>
      </c>
      <c r="J7" s="27"/>
      <c r="K7" s="231" t="s">
        <v>34</v>
      </c>
      <c r="L7" s="232"/>
      <c r="M7" s="233"/>
      <c r="N7" s="92">
        <f>COUNTIF(H14:H14,"LONG")+COUNTIF(H14:H14,"LONG RAW")</f>
        <v>0</v>
      </c>
      <c r="O7" s="210"/>
      <c r="P7" s="211"/>
      <c r="Q7" s="211"/>
      <c r="R7" s="211"/>
      <c r="S7" s="211"/>
      <c r="T7" s="211"/>
      <c r="U7" s="212"/>
    </row>
    <row r="8" spans="1:21" ht="14.45" customHeight="1">
      <c r="A8" s="45"/>
      <c r="B8" s="22" t="s">
        <v>7</v>
      </c>
      <c r="C8" s="22"/>
      <c r="D8" s="23"/>
      <c r="E8" s="228" t="s">
        <v>539</v>
      </c>
      <c r="F8" s="229"/>
      <c r="G8" s="229"/>
      <c r="H8" s="230"/>
      <c r="I8" s="62"/>
      <c r="J8" s="27"/>
      <c r="K8" s="234"/>
      <c r="L8" s="235"/>
      <c r="M8" s="236"/>
      <c r="N8" s="92"/>
      <c r="O8" s="210"/>
      <c r="P8" s="211"/>
      <c r="Q8" s="211"/>
      <c r="R8" s="211"/>
      <c r="S8" s="211"/>
      <c r="T8" s="211"/>
      <c r="U8" s="212"/>
    </row>
    <row r="9" spans="1:21" ht="14.45" customHeight="1">
      <c r="A9" s="45"/>
      <c r="B9" s="22" t="s">
        <v>8</v>
      </c>
      <c r="C9" s="22"/>
      <c r="D9" s="23"/>
      <c r="E9" s="237" t="s">
        <v>68</v>
      </c>
      <c r="F9" s="238"/>
      <c r="G9" s="238"/>
      <c r="H9" s="239"/>
      <c r="I9" s="61" t="s">
        <v>9</v>
      </c>
      <c r="J9" s="27"/>
      <c r="K9" s="86"/>
      <c r="L9" s="88">
        <f>SUM(N14:N41)</f>
        <v>153</v>
      </c>
      <c r="M9" s="82"/>
      <c r="N9" s="93">
        <f>SUMIF(M14:M14,"■",N14:N14)</f>
        <v>0</v>
      </c>
      <c r="O9" s="210"/>
      <c r="P9" s="211"/>
      <c r="Q9" s="211"/>
      <c r="R9" s="211"/>
      <c r="S9" s="211"/>
      <c r="T9" s="211"/>
      <c r="U9" s="212"/>
    </row>
    <row r="10" spans="1:21" ht="14.45" customHeight="1">
      <c r="A10" s="45"/>
      <c r="B10" s="22" t="s">
        <v>10</v>
      </c>
      <c r="C10" s="22"/>
      <c r="D10" s="23"/>
      <c r="E10" s="219" t="s">
        <v>68</v>
      </c>
      <c r="F10" s="220"/>
      <c r="G10" s="220"/>
      <c r="H10" s="221"/>
      <c r="I10" s="61" t="s">
        <v>11</v>
      </c>
      <c r="J10" s="27"/>
      <c r="K10" s="86"/>
      <c r="L10" s="89">
        <f>E11*L9/1000</f>
        <v>0</v>
      </c>
      <c r="M10" s="82"/>
      <c r="N10" s="55"/>
      <c r="O10" s="210"/>
      <c r="P10" s="211"/>
      <c r="Q10" s="211"/>
      <c r="R10" s="211"/>
      <c r="S10" s="211"/>
      <c r="T10" s="211"/>
      <c r="U10" s="212"/>
    </row>
    <row r="11" spans="1:21" ht="17.25" customHeight="1" thickBot="1">
      <c r="A11" s="46"/>
      <c r="B11" s="24" t="s">
        <v>29</v>
      </c>
      <c r="C11" s="24"/>
      <c r="D11" s="25"/>
      <c r="E11" s="207"/>
      <c r="F11" s="208"/>
      <c r="G11" s="208"/>
      <c r="H11" s="209"/>
      <c r="I11" s="103" t="s">
        <v>12</v>
      </c>
      <c r="J11" s="104"/>
      <c r="K11" s="87"/>
      <c r="L11" s="90"/>
      <c r="M11" s="83"/>
      <c r="N11" s="56"/>
      <c r="O11" s="210"/>
      <c r="P11" s="211"/>
      <c r="Q11" s="211"/>
      <c r="R11" s="211"/>
      <c r="S11" s="211"/>
      <c r="T11" s="211"/>
      <c r="U11" s="212"/>
    </row>
    <row r="12" spans="1:21" ht="15.75" customHeight="1" thickBot="1">
      <c r="A12" s="64"/>
      <c r="B12" s="65"/>
      <c r="C12" s="30"/>
      <c r="D12" s="30"/>
      <c r="E12" s="31"/>
      <c r="F12" s="32"/>
      <c r="G12" s="29"/>
      <c r="H12" s="28"/>
      <c r="I12" s="29"/>
      <c r="J12" s="30" t="s">
        <v>13</v>
      </c>
      <c r="K12" s="31"/>
      <c r="L12" s="66"/>
      <c r="M12" s="48"/>
      <c r="N12" s="57">
        <f>COUNTA(H14:H14)</f>
        <v>1</v>
      </c>
      <c r="O12" s="213"/>
      <c r="P12" s="214"/>
      <c r="Q12" s="214"/>
      <c r="R12" s="214"/>
      <c r="S12" s="214"/>
      <c r="T12" s="214"/>
      <c r="U12" s="21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16" t="s">
        <v>32</v>
      </c>
      <c r="Q13" s="217"/>
      <c r="R13" s="217"/>
      <c r="S13" s="217"/>
      <c r="T13" s="217"/>
      <c r="U13" s="218"/>
    </row>
    <row r="14" spans="1:21" ht="15.75" customHeight="1">
      <c r="A14" s="85" t="s">
        <v>188</v>
      </c>
      <c r="B14" s="37">
        <f t="shared" ref="B14:B32" si="0">ROW()-13</f>
        <v>1</v>
      </c>
      <c r="C14" s="145" t="s">
        <v>186</v>
      </c>
      <c r="D14" s="80"/>
      <c r="E14" s="81"/>
      <c r="F14" s="146" t="s">
        <v>1029</v>
      </c>
      <c r="G14" s="17"/>
      <c r="H14" s="18" t="s">
        <v>49</v>
      </c>
      <c r="I14" s="59"/>
      <c r="J14" s="19">
        <v>1</v>
      </c>
      <c r="K14" s="19"/>
      <c r="L14" s="50" t="s">
        <v>187</v>
      </c>
      <c r="M14" s="73" t="s">
        <v>21</v>
      </c>
      <c r="N14" s="54">
        <f t="shared" ref="N14:N39" si="1">IF(H14="NUMBER",IF(J14&gt;0,INT((J14+1)/2+0.9),0),IF(H14="DATE",7,IF(OR(H14="LONG",H14="LONG RAW"),100000,J14)))</f>
        <v>1</v>
      </c>
      <c r="O14" s="167"/>
      <c r="P14" s="203" t="s">
        <v>174</v>
      </c>
      <c r="Q14" s="204"/>
      <c r="R14" s="204"/>
      <c r="S14" s="204"/>
      <c r="T14" s="204"/>
      <c r="U14" s="205"/>
    </row>
    <row r="15" spans="1:21" ht="15.75" customHeight="1">
      <c r="A15" s="85" t="s">
        <v>188</v>
      </c>
      <c r="B15" s="37">
        <f t="shared" si="0"/>
        <v>2</v>
      </c>
      <c r="C15" s="145" t="s">
        <v>496</v>
      </c>
      <c r="D15" s="80"/>
      <c r="E15" s="81"/>
      <c r="F15" s="146" t="s">
        <v>497</v>
      </c>
      <c r="G15" s="17"/>
      <c r="H15" s="18" t="s">
        <v>49</v>
      </c>
      <c r="I15" s="59"/>
      <c r="J15" s="19">
        <v>10</v>
      </c>
      <c r="K15" s="19"/>
      <c r="L15" s="50" t="s">
        <v>187</v>
      </c>
      <c r="M15" s="73" t="s">
        <v>21</v>
      </c>
      <c r="N15" s="54">
        <f t="shared" si="1"/>
        <v>10</v>
      </c>
      <c r="O15" s="167"/>
      <c r="P15" s="203"/>
      <c r="Q15" s="204"/>
      <c r="R15" s="204"/>
      <c r="S15" s="204"/>
      <c r="T15" s="204"/>
      <c r="U15" s="205"/>
    </row>
    <row r="16" spans="1:21" ht="15.75" customHeight="1">
      <c r="A16" s="85"/>
      <c r="B16" s="37">
        <f t="shared" si="0"/>
        <v>3</v>
      </c>
      <c r="C16" s="145" t="s">
        <v>279</v>
      </c>
      <c r="D16" s="80"/>
      <c r="E16" s="81"/>
      <c r="F16" s="146" t="s">
        <v>280</v>
      </c>
      <c r="G16" s="17"/>
      <c r="H16" s="18" t="s">
        <v>49</v>
      </c>
      <c r="I16" s="59"/>
      <c r="J16" s="19">
        <v>10</v>
      </c>
      <c r="K16" s="19"/>
      <c r="L16" s="50"/>
      <c r="M16" s="73" t="s">
        <v>21</v>
      </c>
      <c r="N16" s="54">
        <f t="shared" si="1"/>
        <v>10</v>
      </c>
      <c r="O16" s="167"/>
      <c r="P16" s="203"/>
      <c r="Q16" s="204"/>
      <c r="R16" s="204"/>
      <c r="S16" s="204"/>
      <c r="T16" s="204"/>
      <c r="U16" s="205"/>
    </row>
    <row r="17" spans="1:21" ht="15.75" customHeight="1">
      <c r="A17" s="85"/>
      <c r="B17" s="37">
        <f t="shared" si="0"/>
        <v>4</v>
      </c>
      <c r="C17" s="145" t="s">
        <v>287</v>
      </c>
      <c r="D17" s="80"/>
      <c r="E17" s="81"/>
      <c r="F17" s="146" t="s">
        <v>288</v>
      </c>
      <c r="G17" s="17"/>
      <c r="H17" s="18" t="s">
        <v>24</v>
      </c>
      <c r="I17" s="59"/>
      <c r="J17" s="19"/>
      <c r="K17" s="19"/>
      <c r="L17" s="50"/>
      <c r="M17" s="73" t="s">
        <v>21</v>
      </c>
      <c r="N17" s="54">
        <f t="shared" si="1"/>
        <v>7</v>
      </c>
      <c r="O17" s="167"/>
      <c r="P17" s="203"/>
      <c r="Q17" s="204"/>
      <c r="R17" s="204"/>
      <c r="S17" s="204"/>
      <c r="T17" s="204"/>
      <c r="U17" s="205"/>
    </row>
    <row r="18" spans="1:21" ht="15.75" customHeight="1">
      <c r="A18" s="85"/>
      <c r="B18" s="37">
        <f t="shared" si="0"/>
        <v>5</v>
      </c>
      <c r="C18" s="145" t="s">
        <v>289</v>
      </c>
      <c r="D18" s="80"/>
      <c r="E18" s="81"/>
      <c r="F18" s="146" t="s">
        <v>290</v>
      </c>
      <c r="G18" s="17"/>
      <c r="H18" s="18" t="s">
        <v>54</v>
      </c>
      <c r="I18" s="59"/>
      <c r="J18" s="19"/>
      <c r="K18" s="19"/>
      <c r="L18" s="50"/>
      <c r="M18" s="73" t="s">
        <v>21</v>
      </c>
      <c r="N18" s="54">
        <f t="shared" si="1"/>
        <v>0</v>
      </c>
      <c r="O18" s="167"/>
      <c r="P18" s="203"/>
      <c r="Q18" s="204"/>
      <c r="R18" s="204"/>
      <c r="S18" s="204"/>
      <c r="T18" s="204"/>
      <c r="U18" s="205"/>
    </row>
    <row r="19" spans="1:21" ht="15.75" customHeight="1">
      <c r="A19" s="85"/>
      <c r="B19" s="37">
        <f t="shared" si="0"/>
        <v>6</v>
      </c>
      <c r="C19" s="145" t="s">
        <v>544</v>
      </c>
      <c r="D19" s="80"/>
      <c r="E19" s="81"/>
      <c r="F19" s="146" t="s">
        <v>545</v>
      </c>
      <c r="G19" s="17"/>
      <c r="H19" s="18" t="s">
        <v>49</v>
      </c>
      <c r="I19" s="59"/>
      <c r="J19" s="19">
        <v>1</v>
      </c>
      <c r="K19" s="19"/>
      <c r="L19" s="50"/>
      <c r="M19" s="73" t="s">
        <v>21</v>
      </c>
      <c r="N19" s="54">
        <f t="shared" si="1"/>
        <v>1</v>
      </c>
      <c r="O19" s="167"/>
      <c r="P19" s="203"/>
      <c r="Q19" s="204"/>
      <c r="R19" s="204"/>
      <c r="S19" s="204"/>
      <c r="T19" s="204"/>
      <c r="U19" s="205"/>
    </row>
    <row r="20" spans="1:21" ht="15.75" customHeight="1">
      <c r="A20" s="85"/>
      <c r="B20" s="37">
        <f t="shared" si="0"/>
        <v>7</v>
      </c>
      <c r="C20" s="145" t="s">
        <v>546</v>
      </c>
      <c r="D20" s="80"/>
      <c r="E20" s="81"/>
      <c r="F20" s="146" t="s">
        <v>547</v>
      </c>
      <c r="G20" s="17"/>
      <c r="H20" s="18" t="s">
        <v>49</v>
      </c>
      <c r="I20" s="59"/>
      <c r="J20" s="19">
        <v>4</v>
      </c>
      <c r="K20" s="19"/>
      <c r="L20" s="50"/>
      <c r="M20" s="73" t="s">
        <v>21</v>
      </c>
      <c r="N20" s="54">
        <f t="shared" si="1"/>
        <v>4</v>
      </c>
      <c r="O20" s="167"/>
      <c r="P20" s="203"/>
      <c r="Q20" s="204"/>
      <c r="R20" s="204"/>
      <c r="S20" s="204"/>
      <c r="T20" s="204"/>
      <c r="U20" s="205"/>
    </row>
    <row r="21" spans="1:21" ht="15.75" customHeight="1">
      <c r="A21" s="85"/>
      <c r="B21" s="37">
        <f t="shared" si="0"/>
        <v>8</v>
      </c>
      <c r="C21" s="145" t="s">
        <v>548</v>
      </c>
      <c r="D21" s="80"/>
      <c r="E21" s="81"/>
      <c r="F21" s="146" t="s">
        <v>549</v>
      </c>
      <c r="G21" s="17"/>
      <c r="H21" s="18" t="s">
        <v>49</v>
      </c>
      <c r="I21" s="59"/>
      <c r="J21" s="19">
        <v>2</v>
      </c>
      <c r="K21" s="19"/>
      <c r="L21" s="50"/>
      <c r="M21" s="73" t="s">
        <v>21</v>
      </c>
      <c r="N21" s="54">
        <f t="shared" si="1"/>
        <v>2</v>
      </c>
      <c r="O21" s="167"/>
      <c r="P21" s="203"/>
      <c r="Q21" s="204"/>
      <c r="R21" s="204"/>
      <c r="S21" s="204"/>
      <c r="T21" s="204"/>
      <c r="U21" s="205"/>
    </row>
    <row r="22" spans="1:21" ht="15.75" customHeight="1">
      <c r="A22" s="85"/>
      <c r="B22" s="37">
        <f t="shared" si="0"/>
        <v>9</v>
      </c>
      <c r="C22" s="145" t="s">
        <v>495</v>
      </c>
      <c r="D22" s="80"/>
      <c r="E22" s="81"/>
      <c r="F22" s="146" t="s">
        <v>276</v>
      </c>
      <c r="G22" s="17"/>
      <c r="H22" s="18" t="s">
        <v>49</v>
      </c>
      <c r="I22" s="59"/>
      <c r="J22" s="19">
        <v>3</v>
      </c>
      <c r="K22" s="19"/>
      <c r="L22" s="50"/>
      <c r="M22" s="73" t="s">
        <v>21</v>
      </c>
      <c r="N22" s="54">
        <f t="shared" si="1"/>
        <v>3</v>
      </c>
      <c r="O22" s="167"/>
      <c r="P22" s="203"/>
      <c r="Q22" s="204"/>
      <c r="R22" s="204"/>
      <c r="S22" s="204"/>
      <c r="T22" s="204"/>
      <c r="U22" s="205"/>
    </row>
    <row r="23" spans="1:21" ht="15.75" customHeight="1">
      <c r="A23" s="85"/>
      <c r="B23" s="37">
        <f t="shared" si="0"/>
        <v>10</v>
      </c>
      <c r="C23" s="145" t="s">
        <v>277</v>
      </c>
      <c r="D23" s="80"/>
      <c r="E23" s="81"/>
      <c r="F23" s="146" t="s">
        <v>278</v>
      </c>
      <c r="G23" s="17"/>
      <c r="H23" s="18" t="s">
        <v>49</v>
      </c>
      <c r="I23" s="59"/>
      <c r="J23" s="19">
        <v>4</v>
      </c>
      <c r="K23" s="19"/>
      <c r="L23" s="50"/>
      <c r="M23" s="73" t="s">
        <v>21</v>
      </c>
      <c r="N23" s="54">
        <f t="shared" si="1"/>
        <v>4</v>
      </c>
      <c r="O23" s="167"/>
      <c r="P23" s="203"/>
      <c r="Q23" s="204"/>
      <c r="R23" s="204"/>
      <c r="S23" s="204"/>
      <c r="T23" s="204"/>
      <c r="U23" s="205"/>
    </row>
    <row r="24" spans="1:21" ht="15.75" customHeight="1">
      <c r="A24" s="85"/>
      <c r="B24" s="37">
        <f t="shared" si="0"/>
        <v>11</v>
      </c>
      <c r="C24" s="145" t="s">
        <v>193</v>
      </c>
      <c r="D24" s="80"/>
      <c r="E24" s="81"/>
      <c r="F24" s="146" t="s">
        <v>194</v>
      </c>
      <c r="G24" s="17"/>
      <c r="H24" s="18" t="s">
        <v>49</v>
      </c>
      <c r="I24" s="59"/>
      <c r="J24" s="19">
        <v>12</v>
      </c>
      <c r="K24" s="19"/>
      <c r="L24" s="50"/>
      <c r="M24" s="73" t="s">
        <v>21</v>
      </c>
      <c r="N24" s="54">
        <f t="shared" si="1"/>
        <v>12</v>
      </c>
      <c r="O24" s="167"/>
      <c r="P24" s="203"/>
      <c r="Q24" s="204"/>
      <c r="R24" s="204"/>
      <c r="S24" s="204"/>
      <c r="T24" s="204"/>
      <c r="U24" s="205"/>
    </row>
    <row r="25" spans="1:21" ht="15.75" customHeight="1">
      <c r="A25" s="85"/>
      <c r="B25" s="37">
        <f t="shared" si="0"/>
        <v>12</v>
      </c>
      <c r="C25" s="145" t="s">
        <v>195</v>
      </c>
      <c r="D25" s="80"/>
      <c r="E25" s="81"/>
      <c r="F25" s="146" t="s">
        <v>1058</v>
      </c>
      <c r="G25" s="17"/>
      <c r="H25" s="18" t="s">
        <v>49</v>
      </c>
      <c r="I25" s="59"/>
      <c r="J25" s="19">
        <v>1</v>
      </c>
      <c r="K25" s="19"/>
      <c r="L25" s="50" t="s">
        <v>187</v>
      </c>
      <c r="M25" s="73" t="s">
        <v>21</v>
      </c>
      <c r="N25" s="54">
        <f t="shared" si="1"/>
        <v>1</v>
      </c>
      <c r="O25" s="167"/>
      <c r="P25" s="203" t="s">
        <v>174</v>
      </c>
      <c r="Q25" s="204"/>
      <c r="R25" s="204"/>
      <c r="S25" s="204"/>
      <c r="T25" s="204"/>
      <c r="U25" s="205"/>
    </row>
    <row r="26" spans="1:21" ht="15.75" customHeight="1">
      <c r="A26" s="85"/>
      <c r="B26" s="37">
        <f t="shared" si="0"/>
        <v>13</v>
      </c>
      <c r="C26" s="145" t="s">
        <v>196</v>
      </c>
      <c r="D26" s="80"/>
      <c r="E26" s="81"/>
      <c r="F26" s="146" t="s">
        <v>197</v>
      </c>
      <c r="G26" s="17"/>
      <c r="H26" s="18" t="s">
        <v>51</v>
      </c>
      <c r="I26" s="59"/>
      <c r="J26" s="19">
        <v>25</v>
      </c>
      <c r="K26" s="19"/>
      <c r="L26" s="50" t="s">
        <v>187</v>
      </c>
      <c r="M26" s="73" t="s">
        <v>21</v>
      </c>
      <c r="N26" s="54">
        <f t="shared" si="1"/>
        <v>25</v>
      </c>
      <c r="O26" s="167"/>
      <c r="P26" s="203"/>
      <c r="Q26" s="204"/>
      <c r="R26" s="204"/>
      <c r="S26" s="204"/>
      <c r="T26" s="204"/>
      <c r="U26" s="205"/>
    </row>
    <row r="27" spans="1:21" ht="15.75" customHeight="1">
      <c r="A27" s="85"/>
      <c r="B27" s="37">
        <f t="shared" si="0"/>
        <v>14</v>
      </c>
      <c r="C27" s="145" t="s">
        <v>198</v>
      </c>
      <c r="D27" s="80"/>
      <c r="E27" s="81"/>
      <c r="F27" s="146" t="s">
        <v>199</v>
      </c>
      <c r="G27" s="17"/>
      <c r="H27" s="18" t="s">
        <v>51</v>
      </c>
      <c r="I27" s="59"/>
      <c r="J27" s="19">
        <v>4</v>
      </c>
      <c r="K27" s="19"/>
      <c r="L27" s="50" t="s">
        <v>187</v>
      </c>
      <c r="M27" s="73" t="s">
        <v>21</v>
      </c>
      <c r="N27" s="54">
        <f t="shared" si="1"/>
        <v>4</v>
      </c>
      <c r="O27" s="167"/>
      <c r="P27" s="203" t="s">
        <v>200</v>
      </c>
      <c r="Q27" s="204"/>
      <c r="R27" s="204"/>
      <c r="S27" s="204"/>
      <c r="T27" s="204"/>
      <c r="U27" s="205"/>
    </row>
    <row r="28" spans="1:21" ht="62.85" customHeight="1">
      <c r="A28" s="85"/>
      <c r="B28" s="37">
        <f t="shared" si="0"/>
        <v>15</v>
      </c>
      <c r="C28" s="145" t="s">
        <v>201</v>
      </c>
      <c r="D28" s="80"/>
      <c r="E28" s="81"/>
      <c r="F28" s="146" t="s">
        <v>202</v>
      </c>
      <c r="G28" s="17"/>
      <c r="H28" s="18" t="s">
        <v>49</v>
      </c>
      <c r="I28" s="59"/>
      <c r="J28" s="19">
        <v>1</v>
      </c>
      <c r="K28" s="19"/>
      <c r="L28" s="50" t="s">
        <v>187</v>
      </c>
      <c r="M28" s="73" t="s">
        <v>21</v>
      </c>
      <c r="N28" s="54">
        <f t="shared" si="1"/>
        <v>1</v>
      </c>
      <c r="O28" s="167"/>
      <c r="P28" s="206" t="s">
        <v>267</v>
      </c>
      <c r="Q28" s="204"/>
      <c r="R28" s="204"/>
      <c r="S28" s="204"/>
      <c r="T28" s="204"/>
      <c r="U28" s="205"/>
    </row>
    <row r="29" spans="1:21" ht="27.6" customHeight="1">
      <c r="A29" s="85"/>
      <c r="B29" s="37">
        <f t="shared" si="0"/>
        <v>16</v>
      </c>
      <c r="C29" s="145" t="s">
        <v>204</v>
      </c>
      <c r="D29" s="80"/>
      <c r="E29" s="81"/>
      <c r="F29" s="146" t="s">
        <v>205</v>
      </c>
      <c r="G29" s="17"/>
      <c r="H29" s="18" t="s">
        <v>49</v>
      </c>
      <c r="I29" s="59"/>
      <c r="J29" s="19">
        <v>1</v>
      </c>
      <c r="K29" s="19"/>
      <c r="L29" s="50" t="s">
        <v>187</v>
      </c>
      <c r="M29" s="73" t="s">
        <v>21</v>
      </c>
      <c r="N29" s="54">
        <f t="shared" si="1"/>
        <v>1</v>
      </c>
      <c r="O29" s="167"/>
      <c r="P29" s="206" t="s">
        <v>206</v>
      </c>
      <c r="Q29" s="204"/>
      <c r="R29" s="204"/>
      <c r="S29" s="204"/>
      <c r="T29" s="204"/>
      <c r="U29" s="205"/>
    </row>
    <row r="30" spans="1:21" ht="15.75" customHeight="1">
      <c r="A30" s="85"/>
      <c r="B30" s="37">
        <f t="shared" si="0"/>
        <v>17</v>
      </c>
      <c r="C30" s="145" t="s">
        <v>550</v>
      </c>
      <c r="D30" s="80"/>
      <c r="E30" s="81"/>
      <c r="F30" s="146" t="s">
        <v>551</v>
      </c>
      <c r="G30" s="17"/>
      <c r="H30" s="18" t="s">
        <v>49</v>
      </c>
      <c r="I30" s="59"/>
      <c r="J30" s="19">
        <v>12</v>
      </c>
      <c r="K30" s="19"/>
      <c r="L30" s="50"/>
      <c r="M30" s="73" t="s">
        <v>21</v>
      </c>
      <c r="N30" s="54">
        <f t="shared" si="1"/>
        <v>12</v>
      </c>
      <c r="O30" s="167"/>
      <c r="P30" s="203" t="s">
        <v>552</v>
      </c>
      <c r="Q30" s="204"/>
      <c r="R30" s="204"/>
      <c r="S30" s="204"/>
      <c r="T30" s="204"/>
      <c r="U30" s="205"/>
    </row>
    <row r="31" spans="1:21" ht="15.75" customHeight="1">
      <c r="A31" s="85"/>
      <c r="B31" s="37">
        <f t="shared" si="0"/>
        <v>18</v>
      </c>
      <c r="C31" s="145" t="s">
        <v>291</v>
      </c>
      <c r="D31" s="80"/>
      <c r="E31" s="81"/>
      <c r="F31" s="146" t="s">
        <v>292</v>
      </c>
      <c r="G31" s="17"/>
      <c r="H31" s="18" t="s">
        <v>49</v>
      </c>
      <c r="I31" s="59"/>
      <c r="J31" s="19">
        <v>3</v>
      </c>
      <c r="K31" s="19"/>
      <c r="L31" s="50"/>
      <c r="M31" s="73" t="s">
        <v>21</v>
      </c>
      <c r="N31" s="54">
        <f t="shared" si="1"/>
        <v>3</v>
      </c>
      <c r="O31" s="167"/>
      <c r="P31" s="203"/>
      <c r="Q31" s="204"/>
      <c r="R31" s="204"/>
      <c r="S31" s="204"/>
      <c r="T31" s="204"/>
      <c r="U31" s="205"/>
    </row>
    <row r="32" spans="1:21" ht="15.75" customHeight="1">
      <c r="A32" s="85"/>
      <c r="B32" s="37">
        <f t="shared" si="0"/>
        <v>19</v>
      </c>
      <c r="C32" s="145" t="s">
        <v>553</v>
      </c>
      <c r="D32" s="80"/>
      <c r="E32" s="81"/>
      <c r="F32" s="146" t="s">
        <v>554</v>
      </c>
      <c r="G32" s="17"/>
      <c r="H32" s="18" t="s">
        <v>209</v>
      </c>
      <c r="I32" s="59"/>
      <c r="J32" s="19"/>
      <c r="K32" s="19"/>
      <c r="L32" s="50"/>
      <c r="M32" s="73" t="s">
        <v>21</v>
      </c>
      <c r="N32" s="54">
        <f t="shared" si="1"/>
        <v>0</v>
      </c>
      <c r="O32" s="167"/>
      <c r="P32" s="203"/>
      <c r="Q32" s="204"/>
      <c r="R32" s="204"/>
      <c r="S32" s="204"/>
      <c r="T32" s="204"/>
      <c r="U32" s="205"/>
    </row>
    <row r="33" spans="1:21" ht="15.75">
      <c r="A33" s="85"/>
      <c r="B33" s="37">
        <f t="shared" ref="B33:B39" si="2">ROW()-13</f>
        <v>20</v>
      </c>
      <c r="C33" s="107" t="s">
        <v>36</v>
      </c>
      <c r="D33" s="107"/>
      <c r="E33" s="108"/>
      <c r="F33" s="109" t="s">
        <v>78</v>
      </c>
      <c r="G33" s="110"/>
      <c r="H33" s="18" t="s">
        <v>51</v>
      </c>
      <c r="I33" s="59"/>
      <c r="J33" s="113">
        <v>12</v>
      </c>
      <c r="K33" s="113"/>
      <c r="L33" s="114"/>
      <c r="M33" s="115" t="s">
        <v>35</v>
      </c>
      <c r="N33" s="116">
        <f t="shared" si="1"/>
        <v>12</v>
      </c>
      <c r="O33" s="168"/>
      <c r="P33" s="200"/>
      <c r="Q33" s="201"/>
      <c r="R33" s="201"/>
      <c r="S33" s="201"/>
      <c r="T33" s="201"/>
      <c r="U33" s="202"/>
    </row>
    <row r="34" spans="1:21" ht="15.75">
      <c r="A34" s="85"/>
      <c r="B34" s="37">
        <f t="shared" si="2"/>
        <v>21</v>
      </c>
      <c r="C34" s="107" t="s">
        <v>37</v>
      </c>
      <c r="D34" s="107"/>
      <c r="E34" s="108"/>
      <c r="F34" s="109" t="s">
        <v>43</v>
      </c>
      <c r="G34" s="110"/>
      <c r="H34" s="18" t="s">
        <v>51</v>
      </c>
      <c r="I34" s="59"/>
      <c r="J34" s="113">
        <v>10</v>
      </c>
      <c r="K34" s="113"/>
      <c r="L34" s="114"/>
      <c r="M34" s="115" t="s">
        <v>21</v>
      </c>
      <c r="N34" s="116">
        <f t="shared" si="1"/>
        <v>10</v>
      </c>
      <c r="O34" s="168"/>
      <c r="P34" s="200"/>
      <c r="Q34" s="201"/>
      <c r="R34" s="201"/>
      <c r="S34" s="201"/>
      <c r="T34" s="201"/>
      <c r="U34" s="202"/>
    </row>
    <row r="35" spans="1:21" ht="15.75">
      <c r="A35" s="85"/>
      <c r="B35" s="37">
        <f t="shared" si="2"/>
        <v>22</v>
      </c>
      <c r="C35" s="107" t="s">
        <v>38</v>
      </c>
      <c r="D35" s="107"/>
      <c r="E35" s="108"/>
      <c r="F35" s="109" t="s">
        <v>80</v>
      </c>
      <c r="G35" s="110"/>
      <c r="H35" s="18" t="s">
        <v>86</v>
      </c>
      <c r="I35" s="59"/>
      <c r="J35" s="113"/>
      <c r="K35" s="113"/>
      <c r="L35" s="114"/>
      <c r="M35" s="115" t="s">
        <v>21</v>
      </c>
      <c r="N35" s="116">
        <f t="shared" si="1"/>
        <v>0</v>
      </c>
      <c r="O35" s="168"/>
      <c r="P35" s="200"/>
      <c r="Q35" s="201"/>
      <c r="R35" s="201"/>
      <c r="S35" s="201"/>
      <c r="T35" s="201"/>
      <c r="U35" s="202"/>
    </row>
    <row r="36" spans="1:21" ht="15.75">
      <c r="A36" s="85"/>
      <c r="B36" s="37">
        <f t="shared" si="2"/>
        <v>23</v>
      </c>
      <c r="C36" s="107" t="s">
        <v>39</v>
      </c>
      <c r="D36" s="107"/>
      <c r="E36" s="108"/>
      <c r="F36" s="109" t="s">
        <v>79</v>
      </c>
      <c r="G36" s="110"/>
      <c r="H36" s="18" t="s">
        <v>51</v>
      </c>
      <c r="I36" s="59"/>
      <c r="J36" s="113">
        <v>12</v>
      </c>
      <c r="K36" s="113"/>
      <c r="L36" s="114"/>
      <c r="M36" s="115" t="s">
        <v>35</v>
      </c>
      <c r="N36" s="116">
        <f t="shared" si="1"/>
        <v>12</v>
      </c>
      <c r="O36" s="168"/>
      <c r="P36" s="200"/>
      <c r="Q36" s="201"/>
      <c r="R36" s="201"/>
      <c r="S36" s="201"/>
      <c r="T36" s="201"/>
      <c r="U36" s="202"/>
    </row>
    <row r="37" spans="1:21" ht="15.75">
      <c r="A37" s="85"/>
      <c r="B37" s="37">
        <f t="shared" si="2"/>
        <v>24</v>
      </c>
      <c r="C37" s="107" t="s">
        <v>40</v>
      </c>
      <c r="D37" s="107"/>
      <c r="E37" s="108"/>
      <c r="F37" s="109" t="s">
        <v>44</v>
      </c>
      <c r="G37" s="110"/>
      <c r="H37" s="18" t="s">
        <v>51</v>
      </c>
      <c r="I37" s="59"/>
      <c r="J37" s="113">
        <v>10</v>
      </c>
      <c r="K37" s="113"/>
      <c r="L37" s="114"/>
      <c r="M37" s="115" t="s">
        <v>21</v>
      </c>
      <c r="N37" s="116">
        <f t="shared" si="1"/>
        <v>10</v>
      </c>
      <c r="O37" s="168"/>
      <c r="P37" s="200"/>
      <c r="Q37" s="201"/>
      <c r="R37" s="201"/>
      <c r="S37" s="201"/>
      <c r="T37" s="201"/>
      <c r="U37" s="202"/>
    </row>
    <row r="38" spans="1:21" ht="15.75">
      <c r="A38" s="85"/>
      <c r="B38" s="37">
        <f t="shared" si="2"/>
        <v>25</v>
      </c>
      <c r="C38" s="107" t="s">
        <v>41</v>
      </c>
      <c r="D38" s="107"/>
      <c r="E38" s="108"/>
      <c r="F38" s="109" t="s">
        <v>81</v>
      </c>
      <c r="G38" s="110"/>
      <c r="H38" s="18" t="s">
        <v>86</v>
      </c>
      <c r="I38" s="59"/>
      <c r="J38" s="113"/>
      <c r="K38" s="113"/>
      <c r="L38" s="114"/>
      <c r="M38" s="115" t="s">
        <v>21</v>
      </c>
      <c r="N38" s="116">
        <f t="shared" si="1"/>
        <v>0</v>
      </c>
      <c r="O38" s="168"/>
      <c r="P38" s="200"/>
      <c r="Q38" s="201"/>
      <c r="R38" s="201"/>
      <c r="S38" s="201"/>
      <c r="T38" s="201"/>
      <c r="U38" s="202"/>
    </row>
    <row r="39" spans="1:21" ht="15.75">
      <c r="A39" s="85"/>
      <c r="B39" s="37">
        <f t="shared" si="2"/>
        <v>26</v>
      </c>
      <c r="C39" s="80" t="s">
        <v>46</v>
      </c>
      <c r="D39" s="80"/>
      <c r="E39" s="81"/>
      <c r="F39" s="84" t="s">
        <v>71</v>
      </c>
      <c r="G39" s="17"/>
      <c r="H39" s="18" t="s">
        <v>62</v>
      </c>
      <c r="I39" s="59"/>
      <c r="J39" s="19">
        <v>8</v>
      </c>
      <c r="K39" s="19"/>
      <c r="L39" s="50" t="s">
        <v>47</v>
      </c>
      <c r="M39" s="73" t="s">
        <v>35</v>
      </c>
      <c r="N39" s="54">
        <f t="shared" si="1"/>
        <v>8</v>
      </c>
      <c r="O39" s="167">
        <v>0</v>
      </c>
      <c r="P39" s="203" t="s">
        <v>48</v>
      </c>
      <c r="Q39" s="204"/>
      <c r="R39" s="204"/>
      <c r="S39" s="204"/>
      <c r="T39" s="204"/>
      <c r="U39" s="205"/>
    </row>
    <row r="40" spans="1:21" ht="16.5" thickBot="1">
      <c r="A40" s="118"/>
      <c r="B40" s="119"/>
      <c r="C40" s="120"/>
      <c r="D40" s="120"/>
      <c r="E40" s="121"/>
      <c r="F40" s="129"/>
      <c r="G40" s="122"/>
      <c r="H40" s="147"/>
      <c r="I40" s="148"/>
      <c r="J40" s="125"/>
      <c r="K40" s="125"/>
      <c r="L40" s="126"/>
      <c r="M40" s="126"/>
      <c r="N40" s="127"/>
      <c r="O40" s="169"/>
      <c r="P40" s="197"/>
      <c r="Q40" s="198"/>
      <c r="R40" s="198"/>
      <c r="S40" s="198"/>
      <c r="T40" s="198"/>
      <c r="U40" s="199"/>
    </row>
  </sheetData>
  <mergeCells count="57">
    <mergeCell ref="O1:U1"/>
    <mergeCell ref="J2:K2"/>
    <mergeCell ref="L2:M2"/>
    <mergeCell ref="O2:U2"/>
    <mergeCell ref="J3:K3"/>
    <mergeCell ref="L3:M3"/>
    <mergeCell ref="O3:U3"/>
    <mergeCell ref="J4:K4"/>
    <mergeCell ref="L4:M4"/>
    <mergeCell ref="O4:U4"/>
    <mergeCell ref="J5:K5"/>
    <mergeCell ref="L5:M5"/>
    <mergeCell ref="O5:U5"/>
    <mergeCell ref="E10:H10"/>
    <mergeCell ref="O10:U10"/>
    <mergeCell ref="E6:H6"/>
    <mergeCell ref="K6:M6"/>
    <mergeCell ref="O6:U6"/>
    <mergeCell ref="E7:H7"/>
    <mergeCell ref="K7:M7"/>
    <mergeCell ref="O7:U7"/>
    <mergeCell ref="E8:H8"/>
    <mergeCell ref="K8:M8"/>
    <mergeCell ref="O8:U8"/>
    <mergeCell ref="E9:H9"/>
    <mergeCell ref="O9:U9"/>
    <mergeCell ref="P21:U21"/>
    <mergeCell ref="E11:H11"/>
    <mergeCell ref="O11:U11"/>
    <mergeCell ref="O12:U12"/>
    <mergeCell ref="P13:U13"/>
    <mergeCell ref="P14:U14"/>
    <mergeCell ref="P15:U15"/>
    <mergeCell ref="P16:U16"/>
    <mergeCell ref="P17:U17"/>
    <mergeCell ref="P18:U18"/>
    <mergeCell ref="P19:U19"/>
    <mergeCell ref="P20:U20"/>
    <mergeCell ref="P33:U33"/>
    <mergeCell ref="P22:U22"/>
    <mergeCell ref="P23:U23"/>
    <mergeCell ref="P24:U24"/>
    <mergeCell ref="P25:U25"/>
    <mergeCell ref="P26:U26"/>
    <mergeCell ref="P27:U27"/>
    <mergeCell ref="P28:U28"/>
    <mergeCell ref="P29:U29"/>
    <mergeCell ref="P30:U30"/>
    <mergeCell ref="P31:U31"/>
    <mergeCell ref="P32:U32"/>
    <mergeCell ref="P40:U40"/>
    <mergeCell ref="P34:U34"/>
    <mergeCell ref="P35:U35"/>
    <mergeCell ref="P36:U36"/>
    <mergeCell ref="P37:U37"/>
    <mergeCell ref="P38:U38"/>
    <mergeCell ref="P39:U39"/>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3793"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33794"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33795"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33796"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33797"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33798"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CB6C63DE-EAE1-43FB-9442-38C261FD92D0}">
            <xm:f>(AND(H14&lt;&gt;"",ISERROR(VLOOKUP(H14,system!$E:$E,1,FALSE))))</xm:f>
            <x14:dxf>
              <fill>
                <patternFill patternType="solid">
                  <bgColor rgb="FFFF0000"/>
                </patternFill>
              </fill>
            </x14:dxf>
          </x14:cfRule>
          <xm:sqref>H14:H32</xm:sqref>
        </x14:conditionalFormatting>
        <x14:conditionalFormatting xmlns:xm="http://schemas.microsoft.com/office/excel/2006/main">
          <x14:cfRule type="expression" priority="3" id="{D47D8F43-76C9-4EFC-9B42-6591685944AC}">
            <xm:f>(AND(H14&lt;&gt;"",ISERROR(VLOOKUP(H14,system!$E:$E,1,FALSE))))</xm:f>
            <x14:dxf>
              <fill>
                <patternFill>
                  <bgColor rgb="FFFF0000"/>
                </patternFill>
              </fill>
            </x14:dxf>
          </x14:cfRule>
          <xm:sqref>I14:I32</xm:sqref>
        </x14:conditionalFormatting>
        <x14:conditionalFormatting xmlns:xm="http://schemas.microsoft.com/office/excel/2006/main">
          <x14:cfRule type="expression" priority="2" id="{8AE18EA5-BDAB-4A4F-88BC-79FDA9C18D59}">
            <xm:f>(AND(H33&lt;&gt;"",ISERROR(VLOOKUP(H33,system!$E:$E,1,FALSE))))</xm:f>
            <x14:dxf>
              <fill>
                <patternFill patternType="solid">
                  <bgColor rgb="FFFF0000"/>
                </patternFill>
              </fill>
            </x14:dxf>
          </x14:cfRule>
          <xm:sqref>H33:H40</xm:sqref>
        </x14:conditionalFormatting>
        <x14:conditionalFormatting xmlns:xm="http://schemas.microsoft.com/office/excel/2006/main">
          <x14:cfRule type="expression" priority="1" id="{D3EE36D2-F81A-46E2-9CF9-19714753EAA2}">
            <xm:f>(AND(H33&lt;&gt;"",ISERROR(VLOOKUP(H33,system!$E:$E,1,FALSE))))</xm:f>
            <x14:dxf>
              <fill>
                <patternFill>
                  <bgColor rgb="FFFF0000"/>
                </patternFill>
              </fill>
            </x14:dxf>
          </x14:cfRule>
          <xm:sqref>I33:I40</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A1:U44"/>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7" t="s">
        <v>27</v>
      </c>
      <c r="P1" s="248"/>
      <c r="Q1" s="248"/>
      <c r="R1" s="248"/>
      <c r="S1" s="248"/>
      <c r="T1" s="248"/>
      <c r="U1" s="249"/>
    </row>
    <row r="2" spans="1:21" ht="14.45" customHeight="1">
      <c r="A2" s="39"/>
      <c r="B2" s="100" t="s">
        <v>64</v>
      </c>
      <c r="C2" s="5"/>
      <c r="D2" s="5"/>
      <c r="E2" s="5"/>
      <c r="F2" s="5"/>
      <c r="G2" s="6"/>
      <c r="H2" s="7"/>
      <c r="I2" s="8"/>
      <c r="J2" s="250"/>
      <c r="K2" s="251"/>
      <c r="L2" s="250"/>
      <c r="M2" s="251"/>
      <c r="N2" s="52"/>
      <c r="O2" s="252" t="s">
        <v>558</v>
      </c>
      <c r="P2" s="253"/>
      <c r="Q2" s="253"/>
      <c r="R2" s="253"/>
      <c r="S2" s="253"/>
      <c r="T2" s="253"/>
      <c r="U2" s="254"/>
    </row>
    <row r="3" spans="1:21" ht="14.25" customHeight="1">
      <c r="A3" s="40"/>
      <c r="B3" s="35"/>
      <c r="C3" s="5"/>
      <c r="D3" s="5"/>
      <c r="E3" s="5"/>
      <c r="F3" s="5"/>
      <c r="G3" s="9"/>
      <c r="H3" s="10"/>
      <c r="I3" s="176" t="s">
        <v>1032</v>
      </c>
      <c r="J3" s="255" t="s">
        <v>1032</v>
      </c>
      <c r="K3" s="256"/>
      <c r="L3" s="255" t="s">
        <v>1032</v>
      </c>
      <c r="M3" s="256"/>
      <c r="N3" s="52"/>
      <c r="O3" s="257"/>
      <c r="P3" s="258"/>
      <c r="Q3" s="258"/>
      <c r="R3" s="258"/>
      <c r="S3" s="258"/>
      <c r="T3" s="258"/>
      <c r="U3" s="259"/>
    </row>
    <row r="4" spans="1:21" ht="14.45" customHeight="1">
      <c r="A4" s="41"/>
      <c r="B4" s="36" t="s">
        <v>3</v>
      </c>
      <c r="C4" s="5"/>
      <c r="D4" s="5"/>
      <c r="E4" s="5"/>
      <c r="F4" s="5"/>
      <c r="G4" s="6"/>
      <c r="H4" s="10"/>
      <c r="I4" s="177" t="s">
        <v>1035</v>
      </c>
      <c r="J4" s="240" t="s">
        <v>1034</v>
      </c>
      <c r="K4" s="241"/>
      <c r="L4" s="240" t="s">
        <v>1033</v>
      </c>
      <c r="M4" s="241"/>
      <c r="N4" s="52"/>
      <c r="O4" s="210"/>
      <c r="P4" s="211"/>
      <c r="Q4" s="211"/>
      <c r="R4" s="211"/>
      <c r="S4" s="211"/>
      <c r="T4" s="211"/>
      <c r="U4" s="212"/>
    </row>
    <row r="5" spans="1:21" ht="14.45" customHeight="1" thickBot="1">
      <c r="A5" s="42"/>
      <c r="B5" s="11"/>
      <c r="C5" s="11"/>
      <c r="D5" s="11"/>
      <c r="E5" s="11"/>
      <c r="F5" s="11"/>
      <c r="G5" s="12"/>
      <c r="H5" s="13"/>
      <c r="I5" s="14"/>
      <c r="J5" s="242"/>
      <c r="K5" s="243"/>
      <c r="L5" s="244"/>
      <c r="M5" s="245"/>
      <c r="N5" s="53"/>
      <c r="O5" s="246"/>
      <c r="P5" s="211"/>
      <c r="Q5" s="211"/>
      <c r="R5" s="211"/>
      <c r="S5" s="211"/>
      <c r="T5" s="211"/>
      <c r="U5" s="212"/>
    </row>
    <row r="6" spans="1:21" ht="14.45" customHeight="1">
      <c r="A6" s="43"/>
      <c r="B6" s="101" t="s">
        <v>4</v>
      </c>
      <c r="C6" s="20"/>
      <c r="D6" s="21"/>
      <c r="E6" s="222" t="s">
        <v>65</v>
      </c>
      <c r="F6" s="223"/>
      <c r="G6" s="223"/>
      <c r="H6" s="224"/>
      <c r="I6" s="60" t="s">
        <v>26</v>
      </c>
      <c r="J6" s="26"/>
      <c r="K6" s="225" t="s">
        <v>33</v>
      </c>
      <c r="L6" s="226"/>
      <c r="M6" s="227"/>
      <c r="N6" s="91" t="s">
        <v>5</v>
      </c>
      <c r="O6" s="210"/>
      <c r="P6" s="211"/>
      <c r="Q6" s="211"/>
      <c r="R6" s="211"/>
      <c r="S6" s="211"/>
      <c r="T6" s="211"/>
      <c r="U6" s="212"/>
    </row>
    <row r="7" spans="1:21" ht="15.75" customHeight="1">
      <c r="A7" s="44"/>
      <c r="B7" s="102" t="s">
        <v>6</v>
      </c>
      <c r="C7" s="22"/>
      <c r="D7" s="23"/>
      <c r="E7" s="228" t="s">
        <v>149</v>
      </c>
      <c r="F7" s="229"/>
      <c r="G7" s="229"/>
      <c r="H7" s="230"/>
      <c r="I7" s="61" t="s">
        <v>28</v>
      </c>
      <c r="J7" s="27"/>
      <c r="K7" s="231" t="s">
        <v>34</v>
      </c>
      <c r="L7" s="232"/>
      <c r="M7" s="233"/>
      <c r="N7" s="92">
        <f>COUNTIF(H14:H14,"LONG")+COUNTIF(H14:H14,"LONG RAW")</f>
        <v>0</v>
      </c>
      <c r="O7" s="210"/>
      <c r="P7" s="211"/>
      <c r="Q7" s="211"/>
      <c r="R7" s="211"/>
      <c r="S7" s="211"/>
      <c r="T7" s="211"/>
      <c r="U7" s="212"/>
    </row>
    <row r="8" spans="1:21" ht="14.45" customHeight="1">
      <c r="A8" s="45"/>
      <c r="B8" s="22" t="s">
        <v>7</v>
      </c>
      <c r="C8" s="22"/>
      <c r="D8" s="23"/>
      <c r="E8" s="228" t="s">
        <v>555</v>
      </c>
      <c r="F8" s="229"/>
      <c r="G8" s="229"/>
      <c r="H8" s="230"/>
      <c r="I8" s="62"/>
      <c r="J8" s="27"/>
      <c r="K8" s="234"/>
      <c r="L8" s="235"/>
      <c r="M8" s="236"/>
      <c r="N8" s="92"/>
      <c r="O8" s="210"/>
      <c r="P8" s="211"/>
      <c r="Q8" s="211"/>
      <c r="R8" s="211"/>
      <c r="S8" s="211"/>
      <c r="T8" s="211"/>
      <c r="U8" s="212"/>
    </row>
    <row r="9" spans="1:21" ht="14.45" customHeight="1">
      <c r="A9" s="45"/>
      <c r="B9" s="22" t="s">
        <v>8</v>
      </c>
      <c r="C9" s="22"/>
      <c r="D9" s="23"/>
      <c r="E9" s="237" t="s">
        <v>68</v>
      </c>
      <c r="F9" s="238"/>
      <c r="G9" s="238"/>
      <c r="H9" s="239"/>
      <c r="I9" s="61" t="s">
        <v>9</v>
      </c>
      <c r="J9" s="27"/>
      <c r="K9" s="86"/>
      <c r="L9" s="88">
        <f>SUM(N14:N45)</f>
        <v>153</v>
      </c>
      <c r="M9" s="82"/>
      <c r="N9" s="93">
        <f>SUMIF(M14:M14,"■",N14:N14)</f>
        <v>0</v>
      </c>
      <c r="O9" s="210"/>
      <c r="P9" s="211"/>
      <c r="Q9" s="211"/>
      <c r="R9" s="211"/>
      <c r="S9" s="211"/>
      <c r="T9" s="211"/>
      <c r="U9" s="212"/>
    </row>
    <row r="10" spans="1:21" ht="14.45" customHeight="1">
      <c r="A10" s="45"/>
      <c r="B10" s="22" t="s">
        <v>10</v>
      </c>
      <c r="C10" s="22"/>
      <c r="D10" s="23"/>
      <c r="E10" s="219" t="s">
        <v>68</v>
      </c>
      <c r="F10" s="220"/>
      <c r="G10" s="220"/>
      <c r="H10" s="221"/>
      <c r="I10" s="61" t="s">
        <v>11</v>
      </c>
      <c r="J10" s="27"/>
      <c r="K10" s="86"/>
      <c r="L10" s="89">
        <f>E11*L9/1000</f>
        <v>0</v>
      </c>
      <c r="M10" s="82"/>
      <c r="N10" s="55"/>
      <c r="O10" s="210"/>
      <c r="P10" s="211"/>
      <c r="Q10" s="211"/>
      <c r="R10" s="211"/>
      <c r="S10" s="211"/>
      <c r="T10" s="211"/>
      <c r="U10" s="212"/>
    </row>
    <row r="11" spans="1:21" ht="17.25" customHeight="1" thickBot="1">
      <c r="A11" s="46"/>
      <c r="B11" s="24" t="s">
        <v>29</v>
      </c>
      <c r="C11" s="24"/>
      <c r="D11" s="25"/>
      <c r="E11" s="207"/>
      <c r="F11" s="208"/>
      <c r="G11" s="208"/>
      <c r="H11" s="209"/>
      <c r="I11" s="103" t="s">
        <v>12</v>
      </c>
      <c r="J11" s="104"/>
      <c r="K11" s="87"/>
      <c r="L11" s="90"/>
      <c r="M11" s="83"/>
      <c r="N11" s="56"/>
      <c r="O11" s="210"/>
      <c r="P11" s="211"/>
      <c r="Q11" s="211"/>
      <c r="R11" s="211"/>
      <c r="S11" s="211"/>
      <c r="T11" s="211"/>
      <c r="U11" s="212"/>
    </row>
    <row r="12" spans="1:21" ht="15.75" customHeight="1" thickBot="1">
      <c r="A12" s="64"/>
      <c r="B12" s="65"/>
      <c r="C12" s="30"/>
      <c r="D12" s="30"/>
      <c r="E12" s="31"/>
      <c r="F12" s="32"/>
      <c r="G12" s="29"/>
      <c r="H12" s="28"/>
      <c r="I12" s="29"/>
      <c r="J12" s="30" t="s">
        <v>13</v>
      </c>
      <c r="K12" s="31"/>
      <c r="L12" s="66"/>
      <c r="M12" s="48"/>
      <c r="N12" s="57">
        <f>COUNTA(H14:H14)</f>
        <v>1</v>
      </c>
      <c r="O12" s="213"/>
      <c r="P12" s="214"/>
      <c r="Q12" s="214"/>
      <c r="R12" s="214"/>
      <c r="S12" s="214"/>
      <c r="T12" s="214"/>
      <c r="U12" s="21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16" t="s">
        <v>32</v>
      </c>
      <c r="Q13" s="217"/>
      <c r="R13" s="217"/>
      <c r="S13" s="217"/>
      <c r="T13" s="217"/>
      <c r="U13" s="218"/>
    </row>
    <row r="14" spans="1:21" ht="15.75" customHeight="1">
      <c r="A14" s="85" t="s">
        <v>188</v>
      </c>
      <c r="B14" s="37">
        <f t="shared" ref="B14:B36" si="0">ROW()-13</f>
        <v>1</v>
      </c>
      <c r="C14" s="145" t="s">
        <v>186</v>
      </c>
      <c r="D14" s="80"/>
      <c r="E14" s="81"/>
      <c r="F14" s="146" t="s">
        <v>1029</v>
      </c>
      <c r="G14" s="17"/>
      <c r="H14" s="18" t="s">
        <v>49</v>
      </c>
      <c r="I14" s="59"/>
      <c r="J14" s="19">
        <v>1</v>
      </c>
      <c r="K14" s="19"/>
      <c r="L14" s="50" t="s">
        <v>187</v>
      </c>
      <c r="M14" s="73" t="s">
        <v>21</v>
      </c>
      <c r="N14" s="54">
        <f t="shared" ref="N14:N43" si="1">IF(H14="NUMBER",IF(J14&gt;0,INT((J14+1)/2+0.9),0),IF(H14="DATE",7,IF(OR(H14="LONG",H14="LONG RAW"),100000,J14)))</f>
        <v>1</v>
      </c>
      <c r="O14" s="167"/>
      <c r="P14" s="203" t="s">
        <v>174</v>
      </c>
      <c r="Q14" s="204"/>
      <c r="R14" s="204"/>
      <c r="S14" s="204"/>
      <c r="T14" s="204"/>
      <c r="U14" s="205"/>
    </row>
    <row r="15" spans="1:21" ht="39.200000000000003" customHeight="1">
      <c r="A15" s="85" t="s">
        <v>188</v>
      </c>
      <c r="B15" s="37">
        <f t="shared" si="0"/>
        <v>2</v>
      </c>
      <c r="C15" s="145" t="s">
        <v>544</v>
      </c>
      <c r="D15" s="80"/>
      <c r="E15" s="81"/>
      <c r="F15" s="146" t="s">
        <v>545</v>
      </c>
      <c r="G15" s="17"/>
      <c r="H15" s="18" t="s">
        <v>49</v>
      </c>
      <c r="I15" s="59"/>
      <c r="J15" s="19">
        <v>1</v>
      </c>
      <c r="K15" s="19"/>
      <c r="L15" s="50" t="s">
        <v>187</v>
      </c>
      <c r="M15" s="73" t="s">
        <v>21</v>
      </c>
      <c r="N15" s="54">
        <f t="shared" si="1"/>
        <v>1</v>
      </c>
      <c r="O15" s="167"/>
      <c r="P15" s="206" t="s">
        <v>559</v>
      </c>
      <c r="Q15" s="204"/>
      <c r="R15" s="204"/>
      <c r="S15" s="204"/>
      <c r="T15" s="204"/>
      <c r="U15" s="205"/>
    </row>
    <row r="16" spans="1:21" ht="15.75" customHeight="1">
      <c r="A16" s="85" t="s">
        <v>188</v>
      </c>
      <c r="B16" s="37">
        <f t="shared" si="0"/>
        <v>3</v>
      </c>
      <c r="C16" s="145" t="s">
        <v>560</v>
      </c>
      <c r="D16" s="80"/>
      <c r="E16" s="81"/>
      <c r="F16" s="146" t="s">
        <v>561</v>
      </c>
      <c r="G16" s="17"/>
      <c r="H16" s="18" t="s">
        <v>51</v>
      </c>
      <c r="I16" s="59"/>
      <c r="J16" s="19">
        <v>11</v>
      </c>
      <c r="K16" s="19"/>
      <c r="L16" s="50" t="s">
        <v>187</v>
      </c>
      <c r="M16" s="73" t="s">
        <v>21</v>
      </c>
      <c r="N16" s="54">
        <f t="shared" si="1"/>
        <v>11</v>
      </c>
      <c r="O16" s="167"/>
      <c r="P16" s="203"/>
      <c r="Q16" s="204"/>
      <c r="R16" s="204"/>
      <c r="S16" s="204"/>
      <c r="T16" s="204"/>
      <c r="U16" s="205"/>
    </row>
    <row r="17" spans="1:21" ht="15.75" customHeight="1">
      <c r="A17" s="85" t="s">
        <v>188</v>
      </c>
      <c r="B17" s="37">
        <f t="shared" si="0"/>
        <v>4</v>
      </c>
      <c r="C17" s="145" t="s">
        <v>287</v>
      </c>
      <c r="D17" s="80"/>
      <c r="E17" s="81"/>
      <c r="F17" s="146" t="s">
        <v>288</v>
      </c>
      <c r="G17" s="17"/>
      <c r="H17" s="18" t="s">
        <v>24</v>
      </c>
      <c r="I17" s="59"/>
      <c r="J17" s="19"/>
      <c r="K17" s="19"/>
      <c r="L17" s="50" t="s">
        <v>187</v>
      </c>
      <c r="M17" s="73" t="s">
        <v>21</v>
      </c>
      <c r="N17" s="54">
        <f t="shared" si="1"/>
        <v>7</v>
      </c>
      <c r="O17" s="167"/>
      <c r="P17" s="203"/>
      <c r="Q17" s="204"/>
      <c r="R17" s="204"/>
      <c r="S17" s="204"/>
      <c r="T17" s="204"/>
      <c r="U17" s="205"/>
    </row>
    <row r="18" spans="1:21" ht="15.75" customHeight="1">
      <c r="A18" s="85"/>
      <c r="B18" s="37">
        <f t="shared" si="0"/>
        <v>5</v>
      </c>
      <c r="C18" s="145" t="s">
        <v>562</v>
      </c>
      <c r="D18" s="80"/>
      <c r="E18" s="81"/>
      <c r="F18" s="146" t="s">
        <v>563</v>
      </c>
      <c r="G18" s="17"/>
      <c r="H18" s="18" t="s">
        <v>54</v>
      </c>
      <c r="I18" s="59"/>
      <c r="J18" s="19"/>
      <c r="K18" s="19"/>
      <c r="L18" s="50"/>
      <c r="M18" s="73" t="s">
        <v>21</v>
      </c>
      <c r="N18" s="54">
        <f t="shared" si="1"/>
        <v>0</v>
      </c>
      <c r="O18" s="167"/>
      <c r="P18" s="203"/>
      <c r="Q18" s="204"/>
      <c r="R18" s="204"/>
      <c r="S18" s="204"/>
      <c r="T18" s="204"/>
      <c r="U18" s="205"/>
    </row>
    <row r="19" spans="1:21" ht="15.75" customHeight="1">
      <c r="A19" s="85"/>
      <c r="B19" s="37">
        <f t="shared" si="0"/>
        <v>6</v>
      </c>
      <c r="C19" s="145" t="s">
        <v>546</v>
      </c>
      <c r="D19" s="80"/>
      <c r="E19" s="81"/>
      <c r="F19" s="146" t="s">
        <v>547</v>
      </c>
      <c r="G19" s="17"/>
      <c r="H19" s="18" t="s">
        <v>49</v>
      </c>
      <c r="I19" s="59"/>
      <c r="J19" s="19">
        <v>4</v>
      </c>
      <c r="K19" s="19"/>
      <c r="L19" s="50"/>
      <c r="M19" s="73" t="s">
        <v>21</v>
      </c>
      <c r="N19" s="54">
        <f t="shared" si="1"/>
        <v>4</v>
      </c>
      <c r="O19" s="167"/>
      <c r="P19" s="203"/>
      <c r="Q19" s="204"/>
      <c r="R19" s="204"/>
      <c r="S19" s="204"/>
      <c r="T19" s="204"/>
      <c r="U19" s="205"/>
    </row>
    <row r="20" spans="1:21" ht="15.75" customHeight="1">
      <c r="A20" s="85"/>
      <c r="B20" s="37">
        <f t="shared" si="0"/>
        <v>7</v>
      </c>
      <c r="C20" s="145" t="s">
        <v>291</v>
      </c>
      <c r="D20" s="80"/>
      <c r="E20" s="81"/>
      <c r="F20" s="146" t="s">
        <v>292</v>
      </c>
      <c r="G20" s="17"/>
      <c r="H20" s="18" t="s">
        <v>49</v>
      </c>
      <c r="I20" s="59"/>
      <c r="J20" s="19">
        <v>2</v>
      </c>
      <c r="K20" s="19"/>
      <c r="L20" s="50"/>
      <c r="M20" s="73" t="s">
        <v>21</v>
      </c>
      <c r="N20" s="54">
        <f t="shared" si="1"/>
        <v>2</v>
      </c>
      <c r="O20" s="167"/>
      <c r="P20" s="203"/>
      <c r="Q20" s="204"/>
      <c r="R20" s="204"/>
      <c r="S20" s="204"/>
      <c r="T20" s="204"/>
      <c r="U20" s="205"/>
    </row>
    <row r="21" spans="1:21" ht="15.75" customHeight="1">
      <c r="A21" s="85"/>
      <c r="B21" s="37">
        <f t="shared" si="0"/>
        <v>8</v>
      </c>
      <c r="C21" s="145" t="s">
        <v>564</v>
      </c>
      <c r="D21" s="80"/>
      <c r="E21" s="81"/>
      <c r="F21" s="146" t="s">
        <v>565</v>
      </c>
      <c r="G21" s="17"/>
      <c r="H21" s="18" t="s">
        <v>49</v>
      </c>
      <c r="I21" s="59"/>
      <c r="J21" s="19">
        <v>1</v>
      </c>
      <c r="K21" s="19"/>
      <c r="L21" s="50"/>
      <c r="M21" s="73" t="s">
        <v>21</v>
      </c>
      <c r="N21" s="54">
        <f t="shared" si="1"/>
        <v>1</v>
      </c>
      <c r="O21" s="167"/>
      <c r="P21" s="203"/>
      <c r="Q21" s="204"/>
      <c r="R21" s="204"/>
      <c r="S21" s="204"/>
      <c r="T21" s="204"/>
      <c r="U21" s="205"/>
    </row>
    <row r="22" spans="1:21" ht="15.75" customHeight="1">
      <c r="A22" s="85"/>
      <c r="B22" s="37">
        <f t="shared" si="0"/>
        <v>9</v>
      </c>
      <c r="C22" s="145" t="s">
        <v>193</v>
      </c>
      <c r="D22" s="80"/>
      <c r="E22" s="81"/>
      <c r="F22" s="146" t="s">
        <v>194</v>
      </c>
      <c r="G22" s="17"/>
      <c r="H22" s="18" t="s">
        <v>49</v>
      </c>
      <c r="I22" s="59"/>
      <c r="J22" s="19">
        <v>12</v>
      </c>
      <c r="K22" s="19"/>
      <c r="L22" s="50"/>
      <c r="M22" s="73" t="s">
        <v>21</v>
      </c>
      <c r="N22" s="54">
        <f t="shared" si="1"/>
        <v>12</v>
      </c>
      <c r="O22" s="167"/>
      <c r="P22" s="203"/>
      <c r="Q22" s="204"/>
      <c r="R22" s="204"/>
      <c r="S22" s="204"/>
      <c r="T22" s="204"/>
      <c r="U22" s="205"/>
    </row>
    <row r="23" spans="1:21" ht="15.75" customHeight="1">
      <c r="A23" s="85"/>
      <c r="B23" s="37">
        <f t="shared" si="0"/>
        <v>10</v>
      </c>
      <c r="C23" s="145" t="s">
        <v>195</v>
      </c>
      <c r="D23" s="80"/>
      <c r="E23" s="81"/>
      <c r="F23" s="146" t="s">
        <v>1058</v>
      </c>
      <c r="G23" s="17"/>
      <c r="H23" s="18" t="s">
        <v>49</v>
      </c>
      <c r="I23" s="59"/>
      <c r="J23" s="19">
        <v>1</v>
      </c>
      <c r="K23" s="19"/>
      <c r="L23" s="50" t="s">
        <v>187</v>
      </c>
      <c r="M23" s="73" t="s">
        <v>21</v>
      </c>
      <c r="N23" s="54">
        <f t="shared" si="1"/>
        <v>1</v>
      </c>
      <c r="O23" s="167"/>
      <c r="P23" s="203" t="s">
        <v>174</v>
      </c>
      <c r="Q23" s="204"/>
      <c r="R23" s="204"/>
      <c r="S23" s="204"/>
      <c r="T23" s="204"/>
      <c r="U23" s="205"/>
    </row>
    <row r="24" spans="1:21" ht="15.75" customHeight="1">
      <c r="A24" s="85"/>
      <c r="B24" s="37">
        <f t="shared" si="0"/>
        <v>11</v>
      </c>
      <c r="C24" s="145" t="s">
        <v>196</v>
      </c>
      <c r="D24" s="80"/>
      <c r="E24" s="81"/>
      <c r="F24" s="146" t="s">
        <v>197</v>
      </c>
      <c r="G24" s="17"/>
      <c r="H24" s="18" t="s">
        <v>51</v>
      </c>
      <c r="I24" s="59"/>
      <c r="J24" s="19">
        <v>25</v>
      </c>
      <c r="K24" s="19"/>
      <c r="L24" s="50" t="s">
        <v>187</v>
      </c>
      <c r="M24" s="73" t="s">
        <v>21</v>
      </c>
      <c r="N24" s="54">
        <f t="shared" si="1"/>
        <v>25</v>
      </c>
      <c r="O24" s="167"/>
      <c r="P24" s="203"/>
      <c r="Q24" s="204"/>
      <c r="R24" s="204"/>
      <c r="S24" s="204"/>
      <c r="T24" s="204"/>
      <c r="U24" s="205"/>
    </row>
    <row r="25" spans="1:21" ht="15.75" customHeight="1">
      <c r="A25" s="85"/>
      <c r="B25" s="37">
        <f t="shared" si="0"/>
        <v>12</v>
      </c>
      <c r="C25" s="145" t="s">
        <v>198</v>
      </c>
      <c r="D25" s="80"/>
      <c r="E25" s="81"/>
      <c r="F25" s="146" t="s">
        <v>199</v>
      </c>
      <c r="G25" s="17"/>
      <c r="H25" s="18" t="s">
        <v>51</v>
      </c>
      <c r="I25" s="59"/>
      <c r="J25" s="19">
        <v>4</v>
      </c>
      <c r="K25" s="19"/>
      <c r="L25" s="50" t="s">
        <v>187</v>
      </c>
      <c r="M25" s="73" t="s">
        <v>21</v>
      </c>
      <c r="N25" s="54">
        <f t="shared" si="1"/>
        <v>4</v>
      </c>
      <c r="O25" s="167"/>
      <c r="P25" s="203" t="s">
        <v>200</v>
      </c>
      <c r="Q25" s="204"/>
      <c r="R25" s="204"/>
      <c r="S25" s="204"/>
      <c r="T25" s="204"/>
      <c r="U25" s="205"/>
    </row>
    <row r="26" spans="1:21" ht="62.85" customHeight="1">
      <c r="A26" s="85"/>
      <c r="B26" s="37">
        <f t="shared" si="0"/>
        <v>13</v>
      </c>
      <c r="C26" s="145" t="s">
        <v>201</v>
      </c>
      <c r="D26" s="80"/>
      <c r="E26" s="81"/>
      <c r="F26" s="146" t="s">
        <v>202</v>
      </c>
      <c r="G26" s="17"/>
      <c r="H26" s="18" t="s">
        <v>49</v>
      </c>
      <c r="I26" s="59"/>
      <c r="J26" s="19">
        <v>1</v>
      </c>
      <c r="K26" s="19"/>
      <c r="L26" s="50" t="s">
        <v>187</v>
      </c>
      <c r="M26" s="73" t="s">
        <v>21</v>
      </c>
      <c r="N26" s="54">
        <f t="shared" si="1"/>
        <v>1</v>
      </c>
      <c r="O26" s="167"/>
      <c r="P26" s="206" t="s">
        <v>267</v>
      </c>
      <c r="Q26" s="204"/>
      <c r="R26" s="204"/>
      <c r="S26" s="204"/>
      <c r="T26" s="204"/>
      <c r="U26" s="205"/>
    </row>
    <row r="27" spans="1:21" ht="27.6" customHeight="1">
      <c r="A27" s="85"/>
      <c r="B27" s="37">
        <f t="shared" si="0"/>
        <v>14</v>
      </c>
      <c r="C27" s="145" t="s">
        <v>204</v>
      </c>
      <c r="D27" s="80"/>
      <c r="E27" s="81"/>
      <c r="F27" s="146" t="s">
        <v>205</v>
      </c>
      <c r="G27" s="17"/>
      <c r="H27" s="18" t="s">
        <v>49</v>
      </c>
      <c r="I27" s="59"/>
      <c r="J27" s="19">
        <v>1</v>
      </c>
      <c r="K27" s="19"/>
      <c r="L27" s="50" t="s">
        <v>187</v>
      </c>
      <c r="M27" s="73" t="s">
        <v>21</v>
      </c>
      <c r="N27" s="54">
        <f t="shared" si="1"/>
        <v>1</v>
      </c>
      <c r="O27" s="167"/>
      <c r="P27" s="206" t="s">
        <v>206</v>
      </c>
      <c r="Q27" s="204"/>
      <c r="R27" s="204"/>
      <c r="S27" s="204"/>
      <c r="T27" s="204"/>
      <c r="U27" s="205"/>
    </row>
    <row r="28" spans="1:21" ht="15.75" customHeight="1">
      <c r="A28" s="85"/>
      <c r="B28" s="37">
        <f t="shared" si="0"/>
        <v>15</v>
      </c>
      <c r="C28" s="145" t="s">
        <v>566</v>
      </c>
      <c r="D28" s="80"/>
      <c r="E28" s="81"/>
      <c r="F28" s="146" t="s">
        <v>567</v>
      </c>
      <c r="G28" s="17"/>
      <c r="H28" s="18" t="s">
        <v>51</v>
      </c>
      <c r="I28" s="59"/>
      <c r="J28" s="19">
        <v>15</v>
      </c>
      <c r="K28" s="19"/>
      <c r="L28" s="50"/>
      <c r="M28" s="73" t="s">
        <v>21</v>
      </c>
      <c r="N28" s="54">
        <f t="shared" si="1"/>
        <v>15</v>
      </c>
      <c r="O28" s="167"/>
      <c r="P28" s="203"/>
      <c r="Q28" s="204"/>
      <c r="R28" s="204"/>
      <c r="S28" s="204"/>
      <c r="T28" s="204"/>
      <c r="U28" s="205"/>
    </row>
    <row r="29" spans="1:21" ht="15.75" customHeight="1">
      <c r="A29" s="85"/>
      <c r="B29" s="37">
        <f t="shared" si="0"/>
        <v>16</v>
      </c>
      <c r="C29" s="145" t="s">
        <v>553</v>
      </c>
      <c r="D29" s="80"/>
      <c r="E29" s="81"/>
      <c r="F29" s="146" t="s">
        <v>554</v>
      </c>
      <c r="G29" s="17"/>
      <c r="H29" s="18" t="s">
        <v>209</v>
      </c>
      <c r="I29" s="59"/>
      <c r="J29" s="19"/>
      <c r="K29" s="19"/>
      <c r="L29" s="50"/>
      <c r="M29" s="73" t="s">
        <v>21</v>
      </c>
      <c r="N29" s="54">
        <f t="shared" si="1"/>
        <v>0</v>
      </c>
      <c r="O29" s="167"/>
      <c r="P29" s="203"/>
      <c r="Q29" s="204"/>
      <c r="R29" s="204"/>
      <c r="S29" s="204"/>
      <c r="T29" s="204"/>
      <c r="U29" s="205"/>
    </row>
    <row r="30" spans="1:21" ht="15.75" customHeight="1">
      <c r="A30" s="85"/>
      <c r="B30" s="37">
        <f t="shared" si="0"/>
        <v>17</v>
      </c>
      <c r="C30" s="145" t="s">
        <v>568</v>
      </c>
      <c r="D30" s="80"/>
      <c r="E30" s="81"/>
      <c r="F30" s="146" t="s">
        <v>569</v>
      </c>
      <c r="G30" s="17"/>
      <c r="H30" s="18" t="s">
        <v>209</v>
      </c>
      <c r="I30" s="59"/>
      <c r="J30" s="19"/>
      <c r="K30" s="19"/>
      <c r="L30" s="50"/>
      <c r="M30" s="73" t="s">
        <v>21</v>
      </c>
      <c r="N30" s="54">
        <f t="shared" si="1"/>
        <v>0</v>
      </c>
      <c r="O30" s="167"/>
      <c r="P30" s="203"/>
      <c r="Q30" s="204"/>
      <c r="R30" s="204"/>
      <c r="S30" s="204"/>
      <c r="T30" s="204"/>
      <c r="U30" s="205"/>
    </row>
    <row r="31" spans="1:21" ht="15.75" customHeight="1">
      <c r="A31" s="85"/>
      <c r="B31" s="37">
        <f t="shared" si="0"/>
        <v>18</v>
      </c>
      <c r="C31" s="145" t="s">
        <v>570</v>
      </c>
      <c r="D31" s="80"/>
      <c r="E31" s="81"/>
      <c r="F31" s="146" t="s">
        <v>571</v>
      </c>
      <c r="G31" s="17"/>
      <c r="H31" s="18" t="s">
        <v>51</v>
      </c>
      <c r="I31" s="59"/>
      <c r="J31" s="19">
        <v>6</v>
      </c>
      <c r="K31" s="19"/>
      <c r="L31" s="50"/>
      <c r="M31" s="73" t="s">
        <v>21</v>
      </c>
      <c r="N31" s="54">
        <f t="shared" si="1"/>
        <v>6</v>
      </c>
      <c r="O31" s="167"/>
      <c r="P31" s="203"/>
      <c r="Q31" s="204"/>
      <c r="R31" s="204"/>
      <c r="S31" s="204"/>
      <c r="T31" s="204"/>
      <c r="U31" s="205"/>
    </row>
    <row r="32" spans="1:21" ht="15.75" customHeight="1">
      <c r="A32" s="85"/>
      <c r="B32" s="37">
        <f t="shared" si="0"/>
        <v>19</v>
      </c>
      <c r="C32" s="145" t="s">
        <v>572</v>
      </c>
      <c r="D32" s="80"/>
      <c r="E32" s="81"/>
      <c r="F32" s="146" t="s">
        <v>573</v>
      </c>
      <c r="G32" s="17"/>
      <c r="H32" s="18" t="s">
        <v>49</v>
      </c>
      <c r="I32" s="59"/>
      <c r="J32" s="19">
        <v>2</v>
      </c>
      <c r="K32" s="19"/>
      <c r="L32" s="50"/>
      <c r="M32" s="73" t="s">
        <v>21</v>
      </c>
      <c r="N32" s="54">
        <f t="shared" si="1"/>
        <v>2</v>
      </c>
      <c r="O32" s="167"/>
      <c r="P32" s="203"/>
      <c r="Q32" s="204"/>
      <c r="R32" s="204"/>
      <c r="S32" s="204"/>
      <c r="T32" s="204"/>
      <c r="U32" s="205"/>
    </row>
    <row r="33" spans="1:21" ht="15.75" customHeight="1">
      <c r="A33" s="85"/>
      <c r="B33" s="37">
        <f t="shared" si="0"/>
        <v>20</v>
      </c>
      <c r="C33" s="145" t="s">
        <v>574</v>
      </c>
      <c r="D33" s="80"/>
      <c r="E33" s="81"/>
      <c r="F33" s="146" t="s">
        <v>575</v>
      </c>
      <c r="G33" s="17"/>
      <c r="H33" s="18" t="s">
        <v>49</v>
      </c>
      <c r="I33" s="59"/>
      <c r="J33" s="19">
        <v>2</v>
      </c>
      <c r="K33" s="19"/>
      <c r="L33" s="50"/>
      <c r="M33" s="73" t="s">
        <v>21</v>
      </c>
      <c r="N33" s="54">
        <f t="shared" si="1"/>
        <v>2</v>
      </c>
      <c r="O33" s="167"/>
      <c r="P33" s="203"/>
      <c r="Q33" s="204"/>
      <c r="R33" s="204"/>
      <c r="S33" s="204"/>
      <c r="T33" s="204"/>
      <c r="U33" s="205"/>
    </row>
    <row r="34" spans="1:21" ht="15.75" customHeight="1">
      <c r="A34" s="85"/>
      <c r="B34" s="37">
        <f t="shared" si="0"/>
        <v>21</v>
      </c>
      <c r="C34" s="145" t="s">
        <v>576</v>
      </c>
      <c r="D34" s="80"/>
      <c r="E34" s="81"/>
      <c r="F34" s="146" t="s">
        <v>577</v>
      </c>
      <c r="G34" s="17"/>
      <c r="H34" s="18" t="s">
        <v>49</v>
      </c>
      <c r="I34" s="59"/>
      <c r="J34" s="19">
        <v>3</v>
      </c>
      <c r="K34" s="19"/>
      <c r="L34" s="50"/>
      <c r="M34" s="73" t="s">
        <v>21</v>
      </c>
      <c r="N34" s="54">
        <f t="shared" si="1"/>
        <v>3</v>
      </c>
      <c r="O34" s="167"/>
      <c r="P34" s="203"/>
      <c r="Q34" s="204"/>
      <c r="R34" s="204"/>
      <c r="S34" s="204"/>
      <c r="T34" s="204"/>
      <c r="U34" s="205"/>
    </row>
    <row r="35" spans="1:21" ht="15.75" customHeight="1">
      <c r="A35" s="85"/>
      <c r="B35" s="37">
        <f t="shared" si="0"/>
        <v>22</v>
      </c>
      <c r="C35" s="145" t="s">
        <v>578</v>
      </c>
      <c r="D35" s="80"/>
      <c r="E35" s="81"/>
      <c r="F35" s="146" t="s">
        <v>579</v>
      </c>
      <c r="G35" s="17"/>
      <c r="H35" s="18" t="s">
        <v>49</v>
      </c>
      <c r="I35" s="59"/>
      <c r="J35" s="19">
        <v>1</v>
      </c>
      <c r="K35" s="19"/>
      <c r="L35" s="50"/>
      <c r="M35" s="73" t="s">
        <v>21</v>
      </c>
      <c r="N35" s="54">
        <f t="shared" si="1"/>
        <v>1</v>
      </c>
      <c r="O35" s="174" t="s">
        <v>580</v>
      </c>
      <c r="P35" s="203"/>
      <c r="Q35" s="204"/>
      <c r="R35" s="204"/>
      <c r="S35" s="204"/>
      <c r="T35" s="204"/>
      <c r="U35" s="205"/>
    </row>
    <row r="36" spans="1:21" ht="27.6" customHeight="1">
      <c r="A36" s="85"/>
      <c r="B36" s="37">
        <f t="shared" si="0"/>
        <v>23</v>
      </c>
      <c r="C36" s="145" t="s">
        <v>285</v>
      </c>
      <c r="D36" s="80"/>
      <c r="E36" s="81"/>
      <c r="F36" s="146" t="s">
        <v>286</v>
      </c>
      <c r="G36" s="17"/>
      <c r="H36" s="18" t="s">
        <v>49</v>
      </c>
      <c r="I36" s="59"/>
      <c r="J36" s="19">
        <v>1</v>
      </c>
      <c r="K36" s="19"/>
      <c r="L36" s="50"/>
      <c r="M36" s="73" t="s">
        <v>21</v>
      </c>
      <c r="N36" s="54">
        <f t="shared" si="1"/>
        <v>1</v>
      </c>
      <c r="O36" s="167"/>
      <c r="P36" s="206" t="s">
        <v>581</v>
      </c>
      <c r="Q36" s="204"/>
      <c r="R36" s="204"/>
      <c r="S36" s="204"/>
      <c r="T36" s="204"/>
      <c r="U36" s="205"/>
    </row>
    <row r="37" spans="1:21" ht="15.75">
      <c r="A37" s="85"/>
      <c r="B37" s="37">
        <f t="shared" ref="B37:B43" si="2">ROW()-13</f>
        <v>24</v>
      </c>
      <c r="C37" s="107" t="s">
        <v>36</v>
      </c>
      <c r="D37" s="107"/>
      <c r="E37" s="108"/>
      <c r="F37" s="109" t="s">
        <v>78</v>
      </c>
      <c r="G37" s="110"/>
      <c r="H37" s="18" t="s">
        <v>51</v>
      </c>
      <c r="I37" s="59"/>
      <c r="J37" s="113">
        <v>12</v>
      </c>
      <c r="K37" s="113"/>
      <c r="L37" s="114"/>
      <c r="M37" s="115" t="s">
        <v>35</v>
      </c>
      <c r="N37" s="116">
        <f t="shared" si="1"/>
        <v>12</v>
      </c>
      <c r="O37" s="168"/>
      <c r="P37" s="200"/>
      <c r="Q37" s="201"/>
      <c r="R37" s="201"/>
      <c r="S37" s="201"/>
      <c r="T37" s="201"/>
      <c r="U37" s="202"/>
    </row>
    <row r="38" spans="1:21" ht="15.75">
      <c r="A38" s="85"/>
      <c r="B38" s="37">
        <f t="shared" si="2"/>
        <v>25</v>
      </c>
      <c r="C38" s="107" t="s">
        <v>37</v>
      </c>
      <c r="D38" s="107"/>
      <c r="E38" s="108"/>
      <c r="F38" s="109" t="s">
        <v>43</v>
      </c>
      <c r="G38" s="110"/>
      <c r="H38" s="18" t="s">
        <v>51</v>
      </c>
      <c r="I38" s="59"/>
      <c r="J38" s="113">
        <v>10</v>
      </c>
      <c r="K38" s="113"/>
      <c r="L38" s="114"/>
      <c r="M38" s="115" t="s">
        <v>21</v>
      </c>
      <c r="N38" s="116">
        <f t="shared" si="1"/>
        <v>10</v>
      </c>
      <c r="O38" s="168"/>
      <c r="P38" s="200"/>
      <c r="Q38" s="201"/>
      <c r="R38" s="201"/>
      <c r="S38" s="201"/>
      <c r="T38" s="201"/>
      <c r="U38" s="202"/>
    </row>
    <row r="39" spans="1:21" ht="15.75">
      <c r="A39" s="85"/>
      <c r="B39" s="37">
        <f t="shared" si="2"/>
        <v>26</v>
      </c>
      <c r="C39" s="107" t="s">
        <v>38</v>
      </c>
      <c r="D39" s="107"/>
      <c r="E39" s="108"/>
      <c r="F39" s="109" t="s">
        <v>80</v>
      </c>
      <c r="G39" s="110"/>
      <c r="H39" s="18" t="s">
        <v>86</v>
      </c>
      <c r="I39" s="59"/>
      <c r="J39" s="113"/>
      <c r="K39" s="113"/>
      <c r="L39" s="114"/>
      <c r="M39" s="115" t="s">
        <v>21</v>
      </c>
      <c r="N39" s="116">
        <f t="shared" si="1"/>
        <v>0</v>
      </c>
      <c r="O39" s="168"/>
      <c r="P39" s="200"/>
      <c r="Q39" s="201"/>
      <c r="R39" s="201"/>
      <c r="S39" s="201"/>
      <c r="T39" s="201"/>
      <c r="U39" s="202"/>
    </row>
    <row r="40" spans="1:21" ht="15.75">
      <c r="A40" s="85"/>
      <c r="B40" s="37">
        <f t="shared" si="2"/>
        <v>27</v>
      </c>
      <c r="C40" s="107" t="s">
        <v>39</v>
      </c>
      <c r="D40" s="107"/>
      <c r="E40" s="108"/>
      <c r="F40" s="109" t="s">
        <v>79</v>
      </c>
      <c r="G40" s="110"/>
      <c r="H40" s="18" t="s">
        <v>51</v>
      </c>
      <c r="I40" s="59"/>
      <c r="J40" s="113">
        <v>12</v>
      </c>
      <c r="K40" s="113"/>
      <c r="L40" s="114"/>
      <c r="M40" s="115" t="s">
        <v>35</v>
      </c>
      <c r="N40" s="116">
        <f t="shared" si="1"/>
        <v>12</v>
      </c>
      <c r="O40" s="168"/>
      <c r="P40" s="200"/>
      <c r="Q40" s="201"/>
      <c r="R40" s="201"/>
      <c r="S40" s="201"/>
      <c r="T40" s="201"/>
      <c r="U40" s="202"/>
    </row>
    <row r="41" spans="1:21" ht="15.75">
      <c r="A41" s="85"/>
      <c r="B41" s="37">
        <f t="shared" si="2"/>
        <v>28</v>
      </c>
      <c r="C41" s="107" t="s">
        <v>40</v>
      </c>
      <c r="D41" s="107"/>
      <c r="E41" s="108"/>
      <c r="F41" s="109" t="s">
        <v>44</v>
      </c>
      <c r="G41" s="110"/>
      <c r="H41" s="18" t="s">
        <v>51</v>
      </c>
      <c r="I41" s="59"/>
      <c r="J41" s="113">
        <v>10</v>
      </c>
      <c r="K41" s="113"/>
      <c r="L41" s="114"/>
      <c r="M41" s="115" t="s">
        <v>21</v>
      </c>
      <c r="N41" s="116">
        <f t="shared" si="1"/>
        <v>10</v>
      </c>
      <c r="O41" s="168"/>
      <c r="P41" s="200"/>
      <c r="Q41" s="201"/>
      <c r="R41" s="201"/>
      <c r="S41" s="201"/>
      <c r="T41" s="201"/>
      <c r="U41" s="202"/>
    </row>
    <row r="42" spans="1:21" ht="15.75">
      <c r="A42" s="85"/>
      <c r="B42" s="37">
        <f t="shared" si="2"/>
        <v>29</v>
      </c>
      <c r="C42" s="107" t="s">
        <v>41</v>
      </c>
      <c r="D42" s="107"/>
      <c r="E42" s="108"/>
      <c r="F42" s="109" t="s">
        <v>81</v>
      </c>
      <c r="G42" s="110"/>
      <c r="H42" s="18" t="s">
        <v>86</v>
      </c>
      <c r="I42" s="59"/>
      <c r="J42" s="113"/>
      <c r="K42" s="113"/>
      <c r="L42" s="114"/>
      <c r="M42" s="115" t="s">
        <v>21</v>
      </c>
      <c r="N42" s="116">
        <f t="shared" si="1"/>
        <v>0</v>
      </c>
      <c r="O42" s="168"/>
      <c r="P42" s="200"/>
      <c r="Q42" s="201"/>
      <c r="R42" s="201"/>
      <c r="S42" s="201"/>
      <c r="T42" s="201"/>
      <c r="U42" s="202"/>
    </row>
    <row r="43" spans="1:21" ht="15.75">
      <c r="A43" s="85"/>
      <c r="B43" s="37">
        <f t="shared" si="2"/>
        <v>30</v>
      </c>
      <c r="C43" s="80" t="s">
        <v>46</v>
      </c>
      <c r="D43" s="80"/>
      <c r="E43" s="81"/>
      <c r="F43" s="84" t="s">
        <v>71</v>
      </c>
      <c r="G43" s="17"/>
      <c r="H43" s="18" t="s">
        <v>62</v>
      </c>
      <c r="I43" s="59"/>
      <c r="J43" s="19">
        <v>8</v>
      </c>
      <c r="K43" s="19"/>
      <c r="L43" s="50" t="s">
        <v>47</v>
      </c>
      <c r="M43" s="73" t="s">
        <v>35</v>
      </c>
      <c r="N43" s="54">
        <f t="shared" si="1"/>
        <v>8</v>
      </c>
      <c r="O43" s="167">
        <v>0</v>
      </c>
      <c r="P43" s="203" t="s">
        <v>48</v>
      </c>
      <c r="Q43" s="204"/>
      <c r="R43" s="204"/>
      <c r="S43" s="204"/>
      <c r="T43" s="204"/>
      <c r="U43" s="205"/>
    </row>
    <row r="44" spans="1:21" ht="16.5" thickBot="1">
      <c r="A44" s="118"/>
      <c r="B44" s="119"/>
      <c r="C44" s="120"/>
      <c r="D44" s="120"/>
      <c r="E44" s="121"/>
      <c r="F44" s="129"/>
      <c r="G44" s="122"/>
      <c r="H44" s="147"/>
      <c r="I44" s="148"/>
      <c r="J44" s="125"/>
      <c r="K44" s="125"/>
      <c r="L44" s="126"/>
      <c r="M44" s="126"/>
      <c r="N44" s="127"/>
      <c r="O44" s="169"/>
      <c r="P44" s="197"/>
      <c r="Q44" s="198"/>
      <c r="R44" s="198"/>
      <c r="S44" s="198"/>
      <c r="T44" s="198"/>
      <c r="U44" s="199"/>
    </row>
  </sheetData>
  <mergeCells count="61">
    <mergeCell ref="O1:U1"/>
    <mergeCell ref="J2:K2"/>
    <mergeCell ref="L2:M2"/>
    <mergeCell ref="O2:U2"/>
    <mergeCell ref="J3:K3"/>
    <mergeCell ref="L3:M3"/>
    <mergeCell ref="O3:U3"/>
    <mergeCell ref="J4:K4"/>
    <mergeCell ref="L4:M4"/>
    <mergeCell ref="O4:U4"/>
    <mergeCell ref="J5:K5"/>
    <mergeCell ref="L5:M5"/>
    <mergeCell ref="O5:U5"/>
    <mergeCell ref="E6:H6"/>
    <mergeCell ref="K6:M6"/>
    <mergeCell ref="O6:U6"/>
    <mergeCell ref="E7:H7"/>
    <mergeCell ref="K7:M7"/>
    <mergeCell ref="O7:U7"/>
    <mergeCell ref="P15:U15"/>
    <mergeCell ref="E8:H8"/>
    <mergeCell ref="K8:M8"/>
    <mergeCell ref="O8:U8"/>
    <mergeCell ref="E9:H9"/>
    <mergeCell ref="O9:U9"/>
    <mergeCell ref="E10:H10"/>
    <mergeCell ref="O10:U10"/>
    <mergeCell ref="E11:H11"/>
    <mergeCell ref="O11:U11"/>
    <mergeCell ref="O12:U12"/>
    <mergeCell ref="P13:U13"/>
    <mergeCell ref="P14:U14"/>
    <mergeCell ref="P27:U27"/>
    <mergeCell ref="P16:U16"/>
    <mergeCell ref="P17:U17"/>
    <mergeCell ref="P18:U18"/>
    <mergeCell ref="P19:U19"/>
    <mergeCell ref="P20:U20"/>
    <mergeCell ref="P21:U21"/>
    <mergeCell ref="P22:U22"/>
    <mergeCell ref="P23:U23"/>
    <mergeCell ref="P24:U24"/>
    <mergeCell ref="P25:U25"/>
    <mergeCell ref="P26:U26"/>
    <mergeCell ref="P39:U39"/>
    <mergeCell ref="P28:U28"/>
    <mergeCell ref="P29:U29"/>
    <mergeCell ref="P30:U30"/>
    <mergeCell ref="P31:U31"/>
    <mergeCell ref="P32:U32"/>
    <mergeCell ref="P33:U33"/>
    <mergeCell ref="P34:U34"/>
    <mergeCell ref="P35:U35"/>
    <mergeCell ref="P36:U36"/>
    <mergeCell ref="P37:U37"/>
    <mergeCell ref="P38:U38"/>
    <mergeCell ref="P40:U40"/>
    <mergeCell ref="P41:U41"/>
    <mergeCell ref="P42:U42"/>
    <mergeCell ref="P43:U43"/>
    <mergeCell ref="P44:U44"/>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17"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34818"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34819"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34820"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34821"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34822"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04CE58A8-F47D-4783-996B-A8836D3AA392}">
            <xm:f>(AND(H14&lt;&gt;"",ISERROR(VLOOKUP(H14,system!$E:$E,1,FALSE))))</xm:f>
            <x14:dxf>
              <fill>
                <patternFill patternType="solid">
                  <bgColor rgb="FFFF0000"/>
                </patternFill>
              </fill>
            </x14:dxf>
          </x14:cfRule>
          <xm:sqref>H14:H36</xm:sqref>
        </x14:conditionalFormatting>
        <x14:conditionalFormatting xmlns:xm="http://schemas.microsoft.com/office/excel/2006/main">
          <x14:cfRule type="expression" priority="3" id="{06F20246-2579-404E-8A7A-A237A229913F}">
            <xm:f>(AND(H14&lt;&gt;"",ISERROR(VLOOKUP(H14,system!$E:$E,1,FALSE))))</xm:f>
            <x14:dxf>
              <fill>
                <patternFill>
                  <bgColor rgb="FFFF0000"/>
                </patternFill>
              </fill>
            </x14:dxf>
          </x14:cfRule>
          <xm:sqref>I14:I36</xm:sqref>
        </x14:conditionalFormatting>
        <x14:conditionalFormatting xmlns:xm="http://schemas.microsoft.com/office/excel/2006/main">
          <x14:cfRule type="expression" priority="2" id="{664DA715-EC06-4A8C-93EA-41CA85CA620E}">
            <xm:f>(AND(H37&lt;&gt;"",ISERROR(VLOOKUP(H37,system!$E:$E,1,FALSE))))</xm:f>
            <x14:dxf>
              <fill>
                <patternFill patternType="solid">
                  <bgColor rgb="FFFF0000"/>
                </patternFill>
              </fill>
            </x14:dxf>
          </x14:cfRule>
          <xm:sqref>H37:H44</xm:sqref>
        </x14:conditionalFormatting>
        <x14:conditionalFormatting xmlns:xm="http://schemas.microsoft.com/office/excel/2006/main">
          <x14:cfRule type="expression" priority="1" id="{0D607CAE-1691-4E66-9E94-C39D291AFF18}">
            <xm:f>(AND(H37&lt;&gt;"",ISERROR(VLOOKUP(H37,system!$E:$E,1,FALSE))))</xm:f>
            <x14:dxf>
              <fill>
                <patternFill>
                  <bgColor rgb="FFFF0000"/>
                </patternFill>
              </fill>
            </x14:dxf>
          </x14:cfRule>
          <xm:sqref>I37:I44</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A1:U29"/>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7" t="s">
        <v>27</v>
      </c>
      <c r="P1" s="248"/>
      <c r="Q1" s="248"/>
      <c r="R1" s="248"/>
      <c r="S1" s="248"/>
      <c r="T1" s="248"/>
      <c r="U1" s="249"/>
    </row>
    <row r="2" spans="1:21" ht="14.45" customHeight="1">
      <c r="A2" s="39"/>
      <c r="B2" s="100" t="s">
        <v>64</v>
      </c>
      <c r="C2" s="5"/>
      <c r="D2" s="5"/>
      <c r="E2" s="5"/>
      <c r="F2" s="5"/>
      <c r="G2" s="6"/>
      <c r="H2" s="7"/>
      <c r="I2" s="8"/>
      <c r="J2" s="250"/>
      <c r="K2" s="251"/>
      <c r="L2" s="250"/>
      <c r="M2" s="251"/>
      <c r="N2" s="52"/>
      <c r="O2" s="252" t="s">
        <v>586</v>
      </c>
      <c r="P2" s="253"/>
      <c r="Q2" s="253"/>
      <c r="R2" s="253"/>
      <c r="S2" s="253"/>
      <c r="T2" s="253"/>
      <c r="U2" s="254"/>
    </row>
    <row r="3" spans="1:21" ht="14.25" customHeight="1">
      <c r="A3" s="40"/>
      <c r="B3" s="35"/>
      <c r="C3" s="5"/>
      <c r="D3" s="5"/>
      <c r="E3" s="5"/>
      <c r="F3" s="5"/>
      <c r="G3" s="9"/>
      <c r="H3" s="10"/>
      <c r="I3" s="176" t="s">
        <v>1032</v>
      </c>
      <c r="J3" s="255" t="s">
        <v>1032</v>
      </c>
      <c r="K3" s="256"/>
      <c r="L3" s="255" t="s">
        <v>1032</v>
      </c>
      <c r="M3" s="256"/>
      <c r="N3" s="52"/>
      <c r="O3" s="257"/>
      <c r="P3" s="258"/>
      <c r="Q3" s="258"/>
      <c r="R3" s="258"/>
      <c r="S3" s="258"/>
      <c r="T3" s="258"/>
      <c r="U3" s="259"/>
    </row>
    <row r="4" spans="1:21" ht="14.45" customHeight="1">
      <c r="A4" s="41"/>
      <c r="B4" s="36" t="s">
        <v>3</v>
      </c>
      <c r="C4" s="5"/>
      <c r="D4" s="5"/>
      <c r="E4" s="5"/>
      <c r="F4" s="5"/>
      <c r="G4" s="6"/>
      <c r="H4" s="10"/>
      <c r="I4" s="177" t="s">
        <v>1035</v>
      </c>
      <c r="J4" s="240" t="s">
        <v>1034</v>
      </c>
      <c r="K4" s="241"/>
      <c r="L4" s="240" t="s">
        <v>1033</v>
      </c>
      <c r="M4" s="241"/>
      <c r="N4" s="52"/>
      <c r="O4" s="210"/>
      <c r="P4" s="211"/>
      <c r="Q4" s="211"/>
      <c r="R4" s="211"/>
      <c r="S4" s="211"/>
      <c r="T4" s="211"/>
      <c r="U4" s="212"/>
    </row>
    <row r="5" spans="1:21" ht="14.45" customHeight="1" thickBot="1">
      <c r="A5" s="42"/>
      <c r="B5" s="11"/>
      <c r="C5" s="11"/>
      <c r="D5" s="11"/>
      <c r="E5" s="11"/>
      <c r="F5" s="11"/>
      <c r="G5" s="12"/>
      <c r="H5" s="13"/>
      <c r="I5" s="14"/>
      <c r="J5" s="242"/>
      <c r="K5" s="243"/>
      <c r="L5" s="244"/>
      <c r="M5" s="245"/>
      <c r="N5" s="53"/>
      <c r="O5" s="246"/>
      <c r="P5" s="211"/>
      <c r="Q5" s="211"/>
      <c r="R5" s="211"/>
      <c r="S5" s="211"/>
      <c r="T5" s="211"/>
      <c r="U5" s="212"/>
    </row>
    <row r="6" spans="1:21" ht="14.45" customHeight="1">
      <c r="A6" s="43"/>
      <c r="B6" s="101" t="s">
        <v>4</v>
      </c>
      <c r="C6" s="20"/>
      <c r="D6" s="21"/>
      <c r="E6" s="222" t="s">
        <v>65</v>
      </c>
      <c r="F6" s="223"/>
      <c r="G6" s="223"/>
      <c r="H6" s="224"/>
      <c r="I6" s="60" t="s">
        <v>26</v>
      </c>
      <c r="J6" s="26"/>
      <c r="K6" s="225" t="s">
        <v>33</v>
      </c>
      <c r="L6" s="226"/>
      <c r="M6" s="227"/>
      <c r="N6" s="91" t="s">
        <v>5</v>
      </c>
      <c r="O6" s="210"/>
      <c r="P6" s="211"/>
      <c r="Q6" s="211"/>
      <c r="R6" s="211"/>
      <c r="S6" s="211"/>
      <c r="T6" s="211"/>
      <c r="U6" s="212"/>
    </row>
    <row r="7" spans="1:21" ht="15.75" customHeight="1">
      <c r="A7" s="44"/>
      <c r="B7" s="102" t="s">
        <v>6</v>
      </c>
      <c r="C7" s="22"/>
      <c r="D7" s="23"/>
      <c r="E7" s="228" t="s">
        <v>151</v>
      </c>
      <c r="F7" s="229"/>
      <c r="G7" s="229"/>
      <c r="H7" s="230"/>
      <c r="I7" s="61" t="s">
        <v>28</v>
      </c>
      <c r="J7" s="27"/>
      <c r="K7" s="231" t="s">
        <v>34</v>
      </c>
      <c r="L7" s="232"/>
      <c r="M7" s="233"/>
      <c r="N7" s="92">
        <f>COUNTIF(H14:H14,"LONG")+COUNTIF(H14:H14,"LONG RAW")</f>
        <v>0</v>
      </c>
      <c r="O7" s="210"/>
      <c r="P7" s="211"/>
      <c r="Q7" s="211"/>
      <c r="R7" s="211"/>
      <c r="S7" s="211"/>
      <c r="T7" s="211"/>
      <c r="U7" s="212"/>
    </row>
    <row r="8" spans="1:21" ht="14.45" customHeight="1">
      <c r="A8" s="45"/>
      <c r="B8" s="22" t="s">
        <v>7</v>
      </c>
      <c r="C8" s="22"/>
      <c r="D8" s="23"/>
      <c r="E8" s="228" t="s">
        <v>582</v>
      </c>
      <c r="F8" s="229"/>
      <c r="G8" s="229"/>
      <c r="H8" s="230"/>
      <c r="I8" s="62"/>
      <c r="J8" s="27"/>
      <c r="K8" s="234"/>
      <c r="L8" s="235"/>
      <c r="M8" s="236"/>
      <c r="N8" s="92"/>
      <c r="O8" s="210"/>
      <c r="P8" s="211"/>
      <c r="Q8" s="211"/>
      <c r="R8" s="211"/>
      <c r="S8" s="211"/>
      <c r="T8" s="211"/>
      <c r="U8" s="212"/>
    </row>
    <row r="9" spans="1:21" ht="14.45" customHeight="1">
      <c r="A9" s="45"/>
      <c r="B9" s="22" t="s">
        <v>8</v>
      </c>
      <c r="C9" s="22"/>
      <c r="D9" s="23"/>
      <c r="E9" s="237" t="s">
        <v>68</v>
      </c>
      <c r="F9" s="238"/>
      <c r="G9" s="238"/>
      <c r="H9" s="239"/>
      <c r="I9" s="61" t="s">
        <v>9</v>
      </c>
      <c r="J9" s="27"/>
      <c r="K9" s="86"/>
      <c r="L9" s="88">
        <f>SUM(N14:N30)</f>
        <v>69</v>
      </c>
      <c r="M9" s="82"/>
      <c r="N9" s="93">
        <f>SUMIF(M14:M14,"■",N14:N14)</f>
        <v>0</v>
      </c>
      <c r="O9" s="210"/>
      <c r="P9" s="211"/>
      <c r="Q9" s="211"/>
      <c r="R9" s="211"/>
      <c r="S9" s="211"/>
      <c r="T9" s="211"/>
      <c r="U9" s="212"/>
    </row>
    <row r="10" spans="1:21" ht="14.45" customHeight="1">
      <c r="A10" s="45"/>
      <c r="B10" s="22" t="s">
        <v>10</v>
      </c>
      <c r="C10" s="22"/>
      <c r="D10" s="23"/>
      <c r="E10" s="219" t="s">
        <v>68</v>
      </c>
      <c r="F10" s="220"/>
      <c r="G10" s="220"/>
      <c r="H10" s="221"/>
      <c r="I10" s="61" t="s">
        <v>11</v>
      </c>
      <c r="J10" s="27"/>
      <c r="K10" s="86"/>
      <c r="L10" s="89">
        <f>E11*L9/1000</f>
        <v>0</v>
      </c>
      <c r="M10" s="82"/>
      <c r="N10" s="55"/>
      <c r="O10" s="210"/>
      <c r="P10" s="211"/>
      <c r="Q10" s="211"/>
      <c r="R10" s="211"/>
      <c r="S10" s="211"/>
      <c r="T10" s="211"/>
      <c r="U10" s="212"/>
    </row>
    <row r="11" spans="1:21" ht="17.25" customHeight="1" thickBot="1">
      <c r="A11" s="46"/>
      <c r="B11" s="24" t="s">
        <v>29</v>
      </c>
      <c r="C11" s="24"/>
      <c r="D11" s="25"/>
      <c r="E11" s="207"/>
      <c r="F11" s="208"/>
      <c r="G11" s="208"/>
      <c r="H11" s="209"/>
      <c r="I11" s="103" t="s">
        <v>12</v>
      </c>
      <c r="J11" s="104"/>
      <c r="K11" s="87"/>
      <c r="L11" s="90"/>
      <c r="M11" s="83"/>
      <c r="N11" s="56"/>
      <c r="O11" s="210"/>
      <c r="P11" s="211"/>
      <c r="Q11" s="211"/>
      <c r="R11" s="211"/>
      <c r="S11" s="211"/>
      <c r="T11" s="211"/>
      <c r="U11" s="212"/>
    </row>
    <row r="12" spans="1:21" ht="15.75" customHeight="1" thickBot="1">
      <c r="A12" s="64"/>
      <c r="B12" s="65"/>
      <c r="C12" s="30"/>
      <c r="D12" s="30"/>
      <c r="E12" s="31"/>
      <c r="F12" s="32"/>
      <c r="G12" s="29"/>
      <c r="H12" s="28"/>
      <c r="I12" s="29"/>
      <c r="J12" s="30" t="s">
        <v>13</v>
      </c>
      <c r="K12" s="31"/>
      <c r="L12" s="66"/>
      <c r="M12" s="48"/>
      <c r="N12" s="57">
        <f>COUNTA(H14:H14)</f>
        <v>1</v>
      </c>
      <c r="O12" s="213"/>
      <c r="P12" s="214"/>
      <c r="Q12" s="214"/>
      <c r="R12" s="214"/>
      <c r="S12" s="214"/>
      <c r="T12" s="214"/>
      <c r="U12" s="21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16" t="s">
        <v>32</v>
      </c>
      <c r="Q13" s="217"/>
      <c r="R13" s="217"/>
      <c r="S13" s="217"/>
      <c r="T13" s="217"/>
      <c r="U13" s="218"/>
    </row>
    <row r="14" spans="1:21" ht="15.75" customHeight="1">
      <c r="A14" s="85" t="s">
        <v>188</v>
      </c>
      <c r="B14" s="37">
        <f t="shared" ref="B14:B21" si="0">ROW()-13</f>
        <v>1</v>
      </c>
      <c r="C14" s="145" t="s">
        <v>186</v>
      </c>
      <c r="D14" s="80"/>
      <c r="E14" s="81"/>
      <c r="F14" s="146" t="s">
        <v>1029</v>
      </c>
      <c r="G14" s="17"/>
      <c r="H14" s="18" t="s">
        <v>49</v>
      </c>
      <c r="I14" s="59"/>
      <c r="J14" s="19">
        <v>1</v>
      </c>
      <c r="K14" s="19"/>
      <c r="L14" s="50" t="s">
        <v>187</v>
      </c>
      <c r="M14" s="73" t="s">
        <v>21</v>
      </c>
      <c r="N14" s="54">
        <f t="shared" ref="N14:N28" si="1">IF(H14="NUMBER",IF(J14&gt;0,INT((J14+1)/2+0.9),0),IF(H14="DATE",7,IF(OR(H14="LONG",H14="LONG RAW"),100000,J14)))</f>
        <v>1</v>
      </c>
      <c r="O14" s="167"/>
      <c r="P14" s="203" t="s">
        <v>174</v>
      </c>
      <c r="Q14" s="204"/>
      <c r="R14" s="204"/>
      <c r="S14" s="204"/>
      <c r="T14" s="204"/>
      <c r="U14" s="205"/>
    </row>
    <row r="15" spans="1:21" ht="27.6" customHeight="1">
      <c r="A15" s="85" t="s">
        <v>188</v>
      </c>
      <c r="B15" s="37">
        <f t="shared" si="0"/>
        <v>2</v>
      </c>
      <c r="C15" s="145" t="s">
        <v>587</v>
      </c>
      <c r="D15" s="80"/>
      <c r="E15" s="81"/>
      <c r="F15" s="146" t="s">
        <v>588</v>
      </c>
      <c r="G15" s="17"/>
      <c r="H15" s="18" t="s">
        <v>49</v>
      </c>
      <c r="I15" s="59"/>
      <c r="J15" s="19">
        <v>1</v>
      </c>
      <c r="K15" s="19"/>
      <c r="L15" s="50" t="s">
        <v>187</v>
      </c>
      <c r="M15" s="73" t="s">
        <v>21</v>
      </c>
      <c r="N15" s="54">
        <f t="shared" si="1"/>
        <v>1</v>
      </c>
      <c r="O15" s="167"/>
      <c r="P15" s="206" t="s">
        <v>589</v>
      </c>
      <c r="Q15" s="204"/>
      <c r="R15" s="204"/>
      <c r="S15" s="204"/>
      <c r="T15" s="204"/>
      <c r="U15" s="205"/>
    </row>
    <row r="16" spans="1:21" ht="15.75" customHeight="1">
      <c r="A16" s="85" t="s">
        <v>188</v>
      </c>
      <c r="B16" s="37">
        <f t="shared" si="0"/>
        <v>3</v>
      </c>
      <c r="C16" s="145" t="s">
        <v>482</v>
      </c>
      <c r="D16" s="80"/>
      <c r="E16" s="81"/>
      <c r="F16" s="146" t="s">
        <v>483</v>
      </c>
      <c r="G16" s="17"/>
      <c r="H16" s="18" t="s">
        <v>49</v>
      </c>
      <c r="I16" s="59"/>
      <c r="J16" s="19">
        <v>4</v>
      </c>
      <c r="K16" s="19"/>
      <c r="L16" s="50" t="s">
        <v>187</v>
      </c>
      <c r="M16" s="73" t="s">
        <v>21</v>
      </c>
      <c r="N16" s="54">
        <f t="shared" si="1"/>
        <v>4</v>
      </c>
      <c r="O16" s="167"/>
      <c r="P16" s="203"/>
      <c r="Q16" s="204"/>
      <c r="R16" s="204"/>
      <c r="S16" s="204"/>
      <c r="T16" s="204"/>
      <c r="U16" s="205"/>
    </row>
    <row r="17" spans="1:21" ht="15.75" customHeight="1">
      <c r="A17" s="85" t="s">
        <v>188</v>
      </c>
      <c r="B17" s="37">
        <f t="shared" si="0"/>
        <v>4</v>
      </c>
      <c r="C17" s="145" t="s">
        <v>354</v>
      </c>
      <c r="D17" s="80"/>
      <c r="E17" s="81"/>
      <c r="F17" s="146" t="s">
        <v>355</v>
      </c>
      <c r="G17" s="17"/>
      <c r="H17" s="18" t="s">
        <v>51</v>
      </c>
      <c r="I17" s="59"/>
      <c r="J17" s="19">
        <v>4</v>
      </c>
      <c r="K17" s="19"/>
      <c r="L17" s="50" t="s">
        <v>187</v>
      </c>
      <c r="M17" s="73" t="s">
        <v>21</v>
      </c>
      <c r="N17" s="54">
        <f t="shared" si="1"/>
        <v>4</v>
      </c>
      <c r="O17" s="167"/>
      <c r="P17" s="203" t="s">
        <v>200</v>
      </c>
      <c r="Q17" s="204"/>
      <c r="R17" s="204"/>
      <c r="S17" s="204"/>
      <c r="T17" s="204"/>
      <c r="U17" s="205"/>
    </row>
    <row r="18" spans="1:21" ht="15.75" customHeight="1">
      <c r="A18" s="85"/>
      <c r="B18" s="37">
        <f t="shared" si="0"/>
        <v>5</v>
      </c>
      <c r="C18" s="145" t="s">
        <v>590</v>
      </c>
      <c r="D18" s="80"/>
      <c r="E18" s="81"/>
      <c r="F18" s="146" t="s">
        <v>591</v>
      </c>
      <c r="G18" s="17"/>
      <c r="H18" s="18" t="s">
        <v>24</v>
      </c>
      <c r="I18" s="59"/>
      <c r="J18" s="19"/>
      <c r="K18" s="19"/>
      <c r="L18" s="50" t="s">
        <v>187</v>
      </c>
      <c r="M18" s="73" t="s">
        <v>21</v>
      </c>
      <c r="N18" s="54">
        <f t="shared" si="1"/>
        <v>7</v>
      </c>
      <c r="O18" s="167"/>
      <c r="P18" s="203"/>
      <c r="Q18" s="204"/>
      <c r="R18" s="204"/>
      <c r="S18" s="204"/>
      <c r="T18" s="204"/>
      <c r="U18" s="205"/>
    </row>
    <row r="19" spans="1:21" ht="15.75" customHeight="1">
      <c r="A19" s="85"/>
      <c r="B19" s="37">
        <f t="shared" si="0"/>
        <v>6</v>
      </c>
      <c r="C19" s="145" t="s">
        <v>592</v>
      </c>
      <c r="D19" s="80"/>
      <c r="E19" s="81"/>
      <c r="F19" s="146" t="s">
        <v>593</v>
      </c>
      <c r="G19" s="17"/>
      <c r="H19" s="18" t="s">
        <v>54</v>
      </c>
      <c r="I19" s="59"/>
      <c r="J19" s="19"/>
      <c r="K19" s="19"/>
      <c r="L19" s="50" t="s">
        <v>187</v>
      </c>
      <c r="M19" s="73" t="s">
        <v>21</v>
      </c>
      <c r="N19" s="54">
        <f t="shared" si="1"/>
        <v>0</v>
      </c>
      <c r="O19" s="167"/>
      <c r="P19" s="203"/>
      <c r="Q19" s="204"/>
      <c r="R19" s="204"/>
      <c r="S19" s="204"/>
      <c r="T19" s="204"/>
      <c r="U19" s="205"/>
    </row>
    <row r="20" spans="1:21" ht="15.75" customHeight="1">
      <c r="A20" s="85"/>
      <c r="B20" s="37">
        <f t="shared" si="0"/>
        <v>7</v>
      </c>
      <c r="C20" s="145" t="s">
        <v>594</v>
      </c>
      <c r="D20" s="80"/>
      <c r="E20" s="81"/>
      <c r="F20" s="146" t="s">
        <v>595</v>
      </c>
      <c r="G20" s="17"/>
      <c r="H20" s="18" t="s">
        <v>209</v>
      </c>
      <c r="I20" s="59"/>
      <c r="J20" s="19"/>
      <c r="K20" s="19"/>
      <c r="L20" s="50" t="s">
        <v>187</v>
      </c>
      <c r="M20" s="73" t="s">
        <v>21</v>
      </c>
      <c r="N20" s="54">
        <f t="shared" si="1"/>
        <v>0</v>
      </c>
      <c r="O20" s="167"/>
      <c r="P20" s="203"/>
      <c r="Q20" s="204"/>
      <c r="R20" s="204"/>
      <c r="S20" s="204"/>
      <c r="T20" s="204"/>
      <c r="U20" s="205"/>
    </row>
    <row r="21" spans="1:21" ht="15.75" customHeight="1">
      <c r="A21" s="85"/>
      <c r="B21" s="37">
        <f t="shared" si="0"/>
        <v>8</v>
      </c>
      <c r="C21" s="145" t="s">
        <v>596</v>
      </c>
      <c r="D21" s="80"/>
      <c r="E21" s="81"/>
      <c r="F21" s="146" t="s">
        <v>597</v>
      </c>
      <c r="G21" s="17"/>
      <c r="H21" s="18" t="s">
        <v>209</v>
      </c>
      <c r="I21" s="59"/>
      <c r="J21" s="19"/>
      <c r="K21" s="19"/>
      <c r="L21" s="50" t="s">
        <v>187</v>
      </c>
      <c r="M21" s="73" t="s">
        <v>21</v>
      </c>
      <c r="N21" s="54">
        <f t="shared" si="1"/>
        <v>0</v>
      </c>
      <c r="O21" s="167"/>
      <c r="P21" s="203"/>
      <c r="Q21" s="204"/>
      <c r="R21" s="204"/>
      <c r="S21" s="204"/>
      <c r="T21" s="204"/>
      <c r="U21" s="205"/>
    </row>
    <row r="22" spans="1:21" ht="15.75">
      <c r="A22" s="85"/>
      <c r="B22" s="37">
        <f t="shared" ref="B22:B28" si="2">ROW()-13</f>
        <v>9</v>
      </c>
      <c r="C22" s="107" t="s">
        <v>36</v>
      </c>
      <c r="D22" s="107"/>
      <c r="E22" s="108"/>
      <c r="F22" s="109" t="s">
        <v>78</v>
      </c>
      <c r="G22" s="110"/>
      <c r="H22" s="18" t="s">
        <v>51</v>
      </c>
      <c r="I22" s="59"/>
      <c r="J22" s="113">
        <v>12</v>
      </c>
      <c r="K22" s="113"/>
      <c r="L22" s="114"/>
      <c r="M22" s="115" t="s">
        <v>35</v>
      </c>
      <c r="N22" s="116">
        <f t="shared" si="1"/>
        <v>12</v>
      </c>
      <c r="O22" s="168"/>
      <c r="P22" s="200"/>
      <c r="Q22" s="201"/>
      <c r="R22" s="201"/>
      <c r="S22" s="201"/>
      <c r="T22" s="201"/>
      <c r="U22" s="202"/>
    </row>
    <row r="23" spans="1:21" ht="15.75">
      <c r="A23" s="85"/>
      <c r="B23" s="37">
        <f t="shared" si="2"/>
        <v>10</v>
      </c>
      <c r="C23" s="107" t="s">
        <v>37</v>
      </c>
      <c r="D23" s="107"/>
      <c r="E23" s="108"/>
      <c r="F23" s="109" t="s">
        <v>43</v>
      </c>
      <c r="G23" s="110"/>
      <c r="H23" s="18" t="s">
        <v>51</v>
      </c>
      <c r="I23" s="59"/>
      <c r="J23" s="113">
        <v>10</v>
      </c>
      <c r="K23" s="113"/>
      <c r="L23" s="114"/>
      <c r="M23" s="115" t="s">
        <v>21</v>
      </c>
      <c r="N23" s="116">
        <f t="shared" si="1"/>
        <v>10</v>
      </c>
      <c r="O23" s="168"/>
      <c r="P23" s="200"/>
      <c r="Q23" s="201"/>
      <c r="R23" s="201"/>
      <c r="S23" s="201"/>
      <c r="T23" s="201"/>
      <c r="U23" s="202"/>
    </row>
    <row r="24" spans="1:21" ht="15.75">
      <c r="A24" s="85"/>
      <c r="B24" s="37">
        <f t="shared" si="2"/>
        <v>11</v>
      </c>
      <c r="C24" s="107" t="s">
        <v>38</v>
      </c>
      <c r="D24" s="107"/>
      <c r="E24" s="108"/>
      <c r="F24" s="109" t="s">
        <v>80</v>
      </c>
      <c r="G24" s="110"/>
      <c r="H24" s="18" t="s">
        <v>86</v>
      </c>
      <c r="I24" s="59"/>
      <c r="J24" s="113"/>
      <c r="K24" s="113"/>
      <c r="L24" s="114"/>
      <c r="M24" s="115" t="s">
        <v>21</v>
      </c>
      <c r="N24" s="116">
        <f t="shared" si="1"/>
        <v>0</v>
      </c>
      <c r="O24" s="168"/>
      <c r="P24" s="200"/>
      <c r="Q24" s="201"/>
      <c r="R24" s="201"/>
      <c r="S24" s="201"/>
      <c r="T24" s="201"/>
      <c r="U24" s="202"/>
    </row>
    <row r="25" spans="1:21" ht="15.75">
      <c r="A25" s="85"/>
      <c r="B25" s="37">
        <f t="shared" si="2"/>
        <v>12</v>
      </c>
      <c r="C25" s="107" t="s">
        <v>39</v>
      </c>
      <c r="D25" s="107"/>
      <c r="E25" s="108"/>
      <c r="F25" s="109" t="s">
        <v>79</v>
      </c>
      <c r="G25" s="110"/>
      <c r="H25" s="18" t="s">
        <v>51</v>
      </c>
      <c r="I25" s="59"/>
      <c r="J25" s="113">
        <v>12</v>
      </c>
      <c r="K25" s="113"/>
      <c r="L25" s="114"/>
      <c r="M25" s="115" t="s">
        <v>35</v>
      </c>
      <c r="N25" s="116">
        <f t="shared" si="1"/>
        <v>12</v>
      </c>
      <c r="O25" s="168"/>
      <c r="P25" s="200"/>
      <c r="Q25" s="201"/>
      <c r="R25" s="201"/>
      <c r="S25" s="201"/>
      <c r="T25" s="201"/>
      <c r="U25" s="202"/>
    </row>
    <row r="26" spans="1:21" ht="15.75">
      <c r="A26" s="85"/>
      <c r="B26" s="37">
        <f t="shared" si="2"/>
        <v>13</v>
      </c>
      <c r="C26" s="107" t="s">
        <v>40</v>
      </c>
      <c r="D26" s="107"/>
      <c r="E26" s="108"/>
      <c r="F26" s="109" t="s">
        <v>44</v>
      </c>
      <c r="G26" s="110"/>
      <c r="H26" s="18" t="s">
        <v>51</v>
      </c>
      <c r="I26" s="59"/>
      <c r="J26" s="113">
        <v>10</v>
      </c>
      <c r="K26" s="113"/>
      <c r="L26" s="114"/>
      <c r="M26" s="115" t="s">
        <v>21</v>
      </c>
      <c r="N26" s="116">
        <f t="shared" si="1"/>
        <v>10</v>
      </c>
      <c r="O26" s="168"/>
      <c r="P26" s="200"/>
      <c r="Q26" s="201"/>
      <c r="R26" s="201"/>
      <c r="S26" s="201"/>
      <c r="T26" s="201"/>
      <c r="U26" s="202"/>
    </row>
    <row r="27" spans="1:21" ht="15.75">
      <c r="A27" s="85"/>
      <c r="B27" s="37">
        <f t="shared" si="2"/>
        <v>14</v>
      </c>
      <c r="C27" s="107" t="s">
        <v>41</v>
      </c>
      <c r="D27" s="107"/>
      <c r="E27" s="108"/>
      <c r="F27" s="109" t="s">
        <v>81</v>
      </c>
      <c r="G27" s="110"/>
      <c r="H27" s="18" t="s">
        <v>86</v>
      </c>
      <c r="I27" s="59"/>
      <c r="J27" s="113"/>
      <c r="K27" s="113"/>
      <c r="L27" s="114"/>
      <c r="M27" s="115" t="s">
        <v>21</v>
      </c>
      <c r="N27" s="116">
        <f t="shared" si="1"/>
        <v>0</v>
      </c>
      <c r="O27" s="168"/>
      <c r="P27" s="200"/>
      <c r="Q27" s="201"/>
      <c r="R27" s="201"/>
      <c r="S27" s="201"/>
      <c r="T27" s="201"/>
      <c r="U27" s="202"/>
    </row>
    <row r="28" spans="1:21" ht="15.75">
      <c r="A28" s="85"/>
      <c r="B28" s="37">
        <f t="shared" si="2"/>
        <v>15</v>
      </c>
      <c r="C28" s="80" t="s">
        <v>46</v>
      </c>
      <c r="D28" s="80"/>
      <c r="E28" s="81"/>
      <c r="F28" s="84" t="s">
        <v>71</v>
      </c>
      <c r="G28" s="17"/>
      <c r="H28" s="18" t="s">
        <v>62</v>
      </c>
      <c r="I28" s="59"/>
      <c r="J28" s="19">
        <v>8</v>
      </c>
      <c r="K28" s="19"/>
      <c r="L28" s="50" t="s">
        <v>47</v>
      </c>
      <c r="M28" s="73" t="s">
        <v>35</v>
      </c>
      <c r="N28" s="54">
        <f t="shared" si="1"/>
        <v>8</v>
      </c>
      <c r="O28" s="167">
        <v>0</v>
      </c>
      <c r="P28" s="203" t="s">
        <v>48</v>
      </c>
      <c r="Q28" s="204"/>
      <c r="R28" s="204"/>
      <c r="S28" s="204"/>
      <c r="T28" s="204"/>
      <c r="U28" s="205"/>
    </row>
    <row r="29" spans="1:21" ht="16.5" thickBot="1">
      <c r="A29" s="118"/>
      <c r="B29" s="119"/>
      <c r="C29" s="120"/>
      <c r="D29" s="120"/>
      <c r="E29" s="121"/>
      <c r="F29" s="129"/>
      <c r="G29" s="122"/>
      <c r="H29" s="147"/>
      <c r="I29" s="148"/>
      <c r="J29" s="125"/>
      <c r="K29" s="125"/>
      <c r="L29" s="126"/>
      <c r="M29" s="126"/>
      <c r="N29" s="127"/>
      <c r="O29" s="169"/>
      <c r="P29" s="197"/>
      <c r="Q29" s="198"/>
      <c r="R29" s="198"/>
      <c r="S29" s="198"/>
      <c r="T29" s="198"/>
      <c r="U29" s="199"/>
    </row>
  </sheetData>
  <mergeCells count="46">
    <mergeCell ref="O1:U1"/>
    <mergeCell ref="J2:K2"/>
    <mergeCell ref="L2:M2"/>
    <mergeCell ref="O2:U2"/>
    <mergeCell ref="J3:K3"/>
    <mergeCell ref="L3:M3"/>
    <mergeCell ref="O3:U3"/>
    <mergeCell ref="J4:K4"/>
    <mergeCell ref="L4:M4"/>
    <mergeCell ref="O4:U4"/>
    <mergeCell ref="J5:K5"/>
    <mergeCell ref="L5:M5"/>
    <mergeCell ref="O5:U5"/>
    <mergeCell ref="E10:H10"/>
    <mergeCell ref="O10:U10"/>
    <mergeCell ref="E6:H6"/>
    <mergeCell ref="K6:M6"/>
    <mergeCell ref="O6:U6"/>
    <mergeCell ref="E7:H7"/>
    <mergeCell ref="K7:M7"/>
    <mergeCell ref="O7:U7"/>
    <mergeCell ref="E8:H8"/>
    <mergeCell ref="K8:M8"/>
    <mergeCell ref="O8:U8"/>
    <mergeCell ref="E9:H9"/>
    <mergeCell ref="O9:U9"/>
    <mergeCell ref="P21:U21"/>
    <mergeCell ref="E11:H11"/>
    <mergeCell ref="O11:U11"/>
    <mergeCell ref="O12:U12"/>
    <mergeCell ref="P13:U13"/>
    <mergeCell ref="P14:U14"/>
    <mergeCell ref="P15:U15"/>
    <mergeCell ref="P16:U16"/>
    <mergeCell ref="P17:U17"/>
    <mergeCell ref="P18:U18"/>
    <mergeCell ref="P19:U19"/>
    <mergeCell ref="P20:U20"/>
    <mergeCell ref="P28:U28"/>
    <mergeCell ref="P29:U29"/>
    <mergeCell ref="P22:U22"/>
    <mergeCell ref="P23:U23"/>
    <mergeCell ref="P24:U24"/>
    <mergeCell ref="P25:U25"/>
    <mergeCell ref="P26:U26"/>
    <mergeCell ref="P27:U27"/>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41"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35842"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35843"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35844"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35845"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35846"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C5D8A4A0-5457-495C-AB81-24A1BAF7B322}">
            <xm:f>(AND(H14&lt;&gt;"",ISERROR(VLOOKUP(H14,system!$E:$E,1,FALSE))))</xm:f>
            <x14:dxf>
              <fill>
                <patternFill patternType="solid">
                  <bgColor rgb="FFFF0000"/>
                </patternFill>
              </fill>
            </x14:dxf>
          </x14:cfRule>
          <xm:sqref>H14:H21</xm:sqref>
        </x14:conditionalFormatting>
        <x14:conditionalFormatting xmlns:xm="http://schemas.microsoft.com/office/excel/2006/main">
          <x14:cfRule type="expression" priority="3" id="{F7112902-175D-4955-9981-7FDFAA05B037}">
            <xm:f>(AND(H14&lt;&gt;"",ISERROR(VLOOKUP(H14,system!$E:$E,1,FALSE))))</xm:f>
            <x14:dxf>
              <fill>
                <patternFill>
                  <bgColor rgb="FFFF0000"/>
                </patternFill>
              </fill>
            </x14:dxf>
          </x14:cfRule>
          <xm:sqref>I14:I21</xm:sqref>
        </x14:conditionalFormatting>
        <x14:conditionalFormatting xmlns:xm="http://schemas.microsoft.com/office/excel/2006/main">
          <x14:cfRule type="expression" priority="2" id="{96AB62EF-5FCB-420A-A655-11543B2E9D8C}">
            <xm:f>(AND(H22&lt;&gt;"",ISERROR(VLOOKUP(H22,system!$E:$E,1,FALSE))))</xm:f>
            <x14:dxf>
              <fill>
                <patternFill patternType="solid">
                  <bgColor rgb="FFFF0000"/>
                </patternFill>
              </fill>
            </x14:dxf>
          </x14:cfRule>
          <xm:sqref>H22:H29</xm:sqref>
        </x14:conditionalFormatting>
        <x14:conditionalFormatting xmlns:xm="http://schemas.microsoft.com/office/excel/2006/main">
          <x14:cfRule type="expression" priority="1" id="{06C02BBE-8B0D-4797-A84E-5AA5636773E8}">
            <xm:f>(AND(H22&lt;&gt;"",ISERROR(VLOOKUP(H22,system!$E:$E,1,FALSE))))</xm:f>
            <x14:dxf>
              <fill>
                <patternFill>
                  <bgColor rgb="FFFF0000"/>
                </patternFill>
              </fill>
            </x14:dxf>
          </x14:cfRule>
          <xm:sqref>I22:I29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A1:U38"/>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7" t="s">
        <v>27</v>
      </c>
      <c r="P1" s="248"/>
      <c r="Q1" s="248"/>
      <c r="R1" s="248"/>
      <c r="S1" s="248"/>
      <c r="T1" s="248"/>
      <c r="U1" s="249"/>
    </row>
    <row r="2" spans="1:21" ht="14.45" customHeight="1">
      <c r="A2" s="39"/>
      <c r="B2" s="100" t="s">
        <v>64</v>
      </c>
      <c r="C2" s="5"/>
      <c r="D2" s="5"/>
      <c r="E2" s="5"/>
      <c r="F2" s="5"/>
      <c r="G2" s="6"/>
      <c r="H2" s="7"/>
      <c r="I2" s="8"/>
      <c r="J2" s="250"/>
      <c r="K2" s="251"/>
      <c r="L2" s="250"/>
      <c r="M2" s="251"/>
      <c r="N2" s="52"/>
      <c r="O2" s="252" t="s">
        <v>601</v>
      </c>
      <c r="P2" s="253"/>
      <c r="Q2" s="253"/>
      <c r="R2" s="253"/>
      <c r="S2" s="253"/>
      <c r="T2" s="253"/>
      <c r="U2" s="254"/>
    </row>
    <row r="3" spans="1:21" ht="14.25" customHeight="1">
      <c r="A3" s="40"/>
      <c r="B3" s="35"/>
      <c r="C3" s="5"/>
      <c r="D3" s="5"/>
      <c r="E3" s="5"/>
      <c r="F3" s="5"/>
      <c r="G3" s="9"/>
      <c r="H3" s="10"/>
      <c r="I3" s="176" t="s">
        <v>1032</v>
      </c>
      <c r="J3" s="255" t="s">
        <v>1032</v>
      </c>
      <c r="K3" s="256"/>
      <c r="L3" s="255" t="s">
        <v>1032</v>
      </c>
      <c r="M3" s="256"/>
      <c r="N3" s="52"/>
      <c r="O3" s="257"/>
      <c r="P3" s="258"/>
      <c r="Q3" s="258"/>
      <c r="R3" s="258"/>
      <c r="S3" s="258"/>
      <c r="T3" s="258"/>
      <c r="U3" s="259"/>
    </row>
    <row r="4" spans="1:21" ht="14.45" customHeight="1">
      <c r="A4" s="41"/>
      <c r="B4" s="36" t="s">
        <v>3</v>
      </c>
      <c r="C4" s="5"/>
      <c r="D4" s="5"/>
      <c r="E4" s="5"/>
      <c r="F4" s="5"/>
      <c r="G4" s="6"/>
      <c r="H4" s="10"/>
      <c r="I4" s="177" t="s">
        <v>1035</v>
      </c>
      <c r="J4" s="240" t="s">
        <v>1034</v>
      </c>
      <c r="K4" s="241"/>
      <c r="L4" s="240" t="s">
        <v>1033</v>
      </c>
      <c r="M4" s="241"/>
      <c r="N4" s="52"/>
      <c r="O4" s="210"/>
      <c r="P4" s="211"/>
      <c r="Q4" s="211"/>
      <c r="R4" s="211"/>
      <c r="S4" s="211"/>
      <c r="T4" s="211"/>
      <c r="U4" s="212"/>
    </row>
    <row r="5" spans="1:21" ht="14.45" customHeight="1" thickBot="1">
      <c r="A5" s="42"/>
      <c r="B5" s="11"/>
      <c r="C5" s="11"/>
      <c r="D5" s="11"/>
      <c r="E5" s="11"/>
      <c r="F5" s="11"/>
      <c r="G5" s="12"/>
      <c r="H5" s="13"/>
      <c r="I5" s="14"/>
      <c r="J5" s="242"/>
      <c r="K5" s="243"/>
      <c r="L5" s="244"/>
      <c r="M5" s="245"/>
      <c r="N5" s="53"/>
      <c r="O5" s="246"/>
      <c r="P5" s="211"/>
      <c r="Q5" s="211"/>
      <c r="R5" s="211"/>
      <c r="S5" s="211"/>
      <c r="T5" s="211"/>
      <c r="U5" s="212"/>
    </row>
    <row r="6" spans="1:21" ht="14.45" customHeight="1">
      <c r="A6" s="43"/>
      <c r="B6" s="101" t="s">
        <v>4</v>
      </c>
      <c r="C6" s="20"/>
      <c r="D6" s="21"/>
      <c r="E6" s="222" t="s">
        <v>65</v>
      </c>
      <c r="F6" s="223"/>
      <c r="G6" s="223"/>
      <c r="H6" s="224"/>
      <c r="I6" s="60" t="s">
        <v>26</v>
      </c>
      <c r="J6" s="26"/>
      <c r="K6" s="225" t="s">
        <v>33</v>
      </c>
      <c r="L6" s="226"/>
      <c r="M6" s="227"/>
      <c r="N6" s="91" t="s">
        <v>5</v>
      </c>
      <c r="O6" s="210"/>
      <c r="P6" s="211"/>
      <c r="Q6" s="211"/>
      <c r="R6" s="211"/>
      <c r="S6" s="211"/>
      <c r="T6" s="211"/>
      <c r="U6" s="212"/>
    </row>
    <row r="7" spans="1:21" ht="15.75" customHeight="1">
      <c r="A7" s="44"/>
      <c r="B7" s="102" t="s">
        <v>6</v>
      </c>
      <c r="C7" s="22"/>
      <c r="D7" s="23"/>
      <c r="E7" s="228" t="s">
        <v>152</v>
      </c>
      <c r="F7" s="229"/>
      <c r="G7" s="229"/>
      <c r="H7" s="230"/>
      <c r="I7" s="61" t="s">
        <v>28</v>
      </c>
      <c r="J7" s="27"/>
      <c r="K7" s="231" t="s">
        <v>34</v>
      </c>
      <c r="L7" s="232"/>
      <c r="M7" s="233"/>
      <c r="N7" s="92">
        <f>COUNTIF(H14:H14,"LONG")+COUNTIF(H14:H14,"LONG RAW")</f>
        <v>0</v>
      </c>
      <c r="O7" s="210"/>
      <c r="P7" s="211"/>
      <c r="Q7" s="211"/>
      <c r="R7" s="211"/>
      <c r="S7" s="211"/>
      <c r="T7" s="211"/>
      <c r="U7" s="212"/>
    </row>
    <row r="8" spans="1:21" ht="14.45" customHeight="1">
      <c r="A8" s="45"/>
      <c r="B8" s="22" t="s">
        <v>7</v>
      </c>
      <c r="C8" s="22"/>
      <c r="D8" s="23"/>
      <c r="E8" s="228" t="s">
        <v>598</v>
      </c>
      <c r="F8" s="229"/>
      <c r="G8" s="229"/>
      <c r="H8" s="230"/>
      <c r="I8" s="62"/>
      <c r="J8" s="27"/>
      <c r="K8" s="234"/>
      <c r="L8" s="235"/>
      <c r="M8" s="236"/>
      <c r="N8" s="92"/>
      <c r="O8" s="210"/>
      <c r="P8" s="211"/>
      <c r="Q8" s="211"/>
      <c r="R8" s="211"/>
      <c r="S8" s="211"/>
      <c r="T8" s="211"/>
      <c r="U8" s="212"/>
    </row>
    <row r="9" spans="1:21" ht="14.45" customHeight="1">
      <c r="A9" s="45"/>
      <c r="B9" s="22" t="s">
        <v>8</v>
      </c>
      <c r="C9" s="22"/>
      <c r="D9" s="23"/>
      <c r="E9" s="237" t="s">
        <v>68</v>
      </c>
      <c r="F9" s="238"/>
      <c r="G9" s="238"/>
      <c r="H9" s="239"/>
      <c r="I9" s="61" t="s">
        <v>9</v>
      </c>
      <c r="J9" s="27"/>
      <c r="K9" s="86"/>
      <c r="L9" s="88">
        <f>SUM(N14:N39)</f>
        <v>94</v>
      </c>
      <c r="M9" s="82"/>
      <c r="N9" s="93">
        <f>SUMIF(M14:M14,"■",N14:N14)</f>
        <v>0</v>
      </c>
      <c r="O9" s="210"/>
      <c r="P9" s="211"/>
      <c r="Q9" s="211"/>
      <c r="R9" s="211"/>
      <c r="S9" s="211"/>
      <c r="T9" s="211"/>
      <c r="U9" s="212"/>
    </row>
    <row r="10" spans="1:21" ht="14.45" customHeight="1">
      <c r="A10" s="45"/>
      <c r="B10" s="22" t="s">
        <v>10</v>
      </c>
      <c r="C10" s="22"/>
      <c r="D10" s="23"/>
      <c r="E10" s="219" t="s">
        <v>68</v>
      </c>
      <c r="F10" s="220"/>
      <c r="G10" s="220"/>
      <c r="H10" s="221"/>
      <c r="I10" s="61" t="s">
        <v>11</v>
      </c>
      <c r="J10" s="27"/>
      <c r="K10" s="86"/>
      <c r="L10" s="89">
        <f>E11*L9/1000</f>
        <v>0</v>
      </c>
      <c r="M10" s="82"/>
      <c r="N10" s="55"/>
      <c r="O10" s="210"/>
      <c r="P10" s="211"/>
      <c r="Q10" s="211"/>
      <c r="R10" s="211"/>
      <c r="S10" s="211"/>
      <c r="T10" s="211"/>
      <c r="U10" s="212"/>
    </row>
    <row r="11" spans="1:21" ht="17.25" customHeight="1" thickBot="1">
      <c r="A11" s="46"/>
      <c r="B11" s="24" t="s">
        <v>29</v>
      </c>
      <c r="C11" s="24"/>
      <c r="D11" s="25"/>
      <c r="E11" s="207"/>
      <c r="F11" s="208"/>
      <c r="G11" s="208"/>
      <c r="H11" s="209"/>
      <c r="I11" s="103" t="s">
        <v>12</v>
      </c>
      <c r="J11" s="104"/>
      <c r="K11" s="87"/>
      <c r="L11" s="90"/>
      <c r="M11" s="83"/>
      <c r="N11" s="56"/>
      <c r="O11" s="210"/>
      <c r="P11" s="211"/>
      <c r="Q11" s="211"/>
      <c r="R11" s="211"/>
      <c r="S11" s="211"/>
      <c r="T11" s="211"/>
      <c r="U11" s="212"/>
    </row>
    <row r="12" spans="1:21" ht="15.75" customHeight="1" thickBot="1">
      <c r="A12" s="64"/>
      <c r="B12" s="65"/>
      <c r="C12" s="30"/>
      <c r="D12" s="30"/>
      <c r="E12" s="31"/>
      <c r="F12" s="32"/>
      <c r="G12" s="29"/>
      <c r="H12" s="28"/>
      <c r="I12" s="29"/>
      <c r="J12" s="30" t="s">
        <v>13</v>
      </c>
      <c r="K12" s="31"/>
      <c r="L12" s="66"/>
      <c r="M12" s="48"/>
      <c r="N12" s="57">
        <f>COUNTA(H14:H14)</f>
        <v>1</v>
      </c>
      <c r="O12" s="213"/>
      <c r="P12" s="214"/>
      <c r="Q12" s="214"/>
      <c r="R12" s="214"/>
      <c r="S12" s="214"/>
      <c r="T12" s="214"/>
      <c r="U12" s="21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16" t="s">
        <v>32</v>
      </c>
      <c r="Q13" s="217"/>
      <c r="R13" s="217"/>
      <c r="S13" s="217"/>
      <c r="T13" s="217"/>
      <c r="U13" s="218"/>
    </row>
    <row r="14" spans="1:21" ht="15.75" customHeight="1">
      <c r="A14" s="85" t="s">
        <v>188</v>
      </c>
      <c r="B14" s="37">
        <f t="shared" ref="B14:B30" si="0">ROW()-13</f>
        <v>1</v>
      </c>
      <c r="C14" s="145" t="s">
        <v>186</v>
      </c>
      <c r="D14" s="80"/>
      <c r="E14" s="81"/>
      <c r="F14" s="146" t="s">
        <v>1029</v>
      </c>
      <c r="G14" s="17"/>
      <c r="H14" s="18" t="s">
        <v>49</v>
      </c>
      <c r="I14" s="59"/>
      <c r="J14" s="19">
        <v>1</v>
      </c>
      <c r="K14" s="19"/>
      <c r="L14" s="50" t="s">
        <v>187</v>
      </c>
      <c r="M14" s="73" t="s">
        <v>21</v>
      </c>
      <c r="N14" s="54">
        <f t="shared" ref="N14:N37" si="1">IF(H14="NUMBER",IF(J14&gt;0,INT((J14+1)/2+0.9),0),IF(H14="DATE",7,IF(OR(H14="LONG",H14="LONG RAW"),100000,J14)))</f>
        <v>1</v>
      </c>
      <c r="O14" s="167"/>
      <c r="P14" s="203" t="s">
        <v>174</v>
      </c>
      <c r="Q14" s="204"/>
      <c r="R14" s="204"/>
      <c r="S14" s="204"/>
      <c r="T14" s="204"/>
      <c r="U14" s="205"/>
    </row>
    <row r="15" spans="1:21" ht="27.6" customHeight="1">
      <c r="A15" s="85" t="s">
        <v>188</v>
      </c>
      <c r="B15" s="37">
        <f t="shared" si="0"/>
        <v>2</v>
      </c>
      <c r="C15" s="145" t="s">
        <v>587</v>
      </c>
      <c r="D15" s="80"/>
      <c r="E15" s="81"/>
      <c r="F15" s="146" t="s">
        <v>588</v>
      </c>
      <c r="G15" s="17"/>
      <c r="H15" s="18" t="s">
        <v>49</v>
      </c>
      <c r="I15" s="59"/>
      <c r="J15" s="19">
        <v>1</v>
      </c>
      <c r="K15" s="19"/>
      <c r="L15" s="50" t="s">
        <v>187</v>
      </c>
      <c r="M15" s="73" t="s">
        <v>21</v>
      </c>
      <c r="N15" s="54">
        <f t="shared" si="1"/>
        <v>1</v>
      </c>
      <c r="O15" s="167"/>
      <c r="P15" s="206" t="s">
        <v>589</v>
      </c>
      <c r="Q15" s="204"/>
      <c r="R15" s="204"/>
      <c r="S15" s="204"/>
      <c r="T15" s="204"/>
      <c r="U15" s="205"/>
    </row>
    <row r="16" spans="1:21" ht="15.75" customHeight="1">
      <c r="A16" s="85" t="s">
        <v>188</v>
      </c>
      <c r="B16" s="37">
        <f t="shared" si="0"/>
        <v>3</v>
      </c>
      <c r="C16" s="145" t="s">
        <v>195</v>
      </c>
      <c r="D16" s="80"/>
      <c r="E16" s="81"/>
      <c r="F16" s="146" t="s">
        <v>1058</v>
      </c>
      <c r="G16" s="17"/>
      <c r="H16" s="18" t="s">
        <v>49</v>
      </c>
      <c r="I16" s="59"/>
      <c r="J16" s="19">
        <v>1</v>
      </c>
      <c r="K16" s="19"/>
      <c r="L16" s="50" t="s">
        <v>187</v>
      </c>
      <c r="M16" s="73" t="s">
        <v>21</v>
      </c>
      <c r="N16" s="54">
        <f t="shared" si="1"/>
        <v>1</v>
      </c>
      <c r="O16" s="167"/>
      <c r="P16" s="203" t="s">
        <v>174</v>
      </c>
      <c r="Q16" s="204"/>
      <c r="R16" s="204"/>
      <c r="S16" s="204"/>
      <c r="T16" s="204"/>
      <c r="U16" s="205"/>
    </row>
    <row r="17" spans="1:21" ht="15.75" customHeight="1">
      <c r="A17" s="85" t="s">
        <v>188</v>
      </c>
      <c r="B17" s="37">
        <f t="shared" si="0"/>
        <v>4</v>
      </c>
      <c r="C17" s="145" t="s">
        <v>196</v>
      </c>
      <c r="D17" s="80"/>
      <c r="E17" s="81"/>
      <c r="F17" s="146" t="s">
        <v>197</v>
      </c>
      <c r="G17" s="17"/>
      <c r="H17" s="18" t="s">
        <v>51</v>
      </c>
      <c r="I17" s="59"/>
      <c r="J17" s="19">
        <v>25</v>
      </c>
      <c r="K17" s="19"/>
      <c r="L17" s="50" t="s">
        <v>187</v>
      </c>
      <c r="M17" s="73" t="s">
        <v>21</v>
      </c>
      <c r="N17" s="54">
        <f t="shared" si="1"/>
        <v>25</v>
      </c>
      <c r="O17" s="167"/>
      <c r="P17" s="203"/>
      <c r="Q17" s="204"/>
      <c r="R17" s="204"/>
      <c r="S17" s="204"/>
      <c r="T17" s="204"/>
      <c r="U17" s="205"/>
    </row>
    <row r="18" spans="1:21" ht="15.75" customHeight="1">
      <c r="A18" s="85" t="s">
        <v>188</v>
      </c>
      <c r="B18" s="37">
        <f t="shared" si="0"/>
        <v>5</v>
      </c>
      <c r="C18" s="145" t="s">
        <v>198</v>
      </c>
      <c r="D18" s="80"/>
      <c r="E18" s="81"/>
      <c r="F18" s="146" t="s">
        <v>199</v>
      </c>
      <c r="G18" s="17"/>
      <c r="H18" s="18" t="s">
        <v>51</v>
      </c>
      <c r="I18" s="59"/>
      <c r="J18" s="19">
        <v>4</v>
      </c>
      <c r="K18" s="19"/>
      <c r="L18" s="50" t="s">
        <v>187</v>
      </c>
      <c r="M18" s="73" t="s">
        <v>21</v>
      </c>
      <c r="N18" s="54">
        <f t="shared" si="1"/>
        <v>4</v>
      </c>
      <c r="O18" s="167"/>
      <c r="P18" s="203" t="s">
        <v>200</v>
      </c>
      <c r="Q18" s="204"/>
      <c r="R18" s="204"/>
      <c r="S18" s="204"/>
      <c r="T18" s="204"/>
      <c r="U18" s="205"/>
    </row>
    <row r="19" spans="1:21" ht="62.85" customHeight="1">
      <c r="A19" s="85" t="s">
        <v>188</v>
      </c>
      <c r="B19" s="37">
        <f t="shared" si="0"/>
        <v>6</v>
      </c>
      <c r="C19" s="145" t="s">
        <v>201</v>
      </c>
      <c r="D19" s="80"/>
      <c r="E19" s="81"/>
      <c r="F19" s="146" t="s">
        <v>202</v>
      </c>
      <c r="G19" s="17"/>
      <c r="H19" s="18" t="s">
        <v>49</v>
      </c>
      <c r="I19" s="59"/>
      <c r="J19" s="19">
        <v>1</v>
      </c>
      <c r="K19" s="19"/>
      <c r="L19" s="50" t="s">
        <v>187</v>
      </c>
      <c r="M19" s="73" t="s">
        <v>21</v>
      </c>
      <c r="N19" s="54">
        <f t="shared" si="1"/>
        <v>1</v>
      </c>
      <c r="O19" s="167"/>
      <c r="P19" s="206" t="s">
        <v>267</v>
      </c>
      <c r="Q19" s="204"/>
      <c r="R19" s="204"/>
      <c r="S19" s="204"/>
      <c r="T19" s="204"/>
      <c r="U19" s="205"/>
    </row>
    <row r="20" spans="1:21" ht="27.6" customHeight="1">
      <c r="A20" s="85" t="s">
        <v>188</v>
      </c>
      <c r="B20" s="37">
        <f t="shared" si="0"/>
        <v>7</v>
      </c>
      <c r="C20" s="145" t="s">
        <v>204</v>
      </c>
      <c r="D20" s="80"/>
      <c r="E20" s="81"/>
      <c r="F20" s="146" t="s">
        <v>205</v>
      </c>
      <c r="G20" s="17"/>
      <c r="H20" s="18" t="s">
        <v>49</v>
      </c>
      <c r="I20" s="59"/>
      <c r="J20" s="19">
        <v>1</v>
      </c>
      <c r="K20" s="19"/>
      <c r="L20" s="50" t="s">
        <v>187</v>
      </c>
      <c r="M20" s="73" t="s">
        <v>21</v>
      </c>
      <c r="N20" s="54">
        <f t="shared" si="1"/>
        <v>1</v>
      </c>
      <c r="O20" s="167"/>
      <c r="P20" s="206" t="s">
        <v>206</v>
      </c>
      <c r="Q20" s="204"/>
      <c r="R20" s="204"/>
      <c r="S20" s="204"/>
      <c r="T20" s="204"/>
      <c r="U20" s="205"/>
    </row>
    <row r="21" spans="1:21" ht="15.75" customHeight="1">
      <c r="A21" s="85"/>
      <c r="B21" s="37">
        <f t="shared" si="0"/>
        <v>8</v>
      </c>
      <c r="C21" s="145" t="s">
        <v>482</v>
      </c>
      <c r="D21" s="80"/>
      <c r="E21" s="81"/>
      <c r="F21" s="146" t="s">
        <v>483</v>
      </c>
      <c r="G21" s="17"/>
      <c r="H21" s="18" t="s">
        <v>49</v>
      </c>
      <c r="I21" s="59"/>
      <c r="J21" s="19">
        <v>4</v>
      </c>
      <c r="K21" s="19"/>
      <c r="L21" s="50" t="s">
        <v>187</v>
      </c>
      <c r="M21" s="73" t="s">
        <v>21</v>
      </c>
      <c r="N21" s="54">
        <f t="shared" si="1"/>
        <v>4</v>
      </c>
      <c r="O21" s="167"/>
      <c r="P21" s="203" t="s">
        <v>161</v>
      </c>
      <c r="Q21" s="204"/>
      <c r="R21" s="204"/>
      <c r="S21" s="204"/>
      <c r="T21" s="204"/>
      <c r="U21" s="205"/>
    </row>
    <row r="22" spans="1:21" ht="15.75" customHeight="1">
      <c r="A22" s="85"/>
      <c r="B22" s="37">
        <f t="shared" si="0"/>
        <v>9</v>
      </c>
      <c r="C22" s="145" t="s">
        <v>354</v>
      </c>
      <c r="D22" s="80"/>
      <c r="E22" s="81"/>
      <c r="F22" s="146" t="s">
        <v>355</v>
      </c>
      <c r="G22" s="17"/>
      <c r="H22" s="18" t="s">
        <v>51</v>
      </c>
      <c r="I22" s="59"/>
      <c r="J22" s="19">
        <v>4</v>
      </c>
      <c r="K22" s="19"/>
      <c r="L22" s="50" t="s">
        <v>187</v>
      </c>
      <c r="M22" s="73" t="s">
        <v>21</v>
      </c>
      <c r="N22" s="54">
        <f t="shared" si="1"/>
        <v>4</v>
      </c>
      <c r="O22" s="167"/>
      <c r="P22" s="203" t="s">
        <v>200</v>
      </c>
      <c r="Q22" s="204"/>
      <c r="R22" s="204"/>
      <c r="S22" s="204"/>
      <c r="T22" s="204"/>
      <c r="U22" s="205"/>
    </row>
    <row r="23" spans="1:21" ht="15.75" customHeight="1">
      <c r="A23" s="85"/>
      <c r="B23" s="37">
        <f t="shared" si="0"/>
        <v>10</v>
      </c>
      <c r="C23" s="145" t="s">
        <v>602</v>
      </c>
      <c r="D23" s="80"/>
      <c r="E23" s="81"/>
      <c r="F23" s="146" t="s">
        <v>603</v>
      </c>
      <c r="G23" s="17"/>
      <c r="H23" s="18" t="s">
        <v>209</v>
      </c>
      <c r="I23" s="59"/>
      <c r="J23" s="19"/>
      <c r="K23" s="19"/>
      <c r="L23" s="50"/>
      <c r="M23" s="73" t="s">
        <v>21</v>
      </c>
      <c r="N23" s="54">
        <f t="shared" si="1"/>
        <v>0</v>
      </c>
      <c r="O23" s="167"/>
      <c r="P23" s="203"/>
      <c r="Q23" s="204"/>
      <c r="R23" s="204"/>
      <c r="S23" s="204"/>
      <c r="T23" s="204"/>
      <c r="U23" s="205"/>
    </row>
    <row r="24" spans="1:21" ht="15.75" customHeight="1">
      <c r="A24" s="85"/>
      <c r="B24" s="37">
        <f t="shared" si="0"/>
        <v>11</v>
      </c>
      <c r="C24" s="145" t="s">
        <v>604</v>
      </c>
      <c r="D24" s="80"/>
      <c r="E24" s="81"/>
      <c r="F24" s="146" t="s">
        <v>605</v>
      </c>
      <c r="G24" s="17"/>
      <c r="H24" s="18" t="s">
        <v>209</v>
      </c>
      <c r="I24" s="59"/>
      <c r="J24" s="19"/>
      <c r="K24" s="19"/>
      <c r="L24" s="50"/>
      <c r="M24" s="73" t="s">
        <v>21</v>
      </c>
      <c r="N24" s="54">
        <f t="shared" si="1"/>
        <v>0</v>
      </c>
      <c r="O24" s="167"/>
      <c r="P24" s="203"/>
      <c r="Q24" s="204"/>
      <c r="R24" s="204"/>
      <c r="S24" s="204"/>
      <c r="T24" s="204"/>
      <c r="U24" s="205"/>
    </row>
    <row r="25" spans="1:21" ht="15.75" customHeight="1">
      <c r="A25" s="85"/>
      <c r="B25" s="37">
        <f t="shared" si="0"/>
        <v>12</v>
      </c>
      <c r="C25" s="145" t="s">
        <v>519</v>
      </c>
      <c r="D25" s="80"/>
      <c r="E25" s="81"/>
      <c r="F25" s="146" t="s">
        <v>520</v>
      </c>
      <c r="G25" s="17"/>
      <c r="H25" s="18" t="s">
        <v>209</v>
      </c>
      <c r="I25" s="59"/>
      <c r="J25" s="19"/>
      <c r="K25" s="19"/>
      <c r="L25" s="50"/>
      <c r="M25" s="73" t="s">
        <v>21</v>
      </c>
      <c r="N25" s="54">
        <f t="shared" si="1"/>
        <v>0</v>
      </c>
      <c r="O25" s="167"/>
      <c r="P25" s="203"/>
      <c r="Q25" s="204"/>
      <c r="R25" s="204"/>
      <c r="S25" s="204"/>
      <c r="T25" s="204"/>
      <c r="U25" s="205"/>
    </row>
    <row r="26" spans="1:21" ht="15.75" customHeight="1">
      <c r="A26" s="85"/>
      <c r="B26" s="37">
        <f t="shared" si="0"/>
        <v>13</v>
      </c>
      <c r="C26" s="145" t="s">
        <v>606</v>
      </c>
      <c r="D26" s="80"/>
      <c r="E26" s="81"/>
      <c r="F26" s="146" t="s">
        <v>607</v>
      </c>
      <c r="G26" s="17"/>
      <c r="H26" s="18" t="s">
        <v>209</v>
      </c>
      <c r="I26" s="59"/>
      <c r="J26" s="19"/>
      <c r="K26" s="19"/>
      <c r="L26" s="50"/>
      <c r="M26" s="73" t="s">
        <v>21</v>
      </c>
      <c r="N26" s="54">
        <f t="shared" si="1"/>
        <v>0</v>
      </c>
      <c r="O26" s="167"/>
      <c r="P26" s="203"/>
      <c r="Q26" s="204"/>
      <c r="R26" s="204"/>
      <c r="S26" s="204"/>
      <c r="T26" s="204"/>
      <c r="U26" s="205"/>
    </row>
    <row r="27" spans="1:21" ht="15.75" customHeight="1">
      <c r="A27" s="85"/>
      <c r="B27" s="37">
        <f t="shared" si="0"/>
        <v>14</v>
      </c>
      <c r="C27" s="145" t="s">
        <v>608</v>
      </c>
      <c r="D27" s="80"/>
      <c r="E27" s="81"/>
      <c r="F27" s="146" t="s">
        <v>609</v>
      </c>
      <c r="G27" s="17"/>
      <c r="H27" s="18" t="s">
        <v>209</v>
      </c>
      <c r="I27" s="59"/>
      <c r="J27" s="19"/>
      <c r="K27" s="19"/>
      <c r="L27" s="50"/>
      <c r="M27" s="73" t="s">
        <v>21</v>
      </c>
      <c r="N27" s="54">
        <f t="shared" si="1"/>
        <v>0</v>
      </c>
      <c r="O27" s="167"/>
      <c r="P27" s="203"/>
      <c r="Q27" s="204"/>
      <c r="R27" s="204"/>
      <c r="S27" s="204"/>
      <c r="T27" s="204"/>
      <c r="U27" s="205"/>
    </row>
    <row r="28" spans="1:21" ht="15.75" customHeight="1">
      <c r="A28" s="85"/>
      <c r="B28" s="37">
        <f t="shared" si="0"/>
        <v>15</v>
      </c>
      <c r="C28" s="145" t="s">
        <v>610</v>
      </c>
      <c r="D28" s="80"/>
      <c r="E28" s="81"/>
      <c r="F28" s="146" t="s">
        <v>611</v>
      </c>
      <c r="G28" s="17"/>
      <c r="H28" s="18" t="s">
        <v>209</v>
      </c>
      <c r="I28" s="59"/>
      <c r="J28" s="19"/>
      <c r="K28" s="19"/>
      <c r="L28" s="50"/>
      <c r="M28" s="73" t="s">
        <v>21</v>
      </c>
      <c r="N28" s="54">
        <f t="shared" si="1"/>
        <v>0</v>
      </c>
      <c r="O28" s="167"/>
      <c r="P28" s="203"/>
      <c r="Q28" s="204"/>
      <c r="R28" s="204"/>
      <c r="S28" s="204"/>
      <c r="T28" s="204"/>
      <c r="U28" s="205"/>
    </row>
    <row r="29" spans="1:21" ht="15.75" customHeight="1">
      <c r="A29" s="85"/>
      <c r="B29" s="37">
        <f t="shared" si="0"/>
        <v>16</v>
      </c>
      <c r="C29" s="145" t="s">
        <v>612</v>
      </c>
      <c r="D29" s="80"/>
      <c r="E29" s="81"/>
      <c r="F29" s="146" t="s">
        <v>613</v>
      </c>
      <c r="G29" s="17"/>
      <c r="H29" s="18" t="s">
        <v>209</v>
      </c>
      <c r="I29" s="59"/>
      <c r="J29" s="19"/>
      <c r="K29" s="19"/>
      <c r="L29" s="50"/>
      <c r="M29" s="73" t="s">
        <v>21</v>
      </c>
      <c r="N29" s="54">
        <f t="shared" si="1"/>
        <v>0</v>
      </c>
      <c r="O29" s="167"/>
      <c r="P29" s="203"/>
      <c r="Q29" s="204"/>
      <c r="R29" s="204"/>
      <c r="S29" s="204"/>
      <c r="T29" s="204"/>
      <c r="U29" s="205"/>
    </row>
    <row r="30" spans="1:21" ht="15.75" customHeight="1">
      <c r="A30" s="85"/>
      <c r="B30" s="37">
        <f t="shared" si="0"/>
        <v>17</v>
      </c>
      <c r="C30" s="145" t="s">
        <v>614</v>
      </c>
      <c r="D30" s="80"/>
      <c r="E30" s="81"/>
      <c r="F30" s="146" t="s">
        <v>615</v>
      </c>
      <c r="G30" s="17"/>
      <c r="H30" s="18" t="s">
        <v>209</v>
      </c>
      <c r="I30" s="59"/>
      <c r="J30" s="19"/>
      <c r="K30" s="19"/>
      <c r="L30" s="50"/>
      <c r="M30" s="73" t="s">
        <v>21</v>
      </c>
      <c r="N30" s="54">
        <f t="shared" si="1"/>
        <v>0</v>
      </c>
      <c r="O30" s="167"/>
      <c r="P30" s="203"/>
      <c r="Q30" s="204"/>
      <c r="R30" s="204"/>
      <c r="S30" s="204"/>
      <c r="T30" s="204"/>
      <c r="U30" s="205"/>
    </row>
    <row r="31" spans="1:21" ht="15.75">
      <c r="A31" s="85"/>
      <c r="B31" s="37">
        <f t="shared" ref="B31:B37" si="2">ROW()-13</f>
        <v>18</v>
      </c>
      <c r="C31" s="107" t="s">
        <v>36</v>
      </c>
      <c r="D31" s="107"/>
      <c r="E31" s="108"/>
      <c r="F31" s="109" t="s">
        <v>78</v>
      </c>
      <c r="G31" s="110"/>
      <c r="H31" s="18" t="s">
        <v>51</v>
      </c>
      <c r="I31" s="59"/>
      <c r="J31" s="113">
        <v>12</v>
      </c>
      <c r="K31" s="113"/>
      <c r="L31" s="114"/>
      <c r="M31" s="115" t="s">
        <v>35</v>
      </c>
      <c r="N31" s="116">
        <f t="shared" si="1"/>
        <v>12</v>
      </c>
      <c r="O31" s="168"/>
      <c r="P31" s="200"/>
      <c r="Q31" s="201"/>
      <c r="R31" s="201"/>
      <c r="S31" s="201"/>
      <c r="T31" s="201"/>
      <c r="U31" s="202"/>
    </row>
    <row r="32" spans="1:21" ht="15.75">
      <c r="A32" s="85"/>
      <c r="B32" s="37">
        <f t="shared" si="2"/>
        <v>19</v>
      </c>
      <c r="C32" s="107" t="s">
        <v>37</v>
      </c>
      <c r="D32" s="107"/>
      <c r="E32" s="108"/>
      <c r="F32" s="109" t="s">
        <v>43</v>
      </c>
      <c r="G32" s="110"/>
      <c r="H32" s="18" t="s">
        <v>51</v>
      </c>
      <c r="I32" s="59"/>
      <c r="J32" s="113">
        <v>10</v>
      </c>
      <c r="K32" s="113"/>
      <c r="L32" s="114"/>
      <c r="M32" s="115" t="s">
        <v>21</v>
      </c>
      <c r="N32" s="116">
        <f t="shared" si="1"/>
        <v>10</v>
      </c>
      <c r="O32" s="168"/>
      <c r="P32" s="200"/>
      <c r="Q32" s="201"/>
      <c r="R32" s="201"/>
      <c r="S32" s="201"/>
      <c r="T32" s="201"/>
      <c r="U32" s="202"/>
    </row>
    <row r="33" spans="1:21" ht="15.75">
      <c r="A33" s="85"/>
      <c r="B33" s="37">
        <f t="shared" si="2"/>
        <v>20</v>
      </c>
      <c r="C33" s="107" t="s">
        <v>38</v>
      </c>
      <c r="D33" s="107"/>
      <c r="E33" s="108"/>
      <c r="F33" s="109" t="s">
        <v>80</v>
      </c>
      <c r="G33" s="110"/>
      <c r="H33" s="18" t="s">
        <v>86</v>
      </c>
      <c r="I33" s="59"/>
      <c r="J33" s="113"/>
      <c r="K33" s="113"/>
      <c r="L33" s="114"/>
      <c r="M33" s="115" t="s">
        <v>21</v>
      </c>
      <c r="N33" s="116">
        <f t="shared" si="1"/>
        <v>0</v>
      </c>
      <c r="O33" s="168"/>
      <c r="P33" s="200"/>
      <c r="Q33" s="201"/>
      <c r="R33" s="201"/>
      <c r="S33" s="201"/>
      <c r="T33" s="201"/>
      <c r="U33" s="202"/>
    </row>
    <row r="34" spans="1:21" ht="15.75">
      <c r="A34" s="85"/>
      <c r="B34" s="37">
        <f t="shared" si="2"/>
        <v>21</v>
      </c>
      <c r="C34" s="107" t="s">
        <v>39</v>
      </c>
      <c r="D34" s="107"/>
      <c r="E34" s="108"/>
      <c r="F34" s="109" t="s">
        <v>79</v>
      </c>
      <c r="G34" s="110"/>
      <c r="H34" s="18" t="s">
        <v>51</v>
      </c>
      <c r="I34" s="59"/>
      <c r="J34" s="113">
        <v>12</v>
      </c>
      <c r="K34" s="113"/>
      <c r="L34" s="114"/>
      <c r="M34" s="115" t="s">
        <v>35</v>
      </c>
      <c r="N34" s="116">
        <f t="shared" si="1"/>
        <v>12</v>
      </c>
      <c r="O34" s="168"/>
      <c r="P34" s="200"/>
      <c r="Q34" s="201"/>
      <c r="R34" s="201"/>
      <c r="S34" s="201"/>
      <c r="T34" s="201"/>
      <c r="U34" s="202"/>
    </row>
    <row r="35" spans="1:21" ht="15.75">
      <c r="A35" s="85"/>
      <c r="B35" s="37">
        <f t="shared" si="2"/>
        <v>22</v>
      </c>
      <c r="C35" s="107" t="s">
        <v>40</v>
      </c>
      <c r="D35" s="107"/>
      <c r="E35" s="108"/>
      <c r="F35" s="109" t="s">
        <v>44</v>
      </c>
      <c r="G35" s="110"/>
      <c r="H35" s="18" t="s">
        <v>51</v>
      </c>
      <c r="I35" s="59"/>
      <c r="J35" s="113">
        <v>10</v>
      </c>
      <c r="K35" s="113"/>
      <c r="L35" s="114"/>
      <c r="M35" s="115" t="s">
        <v>21</v>
      </c>
      <c r="N35" s="116">
        <f t="shared" si="1"/>
        <v>10</v>
      </c>
      <c r="O35" s="168"/>
      <c r="P35" s="200"/>
      <c r="Q35" s="201"/>
      <c r="R35" s="201"/>
      <c r="S35" s="201"/>
      <c r="T35" s="201"/>
      <c r="U35" s="202"/>
    </row>
    <row r="36" spans="1:21" ht="15.75">
      <c r="A36" s="85"/>
      <c r="B36" s="37">
        <f t="shared" si="2"/>
        <v>23</v>
      </c>
      <c r="C36" s="107" t="s">
        <v>41</v>
      </c>
      <c r="D36" s="107"/>
      <c r="E36" s="108"/>
      <c r="F36" s="109" t="s">
        <v>81</v>
      </c>
      <c r="G36" s="110"/>
      <c r="H36" s="18" t="s">
        <v>86</v>
      </c>
      <c r="I36" s="59"/>
      <c r="J36" s="113"/>
      <c r="K36" s="113"/>
      <c r="L36" s="114"/>
      <c r="M36" s="115" t="s">
        <v>21</v>
      </c>
      <c r="N36" s="116">
        <f t="shared" si="1"/>
        <v>0</v>
      </c>
      <c r="O36" s="168"/>
      <c r="P36" s="200"/>
      <c r="Q36" s="201"/>
      <c r="R36" s="201"/>
      <c r="S36" s="201"/>
      <c r="T36" s="201"/>
      <c r="U36" s="202"/>
    </row>
    <row r="37" spans="1:21" ht="15.75">
      <c r="A37" s="85"/>
      <c r="B37" s="37">
        <f t="shared" si="2"/>
        <v>24</v>
      </c>
      <c r="C37" s="80" t="s">
        <v>46</v>
      </c>
      <c r="D37" s="80"/>
      <c r="E37" s="81"/>
      <c r="F37" s="84" t="s">
        <v>71</v>
      </c>
      <c r="G37" s="17"/>
      <c r="H37" s="18" t="s">
        <v>62</v>
      </c>
      <c r="I37" s="59"/>
      <c r="J37" s="19">
        <v>8</v>
      </c>
      <c r="K37" s="19"/>
      <c r="L37" s="50" t="s">
        <v>47</v>
      </c>
      <c r="M37" s="73" t="s">
        <v>35</v>
      </c>
      <c r="N37" s="54">
        <f t="shared" si="1"/>
        <v>8</v>
      </c>
      <c r="O37" s="167">
        <v>0</v>
      </c>
      <c r="P37" s="203" t="s">
        <v>48</v>
      </c>
      <c r="Q37" s="204"/>
      <c r="R37" s="204"/>
      <c r="S37" s="204"/>
      <c r="T37" s="204"/>
      <c r="U37" s="205"/>
    </row>
    <row r="38" spans="1:21" ht="16.5" thickBot="1">
      <c r="A38" s="118"/>
      <c r="B38" s="119"/>
      <c r="C38" s="120"/>
      <c r="D38" s="120"/>
      <c r="E38" s="121"/>
      <c r="F38" s="129"/>
      <c r="G38" s="122"/>
      <c r="H38" s="147"/>
      <c r="I38" s="148"/>
      <c r="J38" s="125"/>
      <c r="K38" s="125"/>
      <c r="L38" s="126"/>
      <c r="M38" s="126"/>
      <c r="N38" s="127"/>
      <c r="O38" s="169"/>
      <c r="P38" s="197"/>
      <c r="Q38" s="198"/>
      <c r="R38" s="198"/>
      <c r="S38" s="198"/>
      <c r="T38" s="198"/>
      <c r="U38" s="199"/>
    </row>
  </sheetData>
  <mergeCells count="55">
    <mergeCell ref="O1:U1"/>
    <mergeCell ref="J2:K2"/>
    <mergeCell ref="L2:M2"/>
    <mergeCell ref="O2:U2"/>
    <mergeCell ref="J3:K3"/>
    <mergeCell ref="L3:M3"/>
    <mergeCell ref="O3:U3"/>
    <mergeCell ref="J4:K4"/>
    <mergeCell ref="L4:M4"/>
    <mergeCell ref="O4:U4"/>
    <mergeCell ref="J5:K5"/>
    <mergeCell ref="L5:M5"/>
    <mergeCell ref="O5:U5"/>
    <mergeCell ref="E10:H10"/>
    <mergeCell ref="O10:U10"/>
    <mergeCell ref="E6:H6"/>
    <mergeCell ref="K6:M6"/>
    <mergeCell ref="O6:U6"/>
    <mergeCell ref="E7:H7"/>
    <mergeCell ref="K7:M7"/>
    <mergeCell ref="O7:U7"/>
    <mergeCell ref="E8:H8"/>
    <mergeCell ref="K8:M8"/>
    <mergeCell ref="O8:U8"/>
    <mergeCell ref="E9:H9"/>
    <mergeCell ref="O9:U9"/>
    <mergeCell ref="P21:U21"/>
    <mergeCell ref="E11:H11"/>
    <mergeCell ref="O11:U11"/>
    <mergeCell ref="O12:U12"/>
    <mergeCell ref="P13:U13"/>
    <mergeCell ref="P14:U14"/>
    <mergeCell ref="P15:U15"/>
    <mergeCell ref="P16:U16"/>
    <mergeCell ref="P17:U17"/>
    <mergeCell ref="P18:U18"/>
    <mergeCell ref="P19:U19"/>
    <mergeCell ref="P20:U20"/>
    <mergeCell ref="P33:U33"/>
    <mergeCell ref="P22:U22"/>
    <mergeCell ref="P23:U23"/>
    <mergeCell ref="P24:U24"/>
    <mergeCell ref="P25:U25"/>
    <mergeCell ref="P26:U26"/>
    <mergeCell ref="P27:U27"/>
    <mergeCell ref="P28:U28"/>
    <mergeCell ref="P29:U29"/>
    <mergeCell ref="P30:U30"/>
    <mergeCell ref="P31:U31"/>
    <mergeCell ref="P32:U32"/>
    <mergeCell ref="P34:U34"/>
    <mergeCell ref="P35:U35"/>
    <mergeCell ref="P36:U36"/>
    <mergeCell ref="P37:U37"/>
    <mergeCell ref="P38:U38"/>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6865"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36866"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36867"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36868"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36869"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36870"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54C490EE-0629-451A-BE94-6654F58646E3}">
            <xm:f>(AND(H14&lt;&gt;"",ISERROR(VLOOKUP(H14,system!$E:$E,1,FALSE))))</xm:f>
            <x14:dxf>
              <fill>
                <patternFill patternType="solid">
                  <bgColor rgb="FFFF0000"/>
                </patternFill>
              </fill>
            </x14:dxf>
          </x14:cfRule>
          <xm:sqref>H14:H30</xm:sqref>
        </x14:conditionalFormatting>
        <x14:conditionalFormatting xmlns:xm="http://schemas.microsoft.com/office/excel/2006/main">
          <x14:cfRule type="expression" priority="3" id="{C5FDEB9B-C225-4A23-98CE-4008589D5EEC}">
            <xm:f>(AND(H14&lt;&gt;"",ISERROR(VLOOKUP(H14,system!$E:$E,1,FALSE))))</xm:f>
            <x14:dxf>
              <fill>
                <patternFill>
                  <bgColor rgb="FFFF0000"/>
                </patternFill>
              </fill>
            </x14:dxf>
          </x14:cfRule>
          <xm:sqref>I14:I30</xm:sqref>
        </x14:conditionalFormatting>
        <x14:conditionalFormatting xmlns:xm="http://schemas.microsoft.com/office/excel/2006/main">
          <x14:cfRule type="expression" priority="2" id="{B14B9F08-1559-48D6-8235-3A652C43A27C}">
            <xm:f>(AND(H31&lt;&gt;"",ISERROR(VLOOKUP(H31,system!$E:$E,1,FALSE))))</xm:f>
            <x14:dxf>
              <fill>
                <patternFill patternType="solid">
                  <bgColor rgb="FFFF0000"/>
                </patternFill>
              </fill>
            </x14:dxf>
          </x14:cfRule>
          <xm:sqref>H31:H38</xm:sqref>
        </x14:conditionalFormatting>
        <x14:conditionalFormatting xmlns:xm="http://schemas.microsoft.com/office/excel/2006/main">
          <x14:cfRule type="expression" priority="1" id="{4F1710BF-9F77-4DB1-91C9-8D23B4851785}">
            <xm:f>(AND(H31&lt;&gt;"",ISERROR(VLOOKUP(H31,system!$E:$E,1,FALSE))))</xm:f>
            <x14:dxf>
              <fill>
                <patternFill>
                  <bgColor rgb="FFFF0000"/>
                </patternFill>
              </fill>
            </x14:dxf>
          </x14:cfRule>
          <xm:sqref>I31:I38</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A1:U31"/>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7" t="s">
        <v>27</v>
      </c>
      <c r="P1" s="248"/>
      <c r="Q1" s="248"/>
      <c r="R1" s="248"/>
      <c r="S1" s="248"/>
      <c r="T1" s="248"/>
      <c r="U1" s="249"/>
    </row>
    <row r="2" spans="1:21" ht="14.45" customHeight="1">
      <c r="A2" s="39"/>
      <c r="B2" s="100" t="s">
        <v>64</v>
      </c>
      <c r="C2" s="5"/>
      <c r="D2" s="5"/>
      <c r="E2" s="5"/>
      <c r="F2" s="5"/>
      <c r="G2" s="6"/>
      <c r="H2" s="7"/>
      <c r="I2" s="8"/>
      <c r="J2" s="250"/>
      <c r="K2" s="251"/>
      <c r="L2" s="250"/>
      <c r="M2" s="251"/>
      <c r="N2" s="52"/>
      <c r="O2" s="252" t="s">
        <v>619</v>
      </c>
      <c r="P2" s="253"/>
      <c r="Q2" s="253"/>
      <c r="R2" s="253"/>
      <c r="S2" s="253"/>
      <c r="T2" s="253"/>
      <c r="U2" s="254"/>
    </row>
    <row r="3" spans="1:21" ht="14.25" customHeight="1">
      <c r="A3" s="40"/>
      <c r="B3" s="35"/>
      <c r="C3" s="5"/>
      <c r="D3" s="5"/>
      <c r="E3" s="5"/>
      <c r="F3" s="5"/>
      <c r="G3" s="9"/>
      <c r="H3" s="10"/>
      <c r="I3" s="176" t="s">
        <v>1032</v>
      </c>
      <c r="J3" s="255" t="s">
        <v>1032</v>
      </c>
      <c r="K3" s="256"/>
      <c r="L3" s="255" t="s">
        <v>1032</v>
      </c>
      <c r="M3" s="256"/>
      <c r="N3" s="52"/>
      <c r="O3" s="257"/>
      <c r="P3" s="258"/>
      <c r="Q3" s="258"/>
      <c r="R3" s="258"/>
      <c r="S3" s="258"/>
      <c r="T3" s="258"/>
      <c r="U3" s="259"/>
    </row>
    <row r="4" spans="1:21" ht="14.45" customHeight="1">
      <c r="A4" s="41"/>
      <c r="B4" s="36" t="s">
        <v>3</v>
      </c>
      <c r="C4" s="5"/>
      <c r="D4" s="5"/>
      <c r="E4" s="5"/>
      <c r="F4" s="5"/>
      <c r="G4" s="6"/>
      <c r="H4" s="10"/>
      <c r="I4" s="177" t="s">
        <v>1035</v>
      </c>
      <c r="J4" s="240" t="s">
        <v>1034</v>
      </c>
      <c r="K4" s="241"/>
      <c r="L4" s="240" t="s">
        <v>1033</v>
      </c>
      <c r="M4" s="241"/>
      <c r="N4" s="52"/>
      <c r="O4" s="210"/>
      <c r="P4" s="211"/>
      <c r="Q4" s="211"/>
      <c r="R4" s="211"/>
      <c r="S4" s="211"/>
      <c r="T4" s="211"/>
      <c r="U4" s="212"/>
    </row>
    <row r="5" spans="1:21" ht="14.45" customHeight="1" thickBot="1">
      <c r="A5" s="42"/>
      <c r="B5" s="11"/>
      <c r="C5" s="11"/>
      <c r="D5" s="11"/>
      <c r="E5" s="11"/>
      <c r="F5" s="11"/>
      <c r="G5" s="12"/>
      <c r="H5" s="13"/>
      <c r="I5" s="14"/>
      <c r="J5" s="242"/>
      <c r="K5" s="243"/>
      <c r="L5" s="244"/>
      <c r="M5" s="245"/>
      <c r="N5" s="53"/>
      <c r="O5" s="246"/>
      <c r="P5" s="211"/>
      <c r="Q5" s="211"/>
      <c r="R5" s="211"/>
      <c r="S5" s="211"/>
      <c r="T5" s="211"/>
      <c r="U5" s="212"/>
    </row>
    <row r="6" spans="1:21" ht="14.45" customHeight="1">
      <c r="A6" s="43"/>
      <c r="B6" s="101" t="s">
        <v>4</v>
      </c>
      <c r="C6" s="20"/>
      <c r="D6" s="21"/>
      <c r="E6" s="222" t="s">
        <v>65</v>
      </c>
      <c r="F6" s="223"/>
      <c r="G6" s="223"/>
      <c r="H6" s="224"/>
      <c r="I6" s="60" t="s">
        <v>26</v>
      </c>
      <c r="J6" s="26"/>
      <c r="K6" s="225" t="s">
        <v>33</v>
      </c>
      <c r="L6" s="226"/>
      <c r="M6" s="227"/>
      <c r="N6" s="91" t="s">
        <v>5</v>
      </c>
      <c r="O6" s="210"/>
      <c r="P6" s="211"/>
      <c r="Q6" s="211"/>
      <c r="R6" s="211"/>
      <c r="S6" s="211"/>
      <c r="T6" s="211"/>
      <c r="U6" s="212"/>
    </row>
    <row r="7" spans="1:21" ht="15.75" customHeight="1">
      <c r="A7" s="44"/>
      <c r="B7" s="102" t="s">
        <v>6</v>
      </c>
      <c r="C7" s="22"/>
      <c r="D7" s="23"/>
      <c r="E7" s="228" t="s">
        <v>153</v>
      </c>
      <c r="F7" s="229"/>
      <c r="G7" s="229"/>
      <c r="H7" s="230"/>
      <c r="I7" s="61" t="s">
        <v>28</v>
      </c>
      <c r="J7" s="27"/>
      <c r="K7" s="231" t="s">
        <v>34</v>
      </c>
      <c r="L7" s="232"/>
      <c r="M7" s="233"/>
      <c r="N7" s="92">
        <f>COUNTIF(H14:H14,"LONG")+COUNTIF(H14:H14,"LONG RAW")</f>
        <v>0</v>
      </c>
      <c r="O7" s="210"/>
      <c r="P7" s="211"/>
      <c r="Q7" s="211"/>
      <c r="R7" s="211"/>
      <c r="S7" s="211"/>
      <c r="T7" s="211"/>
      <c r="U7" s="212"/>
    </row>
    <row r="8" spans="1:21" ht="14.45" customHeight="1">
      <c r="A8" s="45"/>
      <c r="B8" s="22" t="s">
        <v>7</v>
      </c>
      <c r="C8" s="22"/>
      <c r="D8" s="23"/>
      <c r="E8" s="228" t="s">
        <v>616</v>
      </c>
      <c r="F8" s="229"/>
      <c r="G8" s="229"/>
      <c r="H8" s="230"/>
      <c r="I8" s="62"/>
      <c r="J8" s="27"/>
      <c r="K8" s="234"/>
      <c r="L8" s="235"/>
      <c r="M8" s="236"/>
      <c r="N8" s="92"/>
      <c r="O8" s="210"/>
      <c r="P8" s="211"/>
      <c r="Q8" s="211"/>
      <c r="R8" s="211"/>
      <c r="S8" s="211"/>
      <c r="T8" s="211"/>
      <c r="U8" s="212"/>
    </row>
    <row r="9" spans="1:21" ht="14.45" customHeight="1">
      <c r="A9" s="45"/>
      <c r="B9" s="22" t="s">
        <v>8</v>
      </c>
      <c r="C9" s="22"/>
      <c r="D9" s="23"/>
      <c r="E9" s="237" t="s">
        <v>68</v>
      </c>
      <c r="F9" s="238"/>
      <c r="G9" s="238"/>
      <c r="H9" s="239"/>
      <c r="I9" s="61" t="s">
        <v>9</v>
      </c>
      <c r="J9" s="27"/>
      <c r="K9" s="86"/>
      <c r="L9" s="88">
        <f>SUM(N14:N32)</f>
        <v>94</v>
      </c>
      <c r="M9" s="82"/>
      <c r="N9" s="93">
        <f>SUMIF(M14:M14,"■",N14:N14)</f>
        <v>0</v>
      </c>
      <c r="O9" s="210"/>
      <c r="P9" s="211"/>
      <c r="Q9" s="211"/>
      <c r="R9" s="211"/>
      <c r="S9" s="211"/>
      <c r="T9" s="211"/>
      <c r="U9" s="212"/>
    </row>
    <row r="10" spans="1:21" ht="14.45" customHeight="1">
      <c r="A10" s="45"/>
      <c r="B10" s="22" t="s">
        <v>10</v>
      </c>
      <c r="C10" s="22"/>
      <c r="D10" s="23"/>
      <c r="E10" s="219" t="s">
        <v>68</v>
      </c>
      <c r="F10" s="220"/>
      <c r="G10" s="220"/>
      <c r="H10" s="221"/>
      <c r="I10" s="61" t="s">
        <v>11</v>
      </c>
      <c r="J10" s="27"/>
      <c r="K10" s="86"/>
      <c r="L10" s="89">
        <f>E11*L9/1000</f>
        <v>0</v>
      </c>
      <c r="M10" s="82"/>
      <c r="N10" s="55"/>
      <c r="O10" s="210"/>
      <c r="P10" s="211"/>
      <c r="Q10" s="211"/>
      <c r="R10" s="211"/>
      <c r="S10" s="211"/>
      <c r="T10" s="211"/>
      <c r="U10" s="212"/>
    </row>
    <row r="11" spans="1:21" ht="17.25" customHeight="1" thickBot="1">
      <c r="A11" s="46"/>
      <c r="B11" s="24" t="s">
        <v>29</v>
      </c>
      <c r="C11" s="24"/>
      <c r="D11" s="25"/>
      <c r="E11" s="207"/>
      <c r="F11" s="208"/>
      <c r="G11" s="208"/>
      <c r="H11" s="209"/>
      <c r="I11" s="103" t="s">
        <v>12</v>
      </c>
      <c r="J11" s="104"/>
      <c r="K11" s="87"/>
      <c r="L11" s="90"/>
      <c r="M11" s="83"/>
      <c r="N11" s="56"/>
      <c r="O11" s="210"/>
      <c r="P11" s="211"/>
      <c r="Q11" s="211"/>
      <c r="R11" s="211"/>
      <c r="S11" s="211"/>
      <c r="T11" s="211"/>
      <c r="U11" s="212"/>
    </row>
    <row r="12" spans="1:21" ht="15.75" customHeight="1" thickBot="1">
      <c r="A12" s="64"/>
      <c r="B12" s="65"/>
      <c r="C12" s="30"/>
      <c r="D12" s="30"/>
      <c r="E12" s="31"/>
      <c r="F12" s="32"/>
      <c r="G12" s="29"/>
      <c r="H12" s="28"/>
      <c r="I12" s="29"/>
      <c r="J12" s="30" t="s">
        <v>13</v>
      </c>
      <c r="K12" s="31"/>
      <c r="L12" s="66"/>
      <c r="M12" s="48"/>
      <c r="N12" s="57">
        <f>COUNTA(H14:H14)</f>
        <v>1</v>
      </c>
      <c r="O12" s="213"/>
      <c r="P12" s="214"/>
      <c r="Q12" s="214"/>
      <c r="R12" s="214"/>
      <c r="S12" s="214"/>
      <c r="T12" s="214"/>
      <c r="U12" s="21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16" t="s">
        <v>32</v>
      </c>
      <c r="Q13" s="217"/>
      <c r="R13" s="217"/>
      <c r="S13" s="217"/>
      <c r="T13" s="217"/>
      <c r="U13" s="218"/>
    </row>
    <row r="14" spans="1:21" ht="15.75" customHeight="1">
      <c r="A14" s="85" t="s">
        <v>188</v>
      </c>
      <c r="B14" s="37">
        <f t="shared" ref="B14:B23" si="0">ROW()-13</f>
        <v>1</v>
      </c>
      <c r="C14" s="145" t="s">
        <v>186</v>
      </c>
      <c r="D14" s="80"/>
      <c r="E14" s="81"/>
      <c r="F14" s="146" t="s">
        <v>1029</v>
      </c>
      <c r="G14" s="17"/>
      <c r="H14" s="18" t="s">
        <v>49</v>
      </c>
      <c r="I14" s="59"/>
      <c r="J14" s="19">
        <v>1</v>
      </c>
      <c r="K14" s="19"/>
      <c r="L14" s="50" t="s">
        <v>187</v>
      </c>
      <c r="M14" s="73" t="s">
        <v>21</v>
      </c>
      <c r="N14" s="54">
        <f t="shared" ref="N14:N30" si="1">IF(H14="NUMBER",IF(J14&gt;0,INT((J14+1)/2+0.9),0),IF(H14="DATE",7,IF(OR(H14="LONG",H14="LONG RAW"),100000,J14)))</f>
        <v>1</v>
      </c>
      <c r="O14" s="167"/>
      <c r="P14" s="203" t="s">
        <v>174</v>
      </c>
      <c r="Q14" s="204"/>
      <c r="R14" s="204"/>
      <c r="S14" s="204"/>
      <c r="T14" s="204"/>
      <c r="U14" s="205"/>
    </row>
    <row r="15" spans="1:21" ht="27.6" customHeight="1">
      <c r="A15" s="85" t="s">
        <v>188</v>
      </c>
      <c r="B15" s="37">
        <f t="shared" si="0"/>
        <v>2</v>
      </c>
      <c r="C15" s="145" t="s">
        <v>587</v>
      </c>
      <c r="D15" s="80"/>
      <c r="E15" s="81"/>
      <c r="F15" s="146" t="s">
        <v>588</v>
      </c>
      <c r="G15" s="17"/>
      <c r="H15" s="18" t="s">
        <v>49</v>
      </c>
      <c r="I15" s="59"/>
      <c r="J15" s="19">
        <v>1</v>
      </c>
      <c r="K15" s="19"/>
      <c r="L15" s="50" t="s">
        <v>187</v>
      </c>
      <c r="M15" s="73" t="s">
        <v>21</v>
      </c>
      <c r="N15" s="54">
        <f t="shared" si="1"/>
        <v>1</v>
      </c>
      <c r="O15" s="167"/>
      <c r="P15" s="206" t="s">
        <v>589</v>
      </c>
      <c r="Q15" s="204"/>
      <c r="R15" s="204"/>
      <c r="S15" s="204"/>
      <c r="T15" s="204"/>
      <c r="U15" s="205"/>
    </row>
    <row r="16" spans="1:21" ht="15.75" customHeight="1">
      <c r="A16" s="85" t="s">
        <v>188</v>
      </c>
      <c r="B16" s="37">
        <f t="shared" si="0"/>
        <v>3</v>
      </c>
      <c r="C16" s="145" t="s">
        <v>195</v>
      </c>
      <c r="D16" s="80"/>
      <c r="E16" s="81"/>
      <c r="F16" s="146" t="s">
        <v>1058</v>
      </c>
      <c r="G16" s="17"/>
      <c r="H16" s="18" t="s">
        <v>49</v>
      </c>
      <c r="I16" s="59"/>
      <c r="J16" s="19">
        <v>1</v>
      </c>
      <c r="K16" s="19"/>
      <c r="L16" s="50" t="s">
        <v>187</v>
      </c>
      <c r="M16" s="73" t="s">
        <v>21</v>
      </c>
      <c r="N16" s="54">
        <f t="shared" si="1"/>
        <v>1</v>
      </c>
      <c r="O16" s="167"/>
      <c r="P16" s="203" t="s">
        <v>174</v>
      </c>
      <c r="Q16" s="204"/>
      <c r="R16" s="204"/>
      <c r="S16" s="204"/>
      <c r="T16" s="204"/>
      <c r="U16" s="205"/>
    </row>
    <row r="17" spans="1:21" ht="15.75" customHeight="1">
      <c r="A17" s="85" t="s">
        <v>188</v>
      </c>
      <c r="B17" s="37">
        <f t="shared" si="0"/>
        <v>4</v>
      </c>
      <c r="C17" s="145" t="s">
        <v>196</v>
      </c>
      <c r="D17" s="80"/>
      <c r="E17" s="81"/>
      <c r="F17" s="146" t="s">
        <v>197</v>
      </c>
      <c r="G17" s="17"/>
      <c r="H17" s="18" t="s">
        <v>51</v>
      </c>
      <c r="I17" s="59"/>
      <c r="J17" s="19">
        <v>25</v>
      </c>
      <c r="K17" s="19"/>
      <c r="L17" s="50" t="s">
        <v>187</v>
      </c>
      <c r="M17" s="73" t="s">
        <v>21</v>
      </c>
      <c r="N17" s="54">
        <f t="shared" si="1"/>
        <v>25</v>
      </c>
      <c r="O17" s="167"/>
      <c r="P17" s="203"/>
      <c r="Q17" s="204"/>
      <c r="R17" s="204"/>
      <c r="S17" s="204"/>
      <c r="T17" s="204"/>
      <c r="U17" s="205"/>
    </row>
    <row r="18" spans="1:21" ht="15.75" customHeight="1">
      <c r="A18" s="85" t="s">
        <v>188</v>
      </c>
      <c r="B18" s="37">
        <f t="shared" si="0"/>
        <v>5</v>
      </c>
      <c r="C18" s="145" t="s">
        <v>198</v>
      </c>
      <c r="D18" s="80"/>
      <c r="E18" s="81"/>
      <c r="F18" s="146" t="s">
        <v>199</v>
      </c>
      <c r="G18" s="17"/>
      <c r="H18" s="18" t="s">
        <v>51</v>
      </c>
      <c r="I18" s="59"/>
      <c r="J18" s="19">
        <v>4</v>
      </c>
      <c r="K18" s="19"/>
      <c r="L18" s="50" t="s">
        <v>187</v>
      </c>
      <c r="M18" s="73" t="s">
        <v>21</v>
      </c>
      <c r="N18" s="54">
        <f t="shared" si="1"/>
        <v>4</v>
      </c>
      <c r="O18" s="167"/>
      <c r="P18" s="203" t="s">
        <v>200</v>
      </c>
      <c r="Q18" s="204"/>
      <c r="R18" s="204"/>
      <c r="S18" s="204"/>
      <c r="T18" s="204"/>
      <c r="U18" s="205"/>
    </row>
    <row r="19" spans="1:21" ht="62.85" customHeight="1">
      <c r="A19" s="85" t="s">
        <v>188</v>
      </c>
      <c r="B19" s="37">
        <f t="shared" si="0"/>
        <v>6</v>
      </c>
      <c r="C19" s="145" t="s">
        <v>201</v>
      </c>
      <c r="D19" s="80"/>
      <c r="E19" s="81"/>
      <c r="F19" s="146" t="s">
        <v>202</v>
      </c>
      <c r="G19" s="17"/>
      <c r="H19" s="18" t="s">
        <v>49</v>
      </c>
      <c r="I19" s="59"/>
      <c r="J19" s="19">
        <v>1</v>
      </c>
      <c r="K19" s="19"/>
      <c r="L19" s="50" t="s">
        <v>187</v>
      </c>
      <c r="M19" s="73" t="s">
        <v>21</v>
      </c>
      <c r="N19" s="54">
        <f t="shared" si="1"/>
        <v>1</v>
      </c>
      <c r="O19" s="167"/>
      <c r="P19" s="206" t="s">
        <v>267</v>
      </c>
      <c r="Q19" s="204"/>
      <c r="R19" s="204"/>
      <c r="S19" s="204"/>
      <c r="T19" s="204"/>
      <c r="U19" s="205"/>
    </row>
    <row r="20" spans="1:21" ht="27.6" customHeight="1">
      <c r="A20" s="85" t="s">
        <v>188</v>
      </c>
      <c r="B20" s="37">
        <f t="shared" si="0"/>
        <v>7</v>
      </c>
      <c r="C20" s="145" t="s">
        <v>204</v>
      </c>
      <c r="D20" s="80"/>
      <c r="E20" s="81"/>
      <c r="F20" s="146" t="s">
        <v>205</v>
      </c>
      <c r="G20" s="17"/>
      <c r="H20" s="18" t="s">
        <v>49</v>
      </c>
      <c r="I20" s="59"/>
      <c r="J20" s="19">
        <v>1</v>
      </c>
      <c r="K20" s="19"/>
      <c r="L20" s="50" t="s">
        <v>187</v>
      </c>
      <c r="M20" s="73" t="s">
        <v>21</v>
      </c>
      <c r="N20" s="54">
        <f t="shared" si="1"/>
        <v>1</v>
      </c>
      <c r="O20" s="167"/>
      <c r="P20" s="206" t="s">
        <v>206</v>
      </c>
      <c r="Q20" s="204"/>
      <c r="R20" s="204"/>
      <c r="S20" s="204"/>
      <c r="T20" s="204"/>
      <c r="U20" s="205"/>
    </row>
    <row r="21" spans="1:21" ht="15.75" customHeight="1">
      <c r="A21" s="85" t="s">
        <v>188</v>
      </c>
      <c r="B21" s="37">
        <f t="shared" si="0"/>
        <v>8</v>
      </c>
      <c r="C21" s="145" t="s">
        <v>620</v>
      </c>
      <c r="D21" s="80"/>
      <c r="E21" s="81"/>
      <c r="F21" s="146" t="s">
        <v>621</v>
      </c>
      <c r="G21" s="17"/>
      <c r="H21" s="18" t="s">
        <v>209</v>
      </c>
      <c r="I21" s="59"/>
      <c r="J21" s="19"/>
      <c r="K21" s="19"/>
      <c r="L21" s="50" t="s">
        <v>187</v>
      </c>
      <c r="M21" s="73" t="s">
        <v>21</v>
      </c>
      <c r="N21" s="54">
        <f t="shared" si="1"/>
        <v>0</v>
      </c>
      <c r="O21" s="167"/>
      <c r="P21" s="203"/>
      <c r="Q21" s="204"/>
      <c r="R21" s="204"/>
      <c r="S21" s="204"/>
      <c r="T21" s="204"/>
      <c r="U21" s="205"/>
    </row>
    <row r="22" spans="1:21" ht="15.75" customHeight="1">
      <c r="A22" s="85"/>
      <c r="B22" s="37">
        <f t="shared" si="0"/>
        <v>9</v>
      </c>
      <c r="C22" s="145" t="s">
        <v>482</v>
      </c>
      <c r="D22" s="80"/>
      <c r="E22" s="81"/>
      <c r="F22" s="146" t="s">
        <v>483</v>
      </c>
      <c r="G22" s="17"/>
      <c r="H22" s="18" t="s">
        <v>49</v>
      </c>
      <c r="I22" s="59"/>
      <c r="J22" s="19">
        <v>4</v>
      </c>
      <c r="K22" s="19"/>
      <c r="L22" s="50" t="s">
        <v>187</v>
      </c>
      <c r="M22" s="73" t="s">
        <v>21</v>
      </c>
      <c r="N22" s="54">
        <f t="shared" si="1"/>
        <v>4</v>
      </c>
      <c r="O22" s="167"/>
      <c r="P22" s="203" t="s">
        <v>161</v>
      </c>
      <c r="Q22" s="204"/>
      <c r="R22" s="204"/>
      <c r="S22" s="204"/>
      <c r="T22" s="204"/>
      <c r="U22" s="205"/>
    </row>
    <row r="23" spans="1:21" ht="15.75" customHeight="1">
      <c r="A23" s="85"/>
      <c r="B23" s="37">
        <f t="shared" si="0"/>
        <v>10</v>
      </c>
      <c r="C23" s="145" t="s">
        <v>354</v>
      </c>
      <c r="D23" s="80"/>
      <c r="E23" s="81"/>
      <c r="F23" s="146" t="s">
        <v>355</v>
      </c>
      <c r="G23" s="17"/>
      <c r="H23" s="18" t="s">
        <v>51</v>
      </c>
      <c r="I23" s="59"/>
      <c r="J23" s="19">
        <v>4</v>
      </c>
      <c r="K23" s="19"/>
      <c r="L23" s="50" t="s">
        <v>187</v>
      </c>
      <c r="M23" s="73" t="s">
        <v>21</v>
      </c>
      <c r="N23" s="54">
        <f t="shared" si="1"/>
        <v>4</v>
      </c>
      <c r="O23" s="167"/>
      <c r="P23" s="203" t="s">
        <v>200</v>
      </c>
      <c r="Q23" s="204"/>
      <c r="R23" s="204"/>
      <c r="S23" s="204"/>
      <c r="T23" s="204"/>
      <c r="U23" s="205"/>
    </row>
    <row r="24" spans="1:21" ht="15.75">
      <c r="A24" s="85"/>
      <c r="B24" s="37">
        <f t="shared" ref="B24:B30" si="2">ROW()-13</f>
        <v>11</v>
      </c>
      <c r="C24" s="107" t="s">
        <v>36</v>
      </c>
      <c r="D24" s="107"/>
      <c r="E24" s="108"/>
      <c r="F24" s="109" t="s">
        <v>78</v>
      </c>
      <c r="G24" s="110"/>
      <c r="H24" s="18" t="s">
        <v>51</v>
      </c>
      <c r="I24" s="59"/>
      <c r="J24" s="113">
        <v>12</v>
      </c>
      <c r="K24" s="113"/>
      <c r="L24" s="114"/>
      <c r="M24" s="115" t="s">
        <v>35</v>
      </c>
      <c r="N24" s="116">
        <f t="shared" si="1"/>
        <v>12</v>
      </c>
      <c r="O24" s="168"/>
      <c r="P24" s="200"/>
      <c r="Q24" s="201"/>
      <c r="R24" s="201"/>
      <c r="S24" s="201"/>
      <c r="T24" s="201"/>
      <c r="U24" s="202"/>
    </row>
    <row r="25" spans="1:21" ht="15.75">
      <c r="A25" s="85"/>
      <c r="B25" s="37">
        <f t="shared" si="2"/>
        <v>12</v>
      </c>
      <c r="C25" s="107" t="s">
        <v>37</v>
      </c>
      <c r="D25" s="107"/>
      <c r="E25" s="108"/>
      <c r="F25" s="109" t="s">
        <v>43</v>
      </c>
      <c r="G25" s="110"/>
      <c r="H25" s="18" t="s">
        <v>51</v>
      </c>
      <c r="I25" s="59"/>
      <c r="J25" s="113">
        <v>10</v>
      </c>
      <c r="K25" s="113"/>
      <c r="L25" s="114"/>
      <c r="M25" s="115" t="s">
        <v>21</v>
      </c>
      <c r="N25" s="116">
        <f t="shared" si="1"/>
        <v>10</v>
      </c>
      <c r="O25" s="168"/>
      <c r="P25" s="200"/>
      <c r="Q25" s="201"/>
      <c r="R25" s="201"/>
      <c r="S25" s="201"/>
      <c r="T25" s="201"/>
      <c r="U25" s="202"/>
    </row>
    <row r="26" spans="1:21" ht="15.75">
      <c r="A26" s="85"/>
      <c r="B26" s="37">
        <f t="shared" si="2"/>
        <v>13</v>
      </c>
      <c r="C26" s="107" t="s">
        <v>38</v>
      </c>
      <c r="D26" s="107"/>
      <c r="E26" s="108"/>
      <c r="F26" s="109" t="s">
        <v>80</v>
      </c>
      <c r="G26" s="110"/>
      <c r="H26" s="18" t="s">
        <v>86</v>
      </c>
      <c r="I26" s="59"/>
      <c r="J26" s="113"/>
      <c r="K26" s="113"/>
      <c r="L26" s="114"/>
      <c r="M26" s="115" t="s">
        <v>21</v>
      </c>
      <c r="N26" s="116">
        <f t="shared" si="1"/>
        <v>0</v>
      </c>
      <c r="O26" s="168"/>
      <c r="P26" s="200"/>
      <c r="Q26" s="201"/>
      <c r="R26" s="201"/>
      <c r="S26" s="201"/>
      <c r="T26" s="201"/>
      <c r="U26" s="202"/>
    </row>
    <row r="27" spans="1:21" ht="15.75">
      <c r="A27" s="85"/>
      <c r="B27" s="37">
        <f t="shared" si="2"/>
        <v>14</v>
      </c>
      <c r="C27" s="107" t="s">
        <v>39</v>
      </c>
      <c r="D27" s="107"/>
      <c r="E27" s="108"/>
      <c r="F27" s="109" t="s">
        <v>79</v>
      </c>
      <c r="G27" s="110"/>
      <c r="H27" s="18" t="s">
        <v>51</v>
      </c>
      <c r="I27" s="59"/>
      <c r="J27" s="113">
        <v>12</v>
      </c>
      <c r="K27" s="113"/>
      <c r="L27" s="114"/>
      <c r="M27" s="115" t="s">
        <v>35</v>
      </c>
      <c r="N27" s="116">
        <f t="shared" si="1"/>
        <v>12</v>
      </c>
      <c r="O27" s="168"/>
      <c r="P27" s="200"/>
      <c r="Q27" s="201"/>
      <c r="R27" s="201"/>
      <c r="S27" s="201"/>
      <c r="T27" s="201"/>
      <c r="U27" s="202"/>
    </row>
    <row r="28" spans="1:21" ht="15.75">
      <c r="A28" s="85"/>
      <c r="B28" s="37">
        <f t="shared" si="2"/>
        <v>15</v>
      </c>
      <c r="C28" s="107" t="s">
        <v>40</v>
      </c>
      <c r="D28" s="107"/>
      <c r="E28" s="108"/>
      <c r="F28" s="109" t="s">
        <v>44</v>
      </c>
      <c r="G28" s="110"/>
      <c r="H28" s="18" t="s">
        <v>51</v>
      </c>
      <c r="I28" s="59"/>
      <c r="J28" s="113">
        <v>10</v>
      </c>
      <c r="K28" s="113"/>
      <c r="L28" s="114"/>
      <c r="M28" s="115" t="s">
        <v>21</v>
      </c>
      <c r="N28" s="116">
        <f t="shared" si="1"/>
        <v>10</v>
      </c>
      <c r="O28" s="168"/>
      <c r="P28" s="200"/>
      <c r="Q28" s="201"/>
      <c r="R28" s="201"/>
      <c r="S28" s="201"/>
      <c r="T28" s="201"/>
      <c r="U28" s="202"/>
    </row>
    <row r="29" spans="1:21" ht="15.75">
      <c r="A29" s="85"/>
      <c r="B29" s="37">
        <f t="shared" si="2"/>
        <v>16</v>
      </c>
      <c r="C29" s="107" t="s">
        <v>41</v>
      </c>
      <c r="D29" s="107"/>
      <c r="E29" s="108"/>
      <c r="F29" s="109" t="s">
        <v>81</v>
      </c>
      <c r="G29" s="110"/>
      <c r="H29" s="18" t="s">
        <v>86</v>
      </c>
      <c r="I29" s="59"/>
      <c r="J29" s="113"/>
      <c r="K29" s="113"/>
      <c r="L29" s="114"/>
      <c r="M29" s="115" t="s">
        <v>21</v>
      </c>
      <c r="N29" s="116">
        <f t="shared" si="1"/>
        <v>0</v>
      </c>
      <c r="O29" s="168"/>
      <c r="P29" s="200"/>
      <c r="Q29" s="201"/>
      <c r="R29" s="201"/>
      <c r="S29" s="201"/>
      <c r="T29" s="201"/>
      <c r="U29" s="202"/>
    </row>
    <row r="30" spans="1:21" ht="15.75">
      <c r="A30" s="85"/>
      <c r="B30" s="37">
        <f t="shared" si="2"/>
        <v>17</v>
      </c>
      <c r="C30" s="80" t="s">
        <v>46</v>
      </c>
      <c r="D30" s="80"/>
      <c r="E30" s="81"/>
      <c r="F30" s="84" t="s">
        <v>71</v>
      </c>
      <c r="G30" s="17"/>
      <c r="H30" s="18" t="s">
        <v>62</v>
      </c>
      <c r="I30" s="59"/>
      <c r="J30" s="19">
        <v>8</v>
      </c>
      <c r="K30" s="19"/>
      <c r="L30" s="50" t="s">
        <v>47</v>
      </c>
      <c r="M30" s="73" t="s">
        <v>35</v>
      </c>
      <c r="N30" s="54">
        <f t="shared" si="1"/>
        <v>8</v>
      </c>
      <c r="O30" s="167">
        <v>0</v>
      </c>
      <c r="P30" s="203" t="s">
        <v>48</v>
      </c>
      <c r="Q30" s="204"/>
      <c r="R30" s="204"/>
      <c r="S30" s="204"/>
      <c r="T30" s="204"/>
      <c r="U30" s="205"/>
    </row>
    <row r="31" spans="1:21" ht="16.5" thickBot="1">
      <c r="A31" s="118"/>
      <c r="B31" s="119"/>
      <c r="C31" s="120"/>
      <c r="D31" s="120"/>
      <c r="E31" s="121"/>
      <c r="F31" s="129"/>
      <c r="G31" s="122"/>
      <c r="H31" s="147"/>
      <c r="I31" s="148"/>
      <c r="J31" s="125"/>
      <c r="K31" s="125"/>
      <c r="L31" s="126"/>
      <c r="M31" s="126"/>
      <c r="N31" s="127"/>
      <c r="O31" s="169"/>
      <c r="P31" s="197"/>
      <c r="Q31" s="198"/>
      <c r="R31" s="198"/>
      <c r="S31" s="198"/>
      <c r="T31" s="198"/>
      <c r="U31" s="199"/>
    </row>
  </sheetData>
  <mergeCells count="48">
    <mergeCell ref="O1:U1"/>
    <mergeCell ref="J2:K2"/>
    <mergeCell ref="L2:M2"/>
    <mergeCell ref="O2:U2"/>
    <mergeCell ref="J3:K3"/>
    <mergeCell ref="L3:M3"/>
    <mergeCell ref="O3:U3"/>
    <mergeCell ref="J4:K4"/>
    <mergeCell ref="L4:M4"/>
    <mergeCell ref="O4:U4"/>
    <mergeCell ref="J5:K5"/>
    <mergeCell ref="L5:M5"/>
    <mergeCell ref="O5:U5"/>
    <mergeCell ref="E10:H10"/>
    <mergeCell ref="O10:U10"/>
    <mergeCell ref="E6:H6"/>
    <mergeCell ref="K6:M6"/>
    <mergeCell ref="O6:U6"/>
    <mergeCell ref="E7:H7"/>
    <mergeCell ref="K7:M7"/>
    <mergeCell ref="O7:U7"/>
    <mergeCell ref="E8:H8"/>
    <mergeCell ref="K8:M8"/>
    <mergeCell ref="O8:U8"/>
    <mergeCell ref="E9:H9"/>
    <mergeCell ref="O9:U9"/>
    <mergeCell ref="P21:U21"/>
    <mergeCell ref="E11:H11"/>
    <mergeCell ref="O11:U11"/>
    <mergeCell ref="O12:U12"/>
    <mergeCell ref="P13:U13"/>
    <mergeCell ref="P14:U14"/>
    <mergeCell ref="P15:U15"/>
    <mergeCell ref="P16:U16"/>
    <mergeCell ref="P17:U17"/>
    <mergeCell ref="P18:U18"/>
    <mergeCell ref="P19:U19"/>
    <mergeCell ref="P20:U20"/>
    <mergeCell ref="P28:U28"/>
    <mergeCell ref="P29:U29"/>
    <mergeCell ref="P30:U30"/>
    <mergeCell ref="P31:U31"/>
    <mergeCell ref="P22:U22"/>
    <mergeCell ref="P23:U23"/>
    <mergeCell ref="P24:U24"/>
    <mergeCell ref="P25:U25"/>
    <mergeCell ref="P26:U26"/>
    <mergeCell ref="P27:U27"/>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7889"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37890"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37891"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37892"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37893"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37894"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FA578058-0D3F-445E-BD08-99B2122CB95E}">
            <xm:f>(AND(H14&lt;&gt;"",ISERROR(VLOOKUP(H14,system!$E:$E,1,FALSE))))</xm:f>
            <x14:dxf>
              <fill>
                <patternFill patternType="solid">
                  <bgColor rgb="FFFF0000"/>
                </patternFill>
              </fill>
            </x14:dxf>
          </x14:cfRule>
          <xm:sqref>H14:H23</xm:sqref>
        </x14:conditionalFormatting>
        <x14:conditionalFormatting xmlns:xm="http://schemas.microsoft.com/office/excel/2006/main">
          <x14:cfRule type="expression" priority="3" id="{323514D9-31A9-4BAD-B371-C1E29FDEAA5C}">
            <xm:f>(AND(H14&lt;&gt;"",ISERROR(VLOOKUP(H14,system!$E:$E,1,FALSE))))</xm:f>
            <x14:dxf>
              <fill>
                <patternFill>
                  <bgColor rgb="FFFF0000"/>
                </patternFill>
              </fill>
            </x14:dxf>
          </x14:cfRule>
          <xm:sqref>I14:I23</xm:sqref>
        </x14:conditionalFormatting>
        <x14:conditionalFormatting xmlns:xm="http://schemas.microsoft.com/office/excel/2006/main">
          <x14:cfRule type="expression" priority="2" id="{7B72D8C6-B0D6-4AD6-8E4A-456CEA04F901}">
            <xm:f>(AND(H24&lt;&gt;"",ISERROR(VLOOKUP(H24,system!$E:$E,1,FALSE))))</xm:f>
            <x14:dxf>
              <fill>
                <patternFill patternType="solid">
                  <bgColor rgb="FFFF0000"/>
                </patternFill>
              </fill>
            </x14:dxf>
          </x14:cfRule>
          <xm:sqref>H24:H31</xm:sqref>
        </x14:conditionalFormatting>
        <x14:conditionalFormatting xmlns:xm="http://schemas.microsoft.com/office/excel/2006/main">
          <x14:cfRule type="expression" priority="1" id="{1D0D75AE-0974-49C9-A3C3-A5A5168C26B0}">
            <xm:f>(AND(H24&lt;&gt;"",ISERROR(VLOOKUP(H24,system!$E:$E,1,FALSE))))</xm:f>
            <x14:dxf>
              <fill>
                <patternFill>
                  <bgColor rgb="FFFF0000"/>
                </patternFill>
              </fill>
            </x14:dxf>
          </x14:cfRule>
          <xm:sqref>I24:I31</xm:sqref>
        </x14:conditionalFormatting>
      </x14:conditionalFormatting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A1:U86"/>
  <sheetViews>
    <sheetView showGridLines="0" zoomScaleNormal="100" workbookViewId="0">
      <pane ySplit="13" topLeftCell="A62" activePane="bottomLeft" state="frozen"/>
      <selection activeCell="D13" sqref="D13"/>
      <selection pane="bottomLeft"/>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7" t="s">
        <v>27</v>
      </c>
      <c r="P1" s="248"/>
      <c r="Q1" s="248"/>
      <c r="R1" s="248"/>
      <c r="S1" s="248"/>
      <c r="T1" s="248"/>
      <c r="U1" s="249"/>
    </row>
    <row r="2" spans="1:21" ht="14.45" customHeight="1">
      <c r="A2" s="39"/>
      <c r="B2" s="100" t="s">
        <v>64</v>
      </c>
      <c r="C2" s="5"/>
      <c r="D2" s="5"/>
      <c r="E2" s="5"/>
      <c r="F2" s="5"/>
      <c r="G2" s="6"/>
      <c r="H2" s="7"/>
      <c r="I2" s="8"/>
      <c r="J2" s="250"/>
      <c r="K2" s="251"/>
      <c r="L2" s="250"/>
      <c r="M2" s="251"/>
      <c r="N2" s="52"/>
      <c r="O2" s="252" t="s">
        <v>626</v>
      </c>
      <c r="P2" s="253"/>
      <c r="Q2" s="253"/>
      <c r="R2" s="253"/>
      <c r="S2" s="253"/>
      <c r="T2" s="253"/>
      <c r="U2" s="254"/>
    </row>
    <row r="3" spans="1:21" ht="14.25" customHeight="1">
      <c r="A3" s="40"/>
      <c r="B3" s="35"/>
      <c r="C3" s="5"/>
      <c r="D3" s="5"/>
      <c r="E3" s="5"/>
      <c r="F3" s="5"/>
      <c r="G3" s="9"/>
      <c r="H3" s="10"/>
      <c r="I3" s="176" t="s">
        <v>1032</v>
      </c>
      <c r="J3" s="255" t="s">
        <v>1032</v>
      </c>
      <c r="K3" s="256"/>
      <c r="L3" s="255" t="s">
        <v>1032</v>
      </c>
      <c r="M3" s="256"/>
      <c r="N3" s="52"/>
      <c r="O3" s="257"/>
      <c r="P3" s="258"/>
      <c r="Q3" s="258"/>
      <c r="R3" s="258"/>
      <c r="S3" s="258"/>
      <c r="T3" s="258"/>
      <c r="U3" s="259"/>
    </row>
    <row r="4" spans="1:21" ht="14.45" customHeight="1">
      <c r="A4" s="41"/>
      <c r="B4" s="36" t="s">
        <v>3</v>
      </c>
      <c r="C4" s="5"/>
      <c r="D4" s="5"/>
      <c r="E4" s="5"/>
      <c r="F4" s="5"/>
      <c r="G4" s="6"/>
      <c r="H4" s="10"/>
      <c r="I4" s="177" t="s">
        <v>1035</v>
      </c>
      <c r="J4" s="240" t="s">
        <v>1034</v>
      </c>
      <c r="K4" s="241"/>
      <c r="L4" s="240" t="s">
        <v>1033</v>
      </c>
      <c r="M4" s="241"/>
      <c r="N4" s="52"/>
      <c r="O4" s="210"/>
      <c r="P4" s="211"/>
      <c r="Q4" s="211"/>
      <c r="R4" s="211"/>
      <c r="S4" s="211"/>
      <c r="T4" s="211"/>
      <c r="U4" s="212"/>
    </row>
    <row r="5" spans="1:21" ht="14.45" customHeight="1" thickBot="1">
      <c r="A5" s="42"/>
      <c r="B5" s="11"/>
      <c r="C5" s="11"/>
      <c r="D5" s="11"/>
      <c r="E5" s="11"/>
      <c r="F5" s="11"/>
      <c r="G5" s="12"/>
      <c r="H5" s="13"/>
      <c r="I5" s="14"/>
      <c r="J5" s="242"/>
      <c r="K5" s="243"/>
      <c r="L5" s="244"/>
      <c r="M5" s="245"/>
      <c r="N5" s="53"/>
      <c r="O5" s="246"/>
      <c r="P5" s="211"/>
      <c r="Q5" s="211"/>
      <c r="R5" s="211"/>
      <c r="S5" s="211"/>
      <c r="T5" s="211"/>
      <c r="U5" s="212"/>
    </row>
    <row r="6" spans="1:21" ht="14.45" customHeight="1">
      <c r="A6" s="43"/>
      <c r="B6" s="101" t="s">
        <v>4</v>
      </c>
      <c r="C6" s="20"/>
      <c r="D6" s="21"/>
      <c r="E6" s="222" t="s">
        <v>65</v>
      </c>
      <c r="F6" s="223"/>
      <c r="G6" s="223"/>
      <c r="H6" s="224"/>
      <c r="I6" s="60" t="s">
        <v>26</v>
      </c>
      <c r="J6" s="26"/>
      <c r="K6" s="225" t="s">
        <v>33</v>
      </c>
      <c r="L6" s="226"/>
      <c r="M6" s="227"/>
      <c r="N6" s="91" t="s">
        <v>5</v>
      </c>
      <c r="O6" s="210"/>
      <c r="P6" s="211"/>
      <c r="Q6" s="211"/>
      <c r="R6" s="211"/>
      <c r="S6" s="211"/>
      <c r="T6" s="211"/>
      <c r="U6" s="212"/>
    </row>
    <row r="7" spans="1:21" ht="15.75" customHeight="1">
      <c r="A7" s="44"/>
      <c r="B7" s="102" t="s">
        <v>6</v>
      </c>
      <c r="C7" s="22"/>
      <c r="D7" s="23"/>
      <c r="E7" s="228" t="s">
        <v>154</v>
      </c>
      <c r="F7" s="229"/>
      <c r="G7" s="229"/>
      <c r="H7" s="230"/>
      <c r="I7" s="61" t="s">
        <v>28</v>
      </c>
      <c r="J7" s="27"/>
      <c r="K7" s="231" t="s">
        <v>34</v>
      </c>
      <c r="L7" s="232"/>
      <c r="M7" s="233"/>
      <c r="N7" s="92">
        <f>COUNTIF(H14:H14,"LONG")+COUNTIF(H14:H14,"LONG RAW")</f>
        <v>0</v>
      </c>
      <c r="O7" s="210"/>
      <c r="P7" s="211"/>
      <c r="Q7" s="211"/>
      <c r="R7" s="211"/>
      <c r="S7" s="211"/>
      <c r="T7" s="211"/>
      <c r="U7" s="212"/>
    </row>
    <row r="8" spans="1:21" ht="14.45" customHeight="1">
      <c r="A8" s="45"/>
      <c r="B8" s="22" t="s">
        <v>7</v>
      </c>
      <c r="C8" s="22"/>
      <c r="D8" s="23"/>
      <c r="E8" s="228" t="s">
        <v>622</v>
      </c>
      <c r="F8" s="229"/>
      <c r="G8" s="229"/>
      <c r="H8" s="230"/>
      <c r="I8" s="62"/>
      <c r="J8" s="27"/>
      <c r="K8" s="234"/>
      <c r="L8" s="235"/>
      <c r="M8" s="236"/>
      <c r="N8" s="92"/>
      <c r="O8" s="210"/>
      <c r="P8" s="211"/>
      <c r="Q8" s="211"/>
      <c r="R8" s="211"/>
      <c r="S8" s="211"/>
      <c r="T8" s="211"/>
      <c r="U8" s="212"/>
    </row>
    <row r="9" spans="1:21" ht="14.45" customHeight="1">
      <c r="A9" s="45"/>
      <c r="B9" s="22" t="s">
        <v>8</v>
      </c>
      <c r="C9" s="22"/>
      <c r="D9" s="23"/>
      <c r="E9" s="237" t="s">
        <v>68</v>
      </c>
      <c r="F9" s="238"/>
      <c r="G9" s="238"/>
      <c r="H9" s="239"/>
      <c r="I9" s="61" t="s">
        <v>9</v>
      </c>
      <c r="J9" s="27"/>
      <c r="K9" s="86"/>
      <c r="L9" s="88">
        <f>SUM(N14:N87)</f>
        <v>591</v>
      </c>
      <c r="M9" s="82"/>
      <c r="N9" s="93">
        <f>SUMIF(M14:M14,"■",N14:N14)</f>
        <v>0</v>
      </c>
      <c r="O9" s="210"/>
      <c r="P9" s="211"/>
      <c r="Q9" s="211"/>
      <c r="R9" s="211"/>
      <c r="S9" s="211"/>
      <c r="T9" s="211"/>
      <c r="U9" s="212"/>
    </row>
    <row r="10" spans="1:21" ht="14.45" customHeight="1">
      <c r="A10" s="45"/>
      <c r="B10" s="22" t="s">
        <v>10</v>
      </c>
      <c r="C10" s="22"/>
      <c r="D10" s="23"/>
      <c r="E10" s="219" t="s">
        <v>68</v>
      </c>
      <c r="F10" s="220"/>
      <c r="G10" s="220"/>
      <c r="H10" s="221"/>
      <c r="I10" s="61" t="s">
        <v>11</v>
      </c>
      <c r="J10" s="27"/>
      <c r="K10" s="86"/>
      <c r="L10" s="89">
        <f>E11*L9/1000</f>
        <v>0</v>
      </c>
      <c r="M10" s="82"/>
      <c r="N10" s="55"/>
      <c r="O10" s="210"/>
      <c r="P10" s="211"/>
      <c r="Q10" s="211"/>
      <c r="R10" s="211"/>
      <c r="S10" s="211"/>
      <c r="T10" s="211"/>
      <c r="U10" s="212"/>
    </row>
    <row r="11" spans="1:21" ht="17.25" customHeight="1" thickBot="1">
      <c r="A11" s="46"/>
      <c r="B11" s="24" t="s">
        <v>29</v>
      </c>
      <c r="C11" s="24"/>
      <c r="D11" s="25"/>
      <c r="E11" s="207"/>
      <c r="F11" s="208"/>
      <c r="G11" s="208"/>
      <c r="H11" s="209"/>
      <c r="I11" s="103" t="s">
        <v>12</v>
      </c>
      <c r="J11" s="104"/>
      <c r="K11" s="87"/>
      <c r="L11" s="90"/>
      <c r="M11" s="83"/>
      <c r="N11" s="56"/>
      <c r="O11" s="210"/>
      <c r="P11" s="211"/>
      <c r="Q11" s="211"/>
      <c r="R11" s="211"/>
      <c r="S11" s="211"/>
      <c r="T11" s="211"/>
      <c r="U11" s="212"/>
    </row>
    <row r="12" spans="1:21" ht="15.75" customHeight="1" thickBot="1">
      <c r="A12" s="64"/>
      <c r="B12" s="65"/>
      <c r="C12" s="30"/>
      <c r="D12" s="30"/>
      <c r="E12" s="31"/>
      <c r="F12" s="32"/>
      <c r="G12" s="29"/>
      <c r="H12" s="28"/>
      <c r="I12" s="29"/>
      <c r="J12" s="30" t="s">
        <v>13</v>
      </c>
      <c r="K12" s="31"/>
      <c r="L12" s="66"/>
      <c r="M12" s="48"/>
      <c r="N12" s="57">
        <f>COUNTA(H14:H14)</f>
        <v>1</v>
      </c>
      <c r="O12" s="213"/>
      <c r="P12" s="214"/>
      <c r="Q12" s="214"/>
      <c r="R12" s="214"/>
      <c r="S12" s="214"/>
      <c r="T12" s="214"/>
      <c r="U12" s="21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16" t="s">
        <v>32</v>
      </c>
      <c r="Q13" s="217"/>
      <c r="R13" s="217"/>
      <c r="S13" s="217"/>
      <c r="T13" s="217"/>
      <c r="U13" s="218"/>
    </row>
    <row r="14" spans="1:21" ht="15.75" customHeight="1">
      <c r="A14" s="85" t="s">
        <v>188</v>
      </c>
      <c r="B14" s="37">
        <f t="shared" ref="B14:B45" si="0">ROW()-13</f>
        <v>1</v>
      </c>
      <c r="C14" s="145" t="s">
        <v>195</v>
      </c>
      <c r="D14" s="80"/>
      <c r="E14" s="81"/>
      <c r="F14" s="146" t="s">
        <v>1058</v>
      </c>
      <c r="G14" s="17"/>
      <c r="H14" s="18" t="s">
        <v>49</v>
      </c>
      <c r="I14" s="59"/>
      <c r="J14" s="19">
        <v>1</v>
      </c>
      <c r="K14" s="19"/>
      <c r="L14" s="50" t="s">
        <v>187</v>
      </c>
      <c r="M14" s="73" t="s">
        <v>21</v>
      </c>
      <c r="N14" s="54">
        <f t="shared" ref="N14:N77" si="1">IF(H14="NUMBER",IF(J14&gt;0,INT((J14+1)/2+0.9),0),IF(H14="DATE",7,IF(OR(H14="LONG",H14="LONG RAW"),100000,J14)))</f>
        <v>1</v>
      </c>
      <c r="O14" s="167"/>
      <c r="P14" s="203"/>
      <c r="Q14" s="204"/>
      <c r="R14" s="204"/>
      <c r="S14" s="204"/>
      <c r="T14" s="204"/>
      <c r="U14" s="205"/>
    </row>
    <row r="15" spans="1:21" ht="15.75" customHeight="1">
      <c r="A15" s="85" t="s">
        <v>188</v>
      </c>
      <c r="B15" s="37">
        <f t="shared" si="0"/>
        <v>2</v>
      </c>
      <c r="C15" s="145" t="s">
        <v>196</v>
      </c>
      <c r="D15" s="80"/>
      <c r="E15" s="81"/>
      <c r="F15" s="146" t="s">
        <v>197</v>
      </c>
      <c r="G15" s="17"/>
      <c r="H15" s="18" t="s">
        <v>51</v>
      </c>
      <c r="I15" s="59"/>
      <c r="J15" s="19">
        <v>25</v>
      </c>
      <c r="K15" s="19"/>
      <c r="L15" s="50" t="s">
        <v>187</v>
      </c>
      <c r="M15" s="73" t="s">
        <v>21</v>
      </c>
      <c r="N15" s="54">
        <f t="shared" si="1"/>
        <v>25</v>
      </c>
      <c r="O15" s="167"/>
      <c r="P15" s="203" t="s">
        <v>627</v>
      </c>
      <c r="Q15" s="204"/>
      <c r="R15" s="204"/>
      <c r="S15" s="204"/>
      <c r="T15" s="204"/>
      <c r="U15" s="205"/>
    </row>
    <row r="16" spans="1:21" ht="15.75" customHeight="1">
      <c r="A16" s="85" t="s">
        <v>188</v>
      </c>
      <c r="B16" s="37">
        <f t="shared" si="0"/>
        <v>3</v>
      </c>
      <c r="C16" s="145" t="s">
        <v>198</v>
      </c>
      <c r="D16" s="80"/>
      <c r="E16" s="81"/>
      <c r="F16" s="146" t="s">
        <v>199</v>
      </c>
      <c r="G16" s="17"/>
      <c r="H16" s="18" t="s">
        <v>51</v>
      </c>
      <c r="I16" s="59"/>
      <c r="J16" s="19">
        <v>4</v>
      </c>
      <c r="K16" s="19"/>
      <c r="L16" s="50" t="s">
        <v>187</v>
      </c>
      <c r="M16" s="73" t="s">
        <v>21</v>
      </c>
      <c r="N16" s="54">
        <f t="shared" si="1"/>
        <v>4</v>
      </c>
      <c r="O16" s="167"/>
      <c r="P16" s="203" t="s">
        <v>200</v>
      </c>
      <c r="Q16" s="204"/>
      <c r="R16" s="204"/>
      <c r="S16" s="204"/>
      <c r="T16" s="204"/>
      <c r="U16" s="205"/>
    </row>
    <row r="17" spans="1:21" ht="74.45" customHeight="1">
      <c r="A17" s="85" t="s">
        <v>188</v>
      </c>
      <c r="B17" s="37">
        <f t="shared" si="0"/>
        <v>4</v>
      </c>
      <c r="C17" s="145" t="s">
        <v>201</v>
      </c>
      <c r="D17" s="80"/>
      <c r="E17" s="81"/>
      <c r="F17" s="146" t="s">
        <v>202</v>
      </c>
      <c r="G17" s="17"/>
      <c r="H17" s="18" t="s">
        <v>49</v>
      </c>
      <c r="I17" s="59"/>
      <c r="J17" s="19">
        <v>1</v>
      </c>
      <c r="K17" s="19"/>
      <c r="L17" s="50" t="s">
        <v>187</v>
      </c>
      <c r="M17" s="73" t="s">
        <v>21</v>
      </c>
      <c r="N17" s="54">
        <f t="shared" si="1"/>
        <v>1</v>
      </c>
      <c r="O17" s="167"/>
      <c r="P17" s="206" t="s">
        <v>628</v>
      </c>
      <c r="Q17" s="204"/>
      <c r="R17" s="204"/>
      <c r="S17" s="204"/>
      <c r="T17" s="204"/>
      <c r="U17" s="205"/>
    </row>
    <row r="18" spans="1:21" ht="27.6" customHeight="1">
      <c r="A18" s="85" t="s">
        <v>188</v>
      </c>
      <c r="B18" s="37">
        <f t="shared" si="0"/>
        <v>5</v>
      </c>
      <c r="C18" s="145" t="s">
        <v>204</v>
      </c>
      <c r="D18" s="80"/>
      <c r="E18" s="81"/>
      <c r="F18" s="146" t="s">
        <v>205</v>
      </c>
      <c r="G18" s="17"/>
      <c r="H18" s="18" t="s">
        <v>49</v>
      </c>
      <c r="I18" s="59"/>
      <c r="J18" s="19">
        <v>1</v>
      </c>
      <c r="K18" s="19"/>
      <c r="L18" s="50" t="s">
        <v>187</v>
      </c>
      <c r="M18" s="73" t="s">
        <v>21</v>
      </c>
      <c r="N18" s="54">
        <f t="shared" si="1"/>
        <v>1</v>
      </c>
      <c r="O18" s="167"/>
      <c r="P18" s="206" t="s">
        <v>206</v>
      </c>
      <c r="Q18" s="204"/>
      <c r="R18" s="204"/>
      <c r="S18" s="204"/>
      <c r="T18" s="204"/>
      <c r="U18" s="205"/>
    </row>
    <row r="19" spans="1:21" ht="15.75" customHeight="1">
      <c r="A19" s="85"/>
      <c r="B19" s="37">
        <f t="shared" si="0"/>
        <v>6</v>
      </c>
      <c r="C19" s="145" t="s">
        <v>629</v>
      </c>
      <c r="D19" s="80"/>
      <c r="E19" s="81"/>
      <c r="F19" s="146" t="s">
        <v>630</v>
      </c>
      <c r="G19" s="17"/>
      <c r="H19" s="18" t="s">
        <v>24</v>
      </c>
      <c r="I19" s="59"/>
      <c r="J19" s="19"/>
      <c r="K19" s="19"/>
      <c r="L19" s="50"/>
      <c r="M19" s="73" t="s">
        <v>21</v>
      </c>
      <c r="N19" s="54">
        <f t="shared" si="1"/>
        <v>7</v>
      </c>
      <c r="O19" s="167"/>
      <c r="P19" s="203" t="s">
        <v>631</v>
      </c>
      <c r="Q19" s="204"/>
      <c r="R19" s="204"/>
      <c r="S19" s="204"/>
      <c r="T19" s="204"/>
      <c r="U19" s="205"/>
    </row>
    <row r="20" spans="1:21" ht="15.75" customHeight="1">
      <c r="A20" s="85"/>
      <c r="B20" s="37">
        <f t="shared" si="0"/>
        <v>7</v>
      </c>
      <c r="C20" s="145" t="s">
        <v>632</v>
      </c>
      <c r="D20" s="80"/>
      <c r="E20" s="81"/>
      <c r="F20" s="146" t="s">
        <v>633</v>
      </c>
      <c r="G20" s="17"/>
      <c r="H20" s="18" t="s">
        <v>24</v>
      </c>
      <c r="I20" s="59"/>
      <c r="J20" s="19"/>
      <c r="K20" s="19"/>
      <c r="L20" s="50"/>
      <c r="M20" s="73" t="s">
        <v>21</v>
      </c>
      <c r="N20" s="54">
        <f t="shared" si="1"/>
        <v>7</v>
      </c>
      <c r="O20" s="167"/>
      <c r="P20" s="203"/>
      <c r="Q20" s="204"/>
      <c r="R20" s="204"/>
      <c r="S20" s="204"/>
      <c r="T20" s="204"/>
      <c r="U20" s="205"/>
    </row>
    <row r="21" spans="1:21" ht="15.75" customHeight="1">
      <c r="A21" s="85"/>
      <c r="B21" s="37">
        <f t="shared" si="0"/>
        <v>8</v>
      </c>
      <c r="C21" s="145" t="s">
        <v>634</v>
      </c>
      <c r="D21" s="80"/>
      <c r="E21" s="81"/>
      <c r="F21" s="146" t="s">
        <v>635</v>
      </c>
      <c r="G21" s="17"/>
      <c r="H21" s="18" t="s">
        <v>51</v>
      </c>
      <c r="I21" s="59"/>
      <c r="J21" s="19">
        <v>25</v>
      </c>
      <c r="K21" s="19"/>
      <c r="L21" s="50"/>
      <c r="M21" s="73" t="s">
        <v>21</v>
      </c>
      <c r="N21" s="54">
        <f t="shared" si="1"/>
        <v>25</v>
      </c>
      <c r="O21" s="167"/>
      <c r="P21" s="203" t="s">
        <v>636</v>
      </c>
      <c r="Q21" s="204"/>
      <c r="R21" s="204"/>
      <c r="S21" s="204"/>
      <c r="T21" s="204"/>
      <c r="U21" s="205"/>
    </row>
    <row r="22" spans="1:21" ht="15.75" customHeight="1">
      <c r="A22" s="85"/>
      <c r="B22" s="37">
        <f t="shared" si="0"/>
        <v>9</v>
      </c>
      <c r="C22" s="145" t="s">
        <v>193</v>
      </c>
      <c r="D22" s="80"/>
      <c r="E22" s="81"/>
      <c r="F22" s="146" t="s">
        <v>194</v>
      </c>
      <c r="G22" s="17"/>
      <c r="H22" s="18" t="s">
        <v>49</v>
      </c>
      <c r="I22" s="59"/>
      <c r="J22" s="19">
        <v>12</v>
      </c>
      <c r="K22" s="19"/>
      <c r="L22" s="50" t="s">
        <v>187</v>
      </c>
      <c r="M22" s="73" t="s">
        <v>21</v>
      </c>
      <c r="N22" s="54">
        <f t="shared" si="1"/>
        <v>12</v>
      </c>
      <c r="O22" s="167"/>
      <c r="P22" s="203"/>
      <c r="Q22" s="204"/>
      <c r="R22" s="204"/>
      <c r="S22" s="204"/>
      <c r="T22" s="204"/>
      <c r="U22" s="205"/>
    </row>
    <row r="23" spans="1:21" ht="15.75" customHeight="1">
      <c r="A23" s="85"/>
      <c r="B23" s="37">
        <f t="shared" si="0"/>
        <v>10</v>
      </c>
      <c r="C23" s="145" t="s">
        <v>637</v>
      </c>
      <c r="D23" s="80"/>
      <c r="E23" s="81"/>
      <c r="F23" s="146" t="s">
        <v>638</v>
      </c>
      <c r="G23" s="17"/>
      <c r="H23" s="18" t="s">
        <v>51</v>
      </c>
      <c r="I23" s="59"/>
      <c r="J23" s="19">
        <v>10</v>
      </c>
      <c r="K23" s="19"/>
      <c r="L23" s="50" t="s">
        <v>187</v>
      </c>
      <c r="M23" s="73" t="s">
        <v>21</v>
      </c>
      <c r="N23" s="54">
        <f t="shared" si="1"/>
        <v>10</v>
      </c>
      <c r="O23" s="167"/>
      <c r="P23" s="203" t="s">
        <v>639</v>
      </c>
      <c r="Q23" s="204"/>
      <c r="R23" s="204"/>
      <c r="S23" s="204"/>
      <c r="T23" s="204"/>
      <c r="U23" s="205"/>
    </row>
    <row r="24" spans="1:21" ht="15.75" customHeight="1">
      <c r="A24" s="85"/>
      <c r="B24" s="37">
        <f t="shared" si="0"/>
        <v>11</v>
      </c>
      <c r="C24" s="145" t="s">
        <v>191</v>
      </c>
      <c r="D24" s="80"/>
      <c r="E24" s="81"/>
      <c r="F24" s="146" t="s">
        <v>192</v>
      </c>
      <c r="G24" s="17"/>
      <c r="H24" s="18" t="s">
        <v>49</v>
      </c>
      <c r="I24" s="59"/>
      <c r="J24" s="19">
        <v>2</v>
      </c>
      <c r="K24" s="19"/>
      <c r="L24" s="50" t="s">
        <v>187</v>
      </c>
      <c r="M24" s="73" t="s">
        <v>21</v>
      </c>
      <c r="N24" s="54">
        <f t="shared" si="1"/>
        <v>2</v>
      </c>
      <c r="O24" s="167"/>
      <c r="P24" s="203" t="s">
        <v>640</v>
      </c>
      <c r="Q24" s="204"/>
      <c r="R24" s="204"/>
      <c r="S24" s="204"/>
      <c r="T24" s="204"/>
      <c r="U24" s="205"/>
    </row>
    <row r="25" spans="1:21" ht="15.75" customHeight="1">
      <c r="A25" s="85"/>
      <c r="B25" s="37">
        <f t="shared" si="0"/>
        <v>12</v>
      </c>
      <c r="C25" s="145" t="s">
        <v>354</v>
      </c>
      <c r="D25" s="80"/>
      <c r="E25" s="81"/>
      <c r="F25" s="146" t="s">
        <v>355</v>
      </c>
      <c r="G25" s="17"/>
      <c r="H25" s="18" t="s">
        <v>51</v>
      </c>
      <c r="I25" s="59"/>
      <c r="J25" s="19">
        <v>4</v>
      </c>
      <c r="K25" s="19"/>
      <c r="L25" s="50" t="s">
        <v>187</v>
      </c>
      <c r="M25" s="73" t="s">
        <v>21</v>
      </c>
      <c r="N25" s="54">
        <f t="shared" si="1"/>
        <v>4</v>
      </c>
      <c r="O25" s="167"/>
      <c r="P25" s="203" t="s">
        <v>200</v>
      </c>
      <c r="Q25" s="204"/>
      <c r="R25" s="204"/>
      <c r="S25" s="204"/>
      <c r="T25" s="204"/>
      <c r="U25" s="205"/>
    </row>
    <row r="26" spans="1:21" ht="27.6" customHeight="1">
      <c r="A26" s="85"/>
      <c r="B26" s="37">
        <f t="shared" si="0"/>
        <v>13</v>
      </c>
      <c r="C26" s="145" t="s">
        <v>641</v>
      </c>
      <c r="D26" s="80"/>
      <c r="E26" s="81"/>
      <c r="F26" s="146" t="s">
        <v>642</v>
      </c>
      <c r="G26" s="17"/>
      <c r="H26" s="18" t="s">
        <v>49</v>
      </c>
      <c r="I26" s="59"/>
      <c r="J26" s="19">
        <v>1</v>
      </c>
      <c r="K26" s="19"/>
      <c r="L26" s="50" t="s">
        <v>187</v>
      </c>
      <c r="M26" s="73" t="s">
        <v>21</v>
      </c>
      <c r="N26" s="54">
        <f t="shared" si="1"/>
        <v>1</v>
      </c>
      <c r="O26" s="167"/>
      <c r="P26" s="206" t="s">
        <v>643</v>
      </c>
      <c r="Q26" s="204"/>
      <c r="R26" s="204"/>
      <c r="S26" s="204"/>
      <c r="T26" s="204"/>
      <c r="U26" s="205"/>
    </row>
    <row r="27" spans="1:21" ht="15.75" customHeight="1">
      <c r="A27" s="85"/>
      <c r="B27" s="37">
        <f t="shared" si="0"/>
        <v>14</v>
      </c>
      <c r="C27" s="145" t="s">
        <v>644</v>
      </c>
      <c r="D27" s="80"/>
      <c r="E27" s="81"/>
      <c r="F27" s="146" t="s">
        <v>1060</v>
      </c>
      <c r="G27" s="17"/>
      <c r="H27" s="18" t="s">
        <v>49</v>
      </c>
      <c r="I27" s="59"/>
      <c r="J27" s="19">
        <v>12</v>
      </c>
      <c r="K27" s="19"/>
      <c r="L27" s="50"/>
      <c r="M27" s="73" t="s">
        <v>21</v>
      </c>
      <c r="N27" s="54">
        <f t="shared" si="1"/>
        <v>12</v>
      </c>
      <c r="O27" s="167"/>
      <c r="P27" s="203" t="s">
        <v>645</v>
      </c>
      <c r="Q27" s="204"/>
      <c r="R27" s="204"/>
      <c r="S27" s="204"/>
      <c r="T27" s="204"/>
      <c r="U27" s="205"/>
    </row>
    <row r="28" spans="1:21" ht="15.75" customHeight="1">
      <c r="A28" s="85"/>
      <c r="B28" s="37">
        <f t="shared" si="0"/>
        <v>15</v>
      </c>
      <c r="C28" s="145" t="s">
        <v>646</v>
      </c>
      <c r="D28" s="80"/>
      <c r="E28" s="81"/>
      <c r="F28" s="146" t="s">
        <v>647</v>
      </c>
      <c r="G28" s="17"/>
      <c r="H28" s="18" t="s">
        <v>51</v>
      </c>
      <c r="I28" s="59"/>
      <c r="J28" s="19">
        <v>25</v>
      </c>
      <c r="K28" s="19"/>
      <c r="L28" s="50" t="s">
        <v>187</v>
      </c>
      <c r="M28" s="73" t="s">
        <v>21</v>
      </c>
      <c r="N28" s="54">
        <f t="shared" si="1"/>
        <v>25</v>
      </c>
      <c r="O28" s="167"/>
      <c r="P28" s="203"/>
      <c r="Q28" s="204"/>
      <c r="R28" s="204"/>
      <c r="S28" s="204"/>
      <c r="T28" s="204"/>
      <c r="U28" s="205"/>
    </row>
    <row r="29" spans="1:21" ht="15.75" customHeight="1">
      <c r="A29" s="85"/>
      <c r="B29" s="37">
        <f t="shared" si="0"/>
        <v>16</v>
      </c>
      <c r="C29" s="145" t="s">
        <v>648</v>
      </c>
      <c r="D29" s="80"/>
      <c r="E29" s="81"/>
      <c r="F29" s="146" t="s">
        <v>649</v>
      </c>
      <c r="G29" s="17"/>
      <c r="H29" s="18" t="s">
        <v>51</v>
      </c>
      <c r="I29" s="59"/>
      <c r="J29" s="19">
        <v>4</v>
      </c>
      <c r="K29" s="19"/>
      <c r="L29" s="50" t="s">
        <v>187</v>
      </c>
      <c r="M29" s="73" t="s">
        <v>21</v>
      </c>
      <c r="N29" s="54">
        <f t="shared" si="1"/>
        <v>4</v>
      </c>
      <c r="O29" s="167"/>
      <c r="P29" s="203" t="s">
        <v>200</v>
      </c>
      <c r="Q29" s="204"/>
      <c r="R29" s="204"/>
      <c r="S29" s="204"/>
      <c r="T29" s="204"/>
      <c r="U29" s="205"/>
    </row>
    <row r="30" spans="1:21" ht="62.85" customHeight="1">
      <c r="A30" s="85"/>
      <c r="B30" s="37">
        <f t="shared" si="0"/>
        <v>17</v>
      </c>
      <c r="C30" s="145" t="s">
        <v>650</v>
      </c>
      <c r="D30" s="80"/>
      <c r="E30" s="81"/>
      <c r="F30" s="146" t="s">
        <v>651</v>
      </c>
      <c r="G30" s="17"/>
      <c r="H30" s="18" t="s">
        <v>49</v>
      </c>
      <c r="I30" s="59"/>
      <c r="J30" s="19">
        <v>1</v>
      </c>
      <c r="K30" s="19"/>
      <c r="L30" s="50" t="s">
        <v>187</v>
      </c>
      <c r="M30" s="73" t="s">
        <v>21</v>
      </c>
      <c r="N30" s="54">
        <f t="shared" si="1"/>
        <v>1</v>
      </c>
      <c r="O30" s="167"/>
      <c r="P30" s="206" t="s">
        <v>267</v>
      </c>
      <c r="Q30" s="204"/>
      <c r="R30" s="204"/>
      <c r="S30" s="204"/>
      <c r="T30" s="204"/>
      <c r="U30" s="205"/>
    </row>
    <row r="31" spans="1:21" ht="15.75" customHeight="1">
      <c r="A31" s="85"/>
      <c r="B31" s="37">
        <f t="shared" si="0"/>
        <v>18</v>
      </c>
      <c r="C31" s="145" t="s">
        <v>652</v>
      </c>
      <c r="D31" s="80"/>
      <c r="E31" s="81"/>
      <c r="F31" s="146" t="s">
        <v>653</v>
      </c>
      <c r="G31" s="17"/>
      <c r="H31" s="18" t="s">
        <v>209</v>
      </c>
      <c r="I31" s="59"/>
      <c r="J31" s="19"/>
      <c r="K31" s="19"/>
      <c r="L31" s="50"/>
      <c r="M31" s="73" t="s">
        <v>21</v>
      </c>
      <c r="N31" s="54">
        <f t="shared" si="1"/>
        <v>0</v>
      </c>
      <c r="O31" s="167"/>
      <c r="P31" s="203"/>
      <c r="Q31" s="204"/>
      <c r="R31" s="204"/>
      <c r="S31" s="204"/>
      <c r="T31" s="204"/>
      <c r="U31" s="205"/>
    </row>
    <row r="32" spans="1:21" ht="27.6" customHeight="1">
      <c r="A32" s="85"/>
      <c r="B32" s="37">
        <f t="shared" si="0"/>
        <v>19</v>
      </c>
      <c r="C32" s="145" t="s">
        <v>225</v>
      </c>
      <c r="D32" s="80"/>
      <c r="E32" s="81"/>
      <c r="F32" s="146" t="s">
        <v>226</v>
      </c>
      <c r="G32" s="17"/>
      <c r="H32" s="18" t="s">
        <v>49</v>
      </c>
      <c r="I32" s="59"/>
      <c r="J32" s="19">
        <v>1</v>
      </c>
      <c r="K32" s="19"/>
      <c r="L32" s="50"/>
      <c r="M32" s="73" t="s">
        <v>21</v>
      </c>
      <c r="N32" s="54">
        <f t="shared" si="1"/>
        <v>1</v>
      </c>
      <c r="O32" s="167"/>
      <c r="P32" s="206" t="s">
        <v>227</v>
      </c>
      <c r="Q32" s="204"/>
      <c r="R32" s="204"/>
      <c r="S32" s="204"/>
      <c r="T32" s="204"/>
      <c r="U32" s="205"/>
    </row>
    <row r="33" spans="1:21" ht="15.75" customHeight="1">
      <c r="A33" s="85"/>
      <c r="B33" s="37">
        <f t="shared" si="0"/>
        <v>20</v>
      </c>
      <c r="C33" s="145" t="s">
        <v>654</v>
      </c>
      <c r="D33" s="80"/>
      <c r="E33" s="81"/>
      <c r="F33" s="146" t="s">
        <v>655</v>
      </c>
      <c r="G33" s="17"/>
      <c r="H33" s="18" t="s">
        <v>51</v>
      </c>
      <c r="I33" s="59"/>
      <c r="J33" s="19">
        <v>2</v>
      </c>
      <c r="K33" s="19"/>
      <c r="L33" s="50"/>
      <c r="M33" s="73" t="s">
        <v>21</v>
      </c>
      <c r="N33" s="54">
        <f t="shared" si="1"/>
        <v>2</v>
      </c>
      <c r="O33" s="167"/>
      <c r="P33" s="203" t="s">
        <v>200</v>
      </c>
      <c r="Q33" s="204"/>
      <c r="R33" s="204"/>
      <c r="S33" s="204"/>
      <c r="T33" s="204"/>
      <c r="U33" s="205"/>
    </row>
    <row r="34" spans="1:21" ht="15.75" customHeight="1">
      <c r="A34" s="85"/>
      <c r="B34" s="37">
        <f t="shared" si="0"/>
        <v>21</v>
      </c>
      <c r="C34" s="145" t="s">
        <v>656</v>
      </c>
      <c r="D34" s="80"/>
      <c r="E34" s="81"/>
      <c r="F34" s="146" t="s">
        <v>657</v>
      </c>
      <c r="G34" s="17"/>
      <c r="H34" s="18" t="s">
        <v>51</v>
      </c>
      <c r="I34" s="59"/>
      <c r="J34" s="19">
        <v>100</v>
      </c>
      <c r="K34" s="19"/>
      <c r="L34" s="50"/>
      <c r="M34" s="73" t="s">
        <v>21</v>
      </c>
      <c r="N34" s="54">
        <f t="shared" si="1"/>
        <v>100</v>
      </c>
      <c r="O34" s="167"/>
      <c r="P34" s="203"/>
      <c r="Q34" s="204"/>
      <c r="R34" s="204"/>
      <c r="S34" s="204"/>
      <c r="T34" s="204"/>
      <c r="U34" s="205"/>
    </row>
    <row r="35" spans="1:21" ht="15.75" customHeight="1">
      <c r="A35" s="85"/>
      <c r="B35" s="37">
        <f t="shared" si="0"/>
        <v>22</v>
      </c>
      <c r="C35" s="145" t="s">
        <v>658</v>
      </c>
      <c r="D35" s="80"/>
      <c r="E35" s="81"/>
      <c r="F35" s="146" t="s">
        <v>659</v>
      </c>
      <c r="G35" s="17"/>
      <c r="H35" s="18" t="s">
        <v>51</v>
      </c>
      <c r="I35" s="59"/>
      <c r="J35" s="19">
        <v>2</v>
      </c>
      <c r="K35" s="19"/>
      <c r="L35" s="50"/>
      <c r="M35" s="73" t="s">
        <v>21</v>
      </c>
      <c r="N35" s="54">
        <f t="shared" si="1"/>
        <v>2</v>
      </c>
      <c r="O35" s="167"/>
      <c r="P35" s="203"/>
      <c r="Q35" s="204"/>
      <c r="R35" s="204"/>
      <c r="S35" s="204"/>
      <c r="T35" s="204"/>
      <c r="U35" s="205"/>
    </row>
    <row r="36" spans="1:21" ht="15.75" customHeight="1">
      <c r="A36" s="85"/>
      <c r="B36" s="37">
        <f t="shared" si="0"/>
        <v>23</v>
      </c>
      <c r="C36" s="145" t="s">
        <v>660</v>
      </c>
      <c r="D36" s="80"/>
      <c r="E36" s="81"/>
      <c r="F36" s="146" t="s">
        <v>661</v>
      </c>
      <c r="G36" s="17"/>
      <c r="H36" s="18" t="s">
        <v>51</v>
      </c>
      <c r="I36" s="59"/>
      <c r="J36" s="19">
        <v>4</v>
      </c>
      <c r="K36" s="19"/>
      <c r="L36" s="50"/>
      <c r="M36" s="73" t="s">
        <v>21</v>
      </c>
      <c r="N36" s="54">
        <f t="shared" si="1"/>
        <v>4</v>
      </c>
      <c r="O36" s="167"/>
      <c r="P36" s="203"/>
      <c r="Q36" s="204"/>
      <c r="R36" s="204"/>
      <c r="S36" s="204"/>
      <c r="T36" s="204"/>
      <c r="U36" s="205"/>
    </row>
    <row r="37" spans="1:21" ht="15.75" customHeight="1">
      <c r="A37" s="85"/>
      <c r="B37" s="37">
        <f t="shared" si="0"/>
        <v>24</v>
      </c>
      <c r="C37" s="145" t="s">
        <v>662</v>
      </c>
      <c r="D37" s="80"/>
      <c r="E37" s="81"/>
      <c r="F37" s="146" t="s">
        <v>663</v>
      </c>
      <c r="G37" s="17"/>
      <c r="H37" s="18" t="s">
        <v>51</v>
      </c>
      <c r="I37" s="59"/>
      <c r="J37" s="19">
        <v>2</v>
      </c>
      <c r="K37" s="19"/>
      <c r="L37" s="50"/>
      <c r="M37" s="73" t="s">
        <v>21</v>
      </c>
      <c r="N37" s="54">
        <f t="shared" si="1"/>
        <v>2</v>
      </c>
      <c r="O37" s="167"/>
      <c r="P37" s="203"/>
      <c r="Q37" s="204"/>
      <c r="R37" s="204"/>
      <c r="S37" s="204"/>
      <c r="T37" s="204"/>
      <c r="U37" s="205"/>
    </row>
    <row r="38" spans="1:21" ht="15.75" customHeight="1">
      <c r="A38" s="85"/>
      <c r="B38" s="37">
        <f t="shared" si="0"/>
        <v>25</v>
      </c>
      <c r="C38" s="145" t="s">
        <v>664</v>
      </c>
      <c r="D38" s="80"/>
      <c r="E38" s="81"/>
      <c r="F38" s="146" t="s">
        <v>665</v>
      </c>
      <c r="G38" s="17"/>
      <c r="H38" s="18" t="s">
        <v>51</v>
      </c>
      <c r="I38" s="59"/>
      <c r="J38" s="19">
        <v>6</v>
      </c>
      <c r="K38" s="19"/>
      <c r="L38" s="50"/>
      <c r="M38" s="73" t="s">
        <v>21</v>
      </c>
      <c r="N38" s="54">
        <f t="shared" si="1"/>
        <v>6</v>
      </c>
      <c r="O38" s="167"/>
      <c r="P38" s="203"/>
      <c r="Q38" s="204"/>
      <c r="R38" s="204"/>
      <c r="S38" s="204"/>
      <c r="T38" s="204"/>
      <c r="U38" s="205"/>
    </row>
    <row r="39" spans="1:21" ht="15.75" customHeight="1">
      <c r="A39" s="85"/>
      <c r="B39" s="37">
        <f t="shared" si="0"/>
        <v>26</v>
      </c>
      <c r="C39" s="145" t="s">
        <v>666</v>
      </c>
      <c r="D39" s="80"/>
      <c r="E39" s="81"/>
      <c r="F39" s="146" t="s">
        <v>667</v>
      </c>
      <c r="G39" s="17"/>
      <c r="H39" s="18" t="s">
        <v>51</v>
      </c>
      <c r="I39" s="59"/>
      <c r="J39" s="19">
        <v>6</v>
      </c>
      <c r="K39" s="19"/>
      <c r="L39" s="50"/>
      <c r="M39" s="73" t="s">
        <v>21</v>
      </c>
      <c r="N39" s="54">
        <f t="shared" si="1"/>
        <v>6</v>
      </c>
      <c r="O39" s="167"/>
      <c r="P39" s="203"/>
      <c r="Q39" s="204"/>
      <c r="R39" s="204"/>
      <c r="S39" s="204"/>
      <c r="T39" s="204"/>
      <c r="U39" s="205"/>
    </row>
    <row r="40" spans="1:21" ht="15.75" customHeight="1">
      <c r="A40" s="85"/>
      <c r="B40" s="37">
        <f t="shared" si="0"/>
        <v>27</v>
      </c>
      <c r="C40" s="145" t="s">
        <v>668</v>
      </c>
      <c r="D40" s="80"/>
      <c r="E40" s="81"/>
      <c r="F40" s="146" t="s">
        <v>669</v>
      </c>
      <c r="G40" s="17"/>
      <c r="H40" s="18" t="s">
        <v>51</v>
      </c>
      <c r="I40" s="59"/>
      <c r="J40" s="19">
        <v>4</v>
      </c>
      <c r="K40" s="19"/>
      <c r="L40" s="50"/>
      <c r="M40" s="73" t="s">
        <v>21</v>
      </c>
      <c r="N40" s="54">
        <f t="shared" si="1"/>
        <v>4</v>
      </c>
      <c r="O40" s="167"/>
      <c r="P40" s="203"/>
      <c r="Q40" s="204"/>
      <c r="R40" s="204"/>
      <c r="S40" s="204"/>
      <c r="T40" s="204"/>
      <c r="U40" s="205"/>
    </row>
    <row r="41" spans="1:21" ht="15.75" customHeight="1">
      <c r="A41" s="85"/>
      <c r="B41" s="37">
        <f t="shared" si="0"/>
        <v>28</v>
      </c>
      <c r="C41" s="145" t="s">
        <v>670</v>
      </c>
      <c r="D41" s="80"/>
      <c r="E41" s="81"/>
      <c r="F41" s="146" t="s">
        <v>671</v>
      </c>
      <c r="G41" s="17"/>
      <c r="H41" s="18" t="s">
        <v>51</v>
      </c>
      <c r="I41" s="59"/>
      <c r="J41" s="19">
        <v>20</v>
      </c>
      <c r="K41" s="19"/>
      <c r="L41" s="50"/>
      <c r="M41" s="73" t="s">
        <v>21</v>
      </c>
      <c r="N41" s="54">
        <f t="shared" si="1"/>
        <v>20</v>
      </c>
      <c r="O41" s="167"/>
      <c r="P41" s="203"/>
      <c r="Q41" s="204"/>
      <c r="R41" s="204"/>
      <c r="S41" s="204"/>
      <c r="T41" s="204"/>
      <c r="U41" s="205"/>
    </row>
    <row r="42" spans="1:21" ht="15.75" customHeight="1">
      <c r="A42" s="85"/>
      <c r="B42" s="37">
        <f t="shared" si="0"/>
        <v>29</v>
      </c>
      <c r="C42" s="145" t="s">
        <v>672</v>
      </c>
      <c r="D42" s="80"/>
      <c r="E42" s="81"/>
      <c r="F42" s="146" t="s">
        <v>673</v>
      </c>
      <c r="G42" s="17"/>
      <c r="H42" s="18" t="s">
        <v>51</v>
      </c>
      <c r="I42" s="59"/>
      <c r="J42" s="19">
        <v>2</v>
      </c>
      <c r="K42" s="19"/>
      <c r="L42" s="50"/>
      <c r="M42" s="73" t="s">
        <v>21</v>
      </c>
      <c r="N42" s="54">
        <f t="shared" si="1"/>
        <v>2</v>
      </c>
      <c r="O42" s="167"/>
      <c r="P42" s="203"/>
      <c r="Q42" s="204"/>
      <c r="R42" s="204"/>
      <c r="S42" s="204"/>
      <c r="T42" s="204"/>
      <c r="U42" s="205"/>
    </row>
    <row r="43" spans="1:21" ht="15.75" customHeight="1">
      <c r="A43" s="85"/>
      <c r="B43" s="37">
        <f t="shared" si="0"/>
        <v>30</v>
      </c>
      <c r="C43" s="145" t="s">
        <v>674</v>
      </c>
      <c r="D43" s="80"/>
      <c r="E43" s="81"/>
      <c r="F43" s="146" t="s">
        <v>675</v>
      </c>
      <c r="G43" s="17"/>
      <c r="H43" s="18" t="s">
        <v>51</v>
      </c>
      <c r="I43" s="59"/>
      <c r="J43" s="19">
        <v>2</v>
      </c>
      <c r="K43" s="19"/>
      <c r="L43" s="50"/>
      <c r="M43" s="73" t="s">
        <v>21</v>
      </c>
      <c r="N43" s="54">
        <f t="shared" si="1"/>
        <v>2</v>
      </c>
      <c r="O43" s="167"/>
      <c r="P43" s="203"/>
      <c r="Q43" s="204"/>
      <c r="R43" s="204"/>
      <c r="S43" s="204"/>
      <c r="T43" s="204"/>
      <c r="U43" s="205"/>
    </row>
    <row r="44" spans="1:21" ht="15.75" customHeight="1">
      <c r="A44" s="85"/>
      <c r="B44" s="37">
        <f t="shared" si="0"/>
        <v>31</v>
      </c>
      <c r="C44" s="145" t="s">
        <v>676</v>
      </c>
      <c r="D44" s="80"/>
      <c r="E44" s="81"/>
      <c r="F44" s="146" t="s">
        <v>677</v>
      </c>
      <c r="G44" s="17"/>
      <c r="H44" s="18" t="s">
        <v>51</v>
      </c>
      <c r="I44" s="59"/>
      <c r="J44" s="19">
        <v>4</v>
      </c>
      <c r="K44" s="19"/>
      <c r="L44" s="50"/>
      <c r="M44" s="73" t="s">
        <v>21</v>
      </c>
      <c r="N44" s="54">
        <f t="shared" si="1"/>
        <v>4</v>
      </c>
      <c r="O44" s="167"/>
      <c r="P44" s="203"/>
      <c r="Q44" s="204"/>
      <c r="R44" s="204"/>
      <c r="S44" s="204"/>
      <c r="T44" s="204"/>
      <c r="U44" s="205"/>
    </row>
    <row r="45" spans="1:21" ht="15.75" customHeight="1">
      <c r="A45" s="85"/>
      <c r="B45" s="37">
        <f t="shared" si="0"/>
        <v>32</v>
      </c>
      <c r="C45" s="145" t="s">
        <v>678</v>
      </c>
      <c r="D45" s="80"/>
      <c r="E45" s="81"/>
      <c r="F45" s="146" t="s">
        <v>679</v>
      </c>
      <c r="G45" s="17"/>
      <c r="H45" s="18" t="s">
        <v>49</v>
      </c>
      <c r="I45" s="59"/>
      <c r="J45" s="19">
        <v>4</v>
      </c>
      <c r="K45" s="19"/>
      <c r="L45" s="50"/>
      <c r="M45" s="73" t="s">
        <v>21</v>
      </c>
      <c r="N45" s="54">
        <f t="shared" si="1"/>
        <v>4</v>
      </c>
      <c r="O45" s="167"/>
      <c r="P45" s="203"/>
      <c r="Q45" s="204"/>
      <c r="R45" s="204"/>
      <c r="S45" s="204"/>
      <c r="T45" s="204"/>
      <c r="U45" s="205"/>
    </row>
    <row r="46" spans="1:21" ht="15.75" customHeight="1">
      <c r="A46" s="85"/>
      <c r="B46" s="37">
        <f t="shared" ref="B46:B78" si="2">ROW()-13</f>
        <v>33</v>
      </c>
      <c r="C46" s="145" t="s">
        <v>680</v>
      </c>
      <c r="D46" s="80"/>
      <c r="E46" s="81"/>
      <c r="F46" s="146" t="s">
        <v>681</v>
      </c>
      <c r="G46" s="17"/>
      <c r="H46" s="18" t="s">
        <v>49</v>
      </c>
      <c r="I46" s="59"/>
      <c r="J46" s="19">
        <v>12</v>
      </c>
      <c r="K46" s="19"/>
      <c r="L46" s="50"/>
      <c r="M46" s="73" t="s">
        <v>21</v>
      </c>
      <c r="N46" s="54">
        <f t="shared" si="1"/>
        <v>12</v>
      </c>
      <c r="O46" s="167"/>
      <c r="P46" s="203"/>
      <c r="Q46" s="204"/>
      <c r="R46" s="204"/>
      <c r="S46" s="204"/>
      <c r="T46" s="204"/>
      <c r="U46" s="205"/>
    </row>
    <row r="47" spans="1:21" ht="15.75" customHeight="1">
      <c r="A47" s="85"/>
      <c r="B47" s="37">
        <f t="shared" si="2"/>
        <v>34</v>
      </c>
      <c r="C47" s="145" t="s">
        <v>682</v>
      </c>
      <c r="D47" s="80"/>
      <c r="E47" s="81"/>
      <c r="F47" s="146" t="s">
        <v>683</v>
      </c>
      <c r="G47" s="17"/>
      <c r="H47" s="18" t="s">
        <v>51</v>
      </c>
      <c r="I47" s="59"/>
      <c r="J47" s="19">
        <v>12</v>
      </c>
      <c r="K47" s="19"/>
      <c r="L47" s="50"/>
      <c r="M47" s="73" t="s">
        <v>21</v>
      </c>
      <c r="N47" s="54">
        <f t="shared" si="1"/>
        <v>12</v>
      </c>
      <c r="O47" s="167"/>
      <c r="P47" s="203" t="s">
        <v>684</v>
      </c>
      <c r="Q47" s="204"/>
      <c r="R47" s="204"/>
      <c r="S47" s="204"/>
      <c r="T47" s="204"/>
      <c r="U47" s="205"/>
    </row>
    <row r="48" spans="1:21" ht="15.75" customHeight="1">
      <c r="A48" s="85"/>
      <c r="B48" s="37">
        <f t="shared" si="2"/>
        <v>35</v>
      </c>
      <c r="C48" s="145" t="s">
        <v>685</v>
      </c>
      <c r="D48" s="80"/>
      <c r="E48" s="81"/>
      <c r="F48" s="146" t="s">
        <v>686</v>
      </c>
      <c r="G48" s="17"/>
      <c r="H48" s="18" t="s">
        <v>51</v>
      </c>
      <c r="I48" s="59"/>
      <c r="J48" s="19">
        <v>4</v>
      </c>
      <c r="K48" s="19"/>
      <c r="L48" s="50"/>
      <c r="M48" s="73" t="s">
        <v>21</v>
      </c>
      <c r="N48" s="54">
        <f t="shared" si="1"/>
        <v>4</v>
      </c>
      <c r="O48" s="167"/>
      <c r="P48" s="203"/>
      <c r="Q48" s="204"/>
      <c r="R48" s="204"/>
      <c r="S48" s="204"/>
      <c r="T48" s="204"/>
      <c r="U48" s="205"/>
    </row>
    <row r="49" spans="1:21" ht="15.75" customHeight="1">
      <c r="A49" s="85"/>
      <c r="B49" s="37">
        <f t="shared" si="2"/>
        <v>36</v>
      </c>
      <c r="C49" s="145" t="s">
        <v>687</v>
      </c>
      <c r="D49" s="80"/>
      <c r="E49" s="81"/>
      <c r="F49" s="146" t="s">
        <v>688</v>
      </c>
      <c r="G49" s="17"/>
      <c r="H49" s="18" t="s">
        <v>51</v>
      </c>
      <c r="I49" s="59"/>
      <c r="J49" s="19">
        <v>6</v>
      </c>
      <c r="K49" s="19"/>
      <c r="L49" s="50"/>
      <c r="M49" s="73" t="s">
        <v>21</v>
      </c>
      <c r="N49" s="54">
        <f t="shared" si="1"/>
        <v>6</v>
      </c>
      <c r="O49" s="167"/>
      <c r="P49" s="203"/>
      <c r="Q49" s="204"/>
      <c r="R49" s="204"/>
      <c r="S49" s="204"/>
      <c r="T49" s="204"/>
      <c r="U49" s="205"/>
    </row>
    <row r="50" spans="1:21" ht="15.75" customHeight="1">
      <c r="A50" s="85"/>
      <c r="B50" s="37">
        <f t="shared" si="2"/>
        <v>37</v>
      </c>
      <c r="C50" s="145" t="s">
        <v>689</v>
      </c>
      <c r="D50" s="80"/>
      <c r="E50" s="81"/>
      <c r="F50" s="146" t="s">
        <v>690</v>
      </c>
      <c r="G50" s="17"/>
      <c r="H50" s="18" t="s">
        <v>49</v>
      </c>
      <c r="I50" s="59"/>
      <c r="J50" s="19">
        <v>12</v>
      </c>
      <c r="K50" s="19"/>
      <c r="L50" s="50"/>
      <c r="M50" s="73" t="s">
        <v>21</v>
      </c>
      <c r="N50" s="54">
        <f t="shared" si="1"/>
        <v>12</v>
      </c>
      <c r="O50" s="167"/>
      <c r="P50" s="203"/>
      <c r="Q50" s="204"/>
      <c r="R50" s="204"/>
      <c r="S50" s="204"/>
      <c r="T50" s="204"/>
      <c r="U50" s="205"/>
    </row>
    <row r="51" spans="1:21" ht="15.75" customHeight="1">
      <c r="A51" s="85"/>
      <c r="B51" s="37">
        <f t="shared" si="2"/>
        <v>38</v>
      </c>
      <c r="C51" s="145" t="s">
        <v>691</v>
      </c>
      <c r="D51" s="80"/>
      <c r="E51" s="81"/>
      <c r="F51" s="146" t="s">
        <v>692</v>
      </c>
      <c r="G51" s="17"/>
      <c r="H51" s="18" t="s">
        <v>51</v>
      </c>
      <c r="I51" s="59"/>
      <c r="J51" s="19">
        <v>4</v>
      </c>
      <c r="K51" s="19"/>
      <c r="L51" s="50"/>
      <c r="M51" s="73" t="s">
        <v>21</v>
      </c>
      <c r="N51" s="54">
        <f t="shared" si="1"/>
        <v>4</v>
      </c>
      <c r="O51" s="167"/>
      <c r="P51" s="203"/>
      <c r="Q51" s="204"/>
      <c r="R51" s="204"/>
      <c r="S51" s="204"/>
      <c r="T51" s="204"/>
      <c r="U51" s="205"/>
    </row>
    <row r="52" spans="1:21" ht="15.75" customHeight="1">
      <c r="A52" s="85"/>
      <c r="B52" s="37">
        <f t="shared" si="2"/>
        <v>39</v>
      </c>
      <c r="C52" s="145" t="s">
        <v>693</v>
      </c>
      <c r="D52" s="80"/>
      <c r="E52" s="81"/>
      <c r="F52" s="146" t="s">
        <v>694</v>
      </c>
      <c r="G52" s="17"/>
      <c r="H52" s="18" t="s">
        <v>51</v>
      </c>
      <c r="I52" s="59"/>
      <c r="J52" s="19">
        <v>4</v>
      </c>
      <c r="K52" s="19"/>
      <c r="L52" s="50"/>
      <c r="M52" s="73" t="s">
        <v>21</v>
      </c>
      <c r="N52" s="54">
        <f t="shared" si="1"/>
        <v>4</v>
      </c>
      <c r="O52" s="167"/>
      <c r="P52" s="203"/>
      <c r="Q52" s="204"/>
      <c r="R52" s="204"/>
      <c r="S52" s="204"/>
      <c r="T52" s="204"/>
      <c r="U52" s="205"/>
    </row>
    <row r="53" spans="1:21" ht="15.75" customHeight="1">
      <c r="A53" s="85"/>
      <c r="B53" s="37">
        <f t="shared" si="2"/>
        <v>40</v>
      </c>
      <c r="C53" s="145" t="s">
        <v>695</v>
      </c>
      <c r="D53" s="80"/>
      <c r="E53" s="81"/>
      <c r="F53" s="146" t="s">
        <v>696</v>
      </c>
      <c r="G53" s="17"/>
      <c r="H53" s="18" t="s">
        <v>51</v>
      </c>
      <c r="I53" s="59"/>
      <c r="J53" s="19">
        <v>4</v>
      </c>
      <c r="K53" s="19"/>
      <c r="L53" s="50"/>
      <c r="M53" s="73" t="s">
        <v>21</v>
      </c>
      <c r="N53" s="54">
        <f t="shared" si="1"/>
        <v>4</v>
      </c>
      <c r="O53" s="167"/>
      <c r="P53" s="203"/>
      <c r="Q53" s="204"/>
      <c r="R53" s="204"/>
      <c r="S53" s="204"/>
      <c r="T53" s="204"/>
      <c r="U53" s="205"/>
    </row>
    <row r="54" spans="1:21" ht="15.75" customHeight="1">
      <c r="A54" s="85"/>
      <c r="B54" s="37">
        <f t="shared" si="2"/>
        <v>41</v>
      </c>
      <c r="C54" s="145" t="s">
        <v>697</v>
      </c>
      <c r="D54" s="80"/>
      <c r="E54" s="81"/>
      <c r="F54" s="146" t="s">
        <v>698</v>
      </c>
      <c r="G54" s="17"/>
      <c r="H54" s="18" t="s">
        <v>51</v>
      </c>
      <c r="I54" s="59"/>
      <c r="J54" s="19">
        <v>4</v>
      </c>
      <c r="K54" s="19"/>
      <c r="L54" s="50"/>
      <c r="M54" s="73" t="s">
        <v>21</v>
      </c>
      <c r="N54" s="54">
        <f t="shared" si="1"/>
        <v>4</v>
      </c>
      <c r="O54" s="167"/>
      <c r="P54" s="203"/>
      <c r="Q54" s="204"/>
      <c r="R54" s="204"/>
      <c r="S54" s="204"/>
      <c r="T54" s="204"/>
      <c r="U54" s="205"/>
    </row>
    <row r="55" spans="1:21" ht="15.75" customHeight="1">
      <c r="A55" s="85"/>
      <c r="B55" s="37">
        <f t="shared" si="2"/>
        <v>42</v>
      </c>
      <c r="C55" s="145" t="s">
        <v>699</v>
      </c>
      <c r="D55" s="80"/>
      <c r="E55" s="81"/>
      <c r="F55" s="146" t="s">
        <v>700</v>
      </c>
      <c r="G55" s="17"/>
      <c r="H55" s="18" t="s">
        <v>51</v>
      </c>
      <c r="I55" s="59"/>
      <c r="J55" s="19">
        <v>4</v>
      </c>
      <c r="K55" s="19"/>
      <c r="L55" s="50"/>
      <c r="M55" s="73" t="s">
        <v>21</v>
      </c>
      <c r="N55" s="54">
        <f t="shared" si="1"/>
        <v>4</v>
      </c>
      <c r="O55" s="167"/>
      <c r="P55" s="203"/>
      <c r="Q55" s="204"/>
      <c r="R55" s="204"/>
      <c r="S55" s="204"/>
      <c r="T55" s="204"/>
      <c r="U55" s="205"/>
    </row>
    <row r="56" spans="1:21" ht="15.75" customHeight="1">
      <c r="A56" s="85"/>
      <c r="B56" s="37">
        <f t="shared" si="2"/>
        <v>43</v>
      </c>
      <c r="C56" s="145" t="s">
        <v>701</v>
      </c>
      <c r="D56" s="80"/>
      <c r="E56" s="81"/>
      <c r="F56" s="146" t="s">
        <v>702</v>
      </c>
      <c r="G56" s="17"/>
      <c r="H56" s="18" t="s">
        <v>51</v>
      </c>
      <c r="I56" s="59"/>
      <c r="J56" s="19">
        <v>10</v>
      </c>
      <c r="K56" s="19"/>
      <c r="L56" s="50"/>
      <c r="M56" s="73" t="s">
        <v>21</v>
      </c>
      <c r="N56" s="54">
        <f t="shared" si="1"/>
        <v>10</v>
      </c>
      <c r="O56" s="167"/>
      <c r="P56" s="203"/>
      <c r="Q56" s="204"/>
      <c r="R56" s="204"/>
      <c r="S56" s="204"/>
      <c r="T56" s="204"/>
      <c r="U56" s="205"/>
    </row>
    <row r="57" spans="1:21" ht="15.75" customHeight="1">
      <c r="A57" s="85"/>
      <c r="B57" s="37">
        <f t="shared" si="2"/>
        <v>44</v>
      </c>
      <c r="C57" s="145" t="s">
        <v>703</v>
      </c>
      <c r="D57" s="80"/>
      <c r="E57" s="81"/>
      <c r="F57" s="146" t="s">
        <v>704</v>
      </c>
      <c r="G57" s="17"/>
      <c r="H57" s="18" t="s">
        <v>51</v>
      </c>
      <c r="I57" s="59"/>
      <c r="J57" s="19">
        <v>4</v>
      </c>
      <c r="K57" s="19"/>
      <c r="L57" s="50"/>
      <c r="M57" s="73" t="s">
        <v>21</v>
      </c>
      <c r="N57" s="54">
        <f t="shared" si="1"/>
        <v>4</v>
      </c>
      <c r="O57" s="167"/>
      <c r="P57" s="203"/>
      <c r="Q57" s="204"/>
      <c r="R57" s="204"/>
      <c r="S57" s="204"/>
      <c r="T57" s="204"/>
      <c r="U57" s="205"/>
    </row>
    <row r="58" spans="1:21" ht="15.75" customHeight="1">
      <c r="A58" s="85"/>
      <c r="B58" s="37">
        <f t="shared" si="2"/>
        <v>45</v>
      </c>
      <c r="C58" s="145" t="s">
        <v>705</v>
      </c>
      <c r="D58" s="80"/>
      <c r="E58" s="81"/>
      <c r="F58" s="146" t="s">
        <v>706</v>
      </c>
      <c r="G58" s="17"/>
      <c r="H58" s="18" t="s">
        <v>51</v>
      </c>
      <c r="I58" s="59"/>
      <c r="J58" s="19">
        <v>4</v>
      </c>
      <c r="K58" s="19"/>
      <c r="L58" s="50"/>
      <c r="M58" s="73" t="s">
        <v>21</v>
      </c>
      <c r="N58" s="54">
        <f t="shared" si="1"/>
        <v>4</v>
      </c>
      <c r="O58" s="167"/>
      <c r="P58" s="203"/>
      <c r="Q58" s="204"/>
      <c r="R58" s="204"/>
      <c r="S58" s="204"/>
      <c r="T58" s="204"/>
      <c r="U58" s="205"/>
    </row>
    <row r="59" spans="1:21" ht="15.75" customHeight="1">
      <c r="A59" s="85"/>
      <c r="B59" s="37">
        <f t="shared" si="2"/>
        <v>46</v>
      </c>
      <c r="C59" s="145" t="s">
        <v>707</v>
      </c>
      <c r="D59" s="80"/>
      <c r="E59" s="81"/>
      <c r="F59" s="146" t="s">
        <v>708</v>
      </c>
      <c r="G59" s="17"/>
      <c r="H59" s="18" t="s">
        <v>51</v>
      </c>
      <c r="I59" s="59"/>
      <c r="J59" s="19">
        <v>4</v>
      </c>
      <c r="K59" s="19"/>
      <c r="L59" s="50"/>
      <c r="M59" s="73" t="s">
        <v>21</v>
      </c>
      <c r="N59" s="54">
        <f t="shared" si="1"/>
        <v>4</v>
      </c>
      <c r="O59" s="167"/>
      <c r="P59" s="203"/>
      <c r="Q59" s="204"/>
      <c r="R59" s="204"/>
      <c r="S59" s="204"/>
      <c r="T59" s="204"/>
      <c r="U59" s="205"/>
    </row>
    <row r="60" spans="1:21" ht="15.75" customHeight="1">
      <c r="A60" s="85"/>
      <c r="B60" s="37">
        <f t="shared" si="2"/>
        <v>47</v>
      </c>
      <c r="C60" s="145" t="s">
        <v>709</v>
      </c>
      <c r="D60" s="80"/>
      <c r="E60" s="81"/>
      <c r="F60" s="146" t="s">
        <v>710</v>
      </c>
      <c r="G60" s="17"/>
      <c r="H60" s="18" t="s">
        <v>51</v>
      </c>
      <c r="I60" s="59"/>
      <c r="J60" s="19">
        <v>4</v>
      </c>
      <c r="K60" s="19"/>
      <c r="L60" s="50"/>
      <c r="M60" s="73" t="s">
        <v>21</v>
      </c>
      <c r="N60" s="54">
        <f t="shared" si="1"/>
        <v>4</v>
      </c>
      <c r="O60" s="167"/>
      <c r="P60" s="203"/>
      <c r="Q60" s="204"/>
      <c r="R60" s="204"/>
      <c r="S60" s="204"/>
      <c r="T60" s="204"/>
      <c r="U60" s="205"/>
    </row>
    <row r="61" spans="1:21" ht="15.75" customHeight="1">
      <c r="A61" s="85"/>
      <c r="B61" s="37">
        <f t="shared" si="2"/>
        <v>48</v>
      </c>
      <c r="C61" s="145" t="s">
        <v>711</v>
      </c>
      <c r="D61" s="80"/>
      <c r="E61" s="81"/>
      <c r="F61" s="146" t="s">
        <v>712</v>
      </c>
      <c r="G61" s="17"/>
      <c r="H61" s="18" t="s">
        <v>51</v>
      </c>
      <c r="I61" s="59"/>
      <c r="J61" s="19">
        <v>4</v>
      </c>
      <c r="K61" s="19"/>
      <c r="L61" s="50"/>
      <c r="M61" s="73" t="s">
        <v>21</v>
      </c>
      <c r="N61" s="54">
        <f t="shared" si="1"/>
        <v>4</v>
      </c>
      <c r="O61" s="167"/>
      <c r="P61" s="203"/>
      <c r="Q61" s="204"/>
      <c r="R61" s="204"/>
      <c r="S61" s="204"/>
      <c r="T61" s="204"/>
      <c r="U61" s="205"/>
    </row>
    <row r="62" spans="1:21" ht="15.75" customHeight="1">
      <c r="A62" s="85"/>
      <c r="B62" s="37">
        <f t="shared" si="2"/>
        <v>49</v>
      </c>
      <c r="C62" s="145" t="s">
        <v>713</v>
      </c>
      <c r="D62" s="80"/>
      <c r="E62" s="81"/>
      <c r="F62" s="146" t="s">
        <v>714</v>
      </c>
      <c r="G62" s="17"/>
      <c r="H62" s="18" t="s">
        <v>49</v>
      </c>
      <c r="I62" s="59"/>
      <c r="J62" s="19">
        <v>12</v>
      </c>
      <c r="K62" s="19"/>
      <c r="L62" s="50"/>
      <c r="M62" s="73" t="s">
        <v>21</v>
      </c>
      <c r="N62" s="54">
        <f t="shared" si="1"/>
        <v>12</v>
      </c>
      <c r="O62" s="167"/>
      <c r="P62" s="203"/>
      <c r="Q62" s="204"/>
      <c r="R62" s="204"/>
      <c r="S62" s="204"/>
      <c r="T62" s="204"/>
      <c r="U62" s="205"/>
    </row>
    <row r="63" spans="1:21" ht="15.75" customHeight="1">
      <c r="A63" s="85"/>
      <c r="B63" s="37">
        <f t="shared" si="2"/>
        <v>50</v>
      </c>
      <c r="C63" s="145" t="s">
        <v>715</v>
      </c>
      <c r="D63" s="80"/>
      <c r="E63" s="81"/>
      <c r="F63" s="146" t="s">
        <v>716</v>
      </c>
      <c r="G63" s="17"/>
      <c r="H63" s="18" t="s">
        <v>51</v>
      </c>
      <c r="I63" s="59"/>
      <c r="J63" s="19">
        <v>4</v>
      </c>
      <c r="K63" s="19"/>
      <c r="L63" s="50"/>
      <c r="M63" s="73" t="s">
        <v>21</v>
      </c>
      <c r="N63" s="54">
        <f t="shared" si="1"/>
        <v>4</v>
      </c>
      <c r="O63" s="167"/>
      <c r="P63" s="203"/>
      <c r="Q63" s="204"/>
      <c r="R63" s="204"/>
      <c r="S63" s="204"/>
      <c r="T63" s="204"/>
      <c r="U63" s="205"/>
    </row>
    <row r="64" spans="1:21" ht="15.75" customHeight="1">
      <c r="A64" s="85"/>
      <c r="B64" s="37">
        <f t="shared" si="2"/>
        <v>51</v>
      </c>
      <c r="C64" s="145" t="s">
        <v>717</v>
      </c>
      <c r="D64" s="80"/>
      <c r="E64" s="81"/>
      <c r="F64" s="146" t="s">
        <v>718</v>
      </c>
      <c r="G64" s="17"/>
      <c r="H64" s="18" t="s">
        <v>51</v>
      </c>
      <c r="I64" s="59"/>
      <c r="J64" s="19">
        <v>10</v>
      </c>
      <c r="K64" s="19"/>
      <c r="L64" s="50"/>
      <c r="M64" s="73" t="s">
        <v>21</v>
      </c>
      <c r="N64" s="54">
        <f t="shared" si="1"/>
        <v>10</v>
      </c>
      <c r="O64" s="167"/>
      <c r="P64" s="203"/>
      <c r="Q64" s="204"/>
      <c r="R64" s="204"/>
      <c r="S64" s="204"/>
      <c r="T64" s="204"/>
      <c r="U64" s="205"/>
    </row>
    <row r="65" spans="1:21" ht="15.75" customHeight="1">
      <c r="A65" s="85"/>
      <c r="B65" s="37">
        <f t="shared" si="2"/>
        <v>52</v>
      </c>
      <c r="C65" s="145" t="s">
        <v>719</v>
      </c>
      <c r="D65" s="80"/>
      <c r="E65" s="81"/>
      <c r="F65" s="146" t="s">
        <v>720</v>
      </c>
      <c r="G65" s="17"/>
      <c r="H65" s="18" t="s">
        <v>51</v>
      </c>
      <c r="I65" s="59"/>
      <c r="J65" s="19">
        <v>12</v>
      </c>
      <c r="K65" s="19"/>
      <c r="L65" s="50"/>
      <c r="M65" s="73" t="s">
        <v>21</v>
      </c>
      <c r="N65" s="54">
        <f t="shared" si="1"/>
        <v>12</v>
      </c>
      <c r="O65" s="167"/>
      <c r="P65" s="203"/>
      <c r="Q65" s="204"/>
      <c r="R65" s="204"/>
      <c r="S65" s="204"/>
      <c r="T65" s="204"/>
      <c r="U65" s="205"/>
    </row>
    <row r="66" spans="1:21" ht="15.75" customHeight="1">
      <c r="A66" s="85"/>
      <c r="B66" s="37">
        <f t="shared" si="2"/>
        <v>53</v>
      </c>
      <c r="C66" s="145" t="s">
        <v>721</v>
      </c>
      <c r="D66" s="80"/>
      <c r="E66" s="81"/>
      <c r="F66" s="146" t="s">
        <v>722</v>
      </c>
      <c r="G66" s="17"/>
      <c r="H66" s="18" t="s">
        <v>51</v>
      </c>
      <c r="I66" s="59"/>
      <c r="J66" s="19">
        <v>4</v>
      </c>
      <c r="K66" s="19"/>
      <c r="L66" s="50"/>
      <c r="M66" s="73" t="s">
        <v>21</v>
      </c>
      <c r="N66" s="54">
        <f t="shared" si="1"/>
        <v>4</v>
      </c>
      <c r="O66" s="167"/>
      <c r="P66" s="203"/>
      <c r="Q66" s="204"/>
      <c r="R66" s="204"/>
      <c r="S66" s="204"/>
      <c r="T66" s="204"/>
      <c r="U66" s="205"/>
    </row>
    <row r="67" spans="1:21" ht="15.75" customHeight="1">
      <c r="A67" s="85"/>
      <c r="B67" s="37">
        <f t="shared" si="2"/>
        <v>54</v>
      </c>
      <c r="C67" s="145" t="s">
        <v>723</v>
      </c>
      <c r="D67" s="80"/>
      <c r="E67" s="81"/>
      <c r="F67" s="146" t="s">
        <v>724</v>
      </c>
      <c r="G67" s="17"/>
      <c r="H67" s="18" t="s">
        <v>209</v>
      </c>
      <c r="I67" s="59"/>
      <c r="J67" s="19"/>
      <c r="K67" s="19"/>
      <c r="L67" s="50"/>
      <c r="M67" s="73" t="s">
        <v>21</v>
      </c>
      <c r="N67" s="54">
        <f t="shared" si="1"/>
        <v>0</v>
      </c>
      <c r="O67" s="167"/>
      <c r="P67" s="203"/>
      <c r="Q67" s="204"/>
      <c r="R67" s="204"/>
      <c r="S67" s="204"/>
      <c r="T67" s="204"/>
      <c r="U67" s="205"/>
    </row>
    <row r="68" spans="1:21" ht="15.75" customHeight="1">
      <c r="A68" s="85"/>
      <c r="B68" s="37">
        <f t="shared" si="2"/>
        <v>55</v>
      </c>
      <c r="C68" s="145" t="s">
        <v>725</v>
      </c>
      <c r="D68" s="80"/>
      <c r="E68" s="81"/>
      <c r="F68" s="146" t="s">
        <v>726</v>
      </c>
      <c r="G68" s="17"/>
      <c r="H68" s="18" t="s">
        <v>49</v>
      </c>
      <c r="I68" s="59"/>
      <c r="J68" s="19">
        <v>1</v>
      </c>
      <c r="K68" s="19"/>
      <c r="L68" s="50"/>
      <c r="M68" s="73" t="s">
        <v>21</v>
      </c>
      <c r="N68" s="54">
        <f t="shared" si="1"/>
        <v>1</v>
      </c>
      <c r="O68" s="167"/>
      <c r="P68" s="203"/>
      <c r="Q68" s="204"/>
      <c r="R68" s="204"/>
      <c r="S68" s="204"/>
      <c r="T68" s="204"/>
      <c r="U68" s="205"/>
    </row>
    <row r="69" spans="1:21" ht="15.75" customHeight="1">
      <c r="A69" s="85"/>
      <c r="B69" s="37">
        <f t="shared" si="2"/>
        <v>56</v>
      </c>
      <c r="C69" s="145" t="s">
        <v>727</v>
      </c>
      <c r="D69" s="80"/>
      <c r="E69" s="81"/>
      <c r="F69" s="146" t="s">
        <v>728</v>
      </c>
      <c r="G69" s="17"/>
      <c r="H69" s="18" t="s">
        <v>49</v>
      </c>
      <c r="I69" s="59"/>
      <c r="J69" s="19">
        <v>1</v>
      </c>
      <c r="K69" s="19"/>
      <c r="L69" s="50"/>
      <c r="M69" s="73" t="s">
        <v>21</v>
      </c>
      <c r="N69" s="54">
        <f t="shared" si="1"/>
        <v>1</v>
      </c>
      <c r="O69" s="167"/>
      <c r="P69" s="203"/>
      <c r="Q69" s="204"/>
      <c r="R69" s="204"/>
      <c r="S69" s="204"/>
      <c r="T69" s="204"/>
      <c r="U69" s="205"/>
    </row>
    <row r="70" spans="1:21" ht="15.75" customHeight="1">
      <c r="A70" s="85"/>
      <c r="B70" s="37">
        <f t="shared" si="2"/>
        <v>57</v>
      </c>
      <c r="C70" s="145" t="s">
        <v>729</v>
      </c>
      <c r="D70" s="80"/>
      <c r="E70" s="81"/>
      <c r="F70" s="146" t="s">
        <v>730</v>
      </c>
      <c r="G70" s="17"/>
      <c r="H70" s="18" t="s">
        <v>51</v>
      </c>
      <c r="I70" s="59"/>
      <c r="J70" s="19">
        <v>2</v>
      </c>
      <c r="K70" s="19"/>
      <c r="L70" s="50"/>
      <c r="M70" s="73" t="s">
        <v>21</v>
      </c>
      <c r="N70" s="54">
        <f t="shared" si="1"/>
        <v>2</v>
      </c>
      <c r="O70" s="167"/>
      <c r="P70" s="203"/>
      <c r="Q70" s="204"/>
      <c r="R70" s="204"/>
      <c r="S70" s="204"/>
      <c r="T70" s="204"/>
      <c r="U70" s="205"/>
    </row>
    <row r="71" spans="1:21" ht="15.75" customHeight="1">
      <c r="A71" s="85"/>
      <c r="B71" s="37">
        <f t="shared" si="2"/>
        <v>58</v>
      </c>
      <c r="C71" s="145" t="s">
        <v>731</v>
      </c>
      <c r="D71" s="80"/>
      <c r="E71" s="81"/>
      <c r="F71" s="146" t="s">
        <v>732</v>
      </c>
      <c r="G71" s="17"/>
      <c r="H71" s="18" t="s">
        <v>51</v>
      </c>
      <c r="I71" s="59"/>
      <c r="J71" s="19">
        <v>2</v>
      </c>
      <c r="K71" s="19"/>
      <c r="L71" s="50"/>
      <c r="M71" s="73" t="s">
        <v>21</v>
      </c>
      <c r="N71" s="54">
        <f t="shared" si="1"/>
        <v>2</v>
      </c>
      <c r="O71" s="167"/>
      <c r="P71" s="203"/>
      <c r="Q71" s="204"/>
      <c r="R71" s="204"/>
      <c r="S71" s="204"/>
      <c r="T71" s="204"/>
      <c r="U71" s="205"/>
    </row>
    <row r="72" spans="1:21" ht="15.75" customHeight="1">
      <c r="A72" s="85"/>
      <c r="B72" s="37">
        <f t="shared" si="2"/>
        <v>59</v>
      </c>
      <c r="C72" s="145" t="s">
        <v>733</v>
      </c>
      <c r="D72" s="80"/>
      <c r="E72" s="81"/>
      <c r="F72" s="146" t="s">
        <v>734</v>
      </c>
      <c r="G72" s="17"/>
      <c r="H72" s="18" t="s">
        <v>51</v>
      </c>
      <c r="I72" s="59"/>
      <c r="J72" s="19">
        <v>4</v>
      </c>
      <c r="K72" s="19"/>
      <c r="L72" s="50"/>
      <c r="M72" s="73" t="s">
        <v>21</v>
      </c>
      <c r="N72" s="54">
        <f t="shared" si="1"/>
        <v>4</v>
      </c>
      <c r="O72" s="167"/>
      <c r="P72" s="203"/>
      <c r="Q72" s="204"/>
      <c r="R72" s="204"/>
      <c r="S72" s="204"/>
      <c r="T72" s="204"/>
      <c r="U72" s="205"/>
    </row>
    <row r="73" spans="1:21" ht="15.75" customHeight="1">
      <c r="A73" s="85"/>
      <c r="B73" s="37">
        <f t="shared" si="2"/>
        <v>60</v>
      </c>
      <c r="C73" s="145" t="s">
        <v>735</v>
      </c>
      <c r="D73" s="80"/>
      <c r="E73" s="81"/>
      <c r="F73" s="146" t="s">
        <v>736</v>
      </c>
      <c r="G73" s="17"/>
      <c r="H73" s="18" t="s">
        <v>51</v>
      </c>
      <c r="I73" s="59"/>
      <c r="J73" s="19">
        <v>2</v>
      </c>
      <c r="K73" s="19"/>
      <c r="L73" s="50"/>
      <c r="M73" s="73" t="s">
        <v>21</v>
      </c>
      <c r="N73" s="54">
        <f t="shared" si="1"/>
        <v>2</v>
      </c>
      <c r="O73" s="167"/>
      <c r="P73" s="203"/>
      <c r="Q73" s="204"/>
      <c r="R73" s="204"/>
      <c r="S73" s="204"/>
      <c r="T73" s="204"/>
      <c r="U73" s="205"/>
    </row>
    <row r="74" spans="1:21" ht="15.75" customHeight="1">
      <c r="A74" s="85"/>
      <c r="B74" s="37">
        <f t="shared" si="2"/>
        <v>61</v>
      </c>
      <c r="C74" s="145" t="s">
        <v>737</v>
      </c>
      <c r="D74" s="80"/>
      <c r="E74" s="81"/>
      <c r="F74" s="146" t="s">
        <v>738</v>
      </c>
      <c r="G74" s="17"/>
      <c r="H74" s="18" t="s">
        <v>49</v>
      </c>
      <c r="I74" s="59"/>
      <c r="J74" s="19">
        <v>12</v>
      </c>
      <c r="K74" s="19"/>
      <c r="L74" s="50"/>
      <c r="M74" s="73" t="s">
        <v>21</v>
      </c>
      <c r="N74" s="54">
        <f t="shared" si="1"/>
        <v>12</v>
      </c>
      <c r="O74" s="167"/>
      <c r="P74" s="203"/>
      <c r="Q74" s="204"/>
      <c r="R74" s="204"/>
      <c r="S74" s="204"/>
      <c r="T74" s="204"/>
      <c r="U74" s="205"/>
    </row>
    <row r="75" spans="1:21" ht="15.75" customHeight="1">
      <c r="A75" s="85"/>
      <c r="B75" s="37">
        <f t="shared" si="2"/>
        <v>62</v>
      </c>
      <c r="C75" s="145" t="s">
        <v>739</v>
      </c>
      <c r="D75" s="80"/>
      <c r="E75" s="81"/>
      <c r="F75" s="146" t="s">
        <v>740</v>
      </c>
      <c r="G75" s="17"/>
      <c r="H75" s="18" t="s">
        <v>51</v>
      </c>
      <c r="I75" s="59"/>
      <c r="J75" s="19">
        <v>2</v>
      </c>
      <c r="K75" s="19"/>
      <c r="L75" s="50"/>
      <c r="M75" s="73" t="s">
        <v>21</v>
      </c>
      <c r="N75" s="54">
        <f t="shared" si="1"/>
        <v>2</v>
      </c>
      <c r="O75" s="167"/>
      <c r="P75" s="203"/>
      <c r="Q75" s="204"/>
      <c r="R75" s="204"/>
      <c r="S75" s="204"/>
      <c r="T75" s="204"/>
      <c r="U75" s="205"/>
    </row>
    <row r="76" spans="1:21" ht="15.75" customHeight="1">
      <c r="A76" s="85"/>
      <c r="B76" s="37">
        <f t="shared" si="2"/>
        <v>63</v>
      </c>
      <c r="C76" s="145" t="s">
        <v>741</v>
      </c>
      <c r="D76" s="80"/>
      <c r="E76" s="81"/>
      <c r="F76" s="146" t="s">
        <v>742</v>
      </c>
      <c r="G76" s="17"/>
      <c r="H76" s="18" t="s">
        <v>51</v>
      </c>
      <c r="I76" s="59"/>
      <c r="J76" s="19">
        <v>4</v>
      </c>
      <c r="K76" s="19"/>
      <c r="L76" s="50"/>
      <c r="M76" s="73" t="s">
        <v>21</v>
      </c>
      <c r="N76" s="54">
        <f t="shared" si="1"/>
        <v>4</v>
      </c>
      <c r="O76" s="167"/>
      <c r="P76" s="203"/>
      <c r="Q76" s="204"/>
      <c r="R76" s="204"/>
      <c r="S76" s="204"/>
      <c r="T76" s="204"/>
      <c r="U76" s="205"/>
    </row>
    <row r="77" spans="1:21" ht="27.6" customHeight="1">
      <c r="A77" s="85"/>
      <c r="B77" s="37">
        <f t="shared" si="2"/>
        <v>64</v>
      </c>
      <c r="C77" s="145" t="s">
        <v>743</v>
      </c>
      <c r="D77" s="80"/>
      <c r="E77" s="81"/>
      <c r="F77" s="146" t="s">
        <v>744</v>
      </c>
      <c r="G77" s="17"/>
      <c r="H77" s="18" t="s">
        <v>51</v>
      </c>
      <c r="I77" s="59"/>
      <c r="J77" s="19">
        <v>20</v>
      </c>
      <c r="K77" s="19"/>
      <c r="L77" s="50"/>
      <c r="M77" s="73" t="s">
        <v>21</v>
      </c>
      <c r="N77" s="54">
        <f t="shared" si="1"/>
        <v>20</v>
      </c>
      <c r="O77" s="167"/>
      <c r="P77" s="206" t="s">
        <v>745</v>
      </c>
      <c r="Q77" s="204"/>
      <c r="R77" s="204"/>
      <c r="S77" s="204"/>
      <c r="T77" s="204"/>
      <c r="U77" s="205"/>
    </row>
    <row r="78" spans="1:21" ht="15.75" customHeight="1">
      <c r="A78" s="85"/>
      <c r="B78" s="37">
        <f t="shared" si="2"/>
        <v>65</v>
      </c>
      <c r="C78" s="145" t="s">
        <v>293</v>
      </c>
      <c r="D78" s="80"/>
      <c r="E78" s="81"/>
      <c r="F78" s="146" t="s">
        <v>294</v>
      </c>
      <c r="G78" s="17"/>
      <c r="H78" s="18" t="s">
        <v>51</v>
      </c>
      <c r="I78" s="59"/>
      <c r="J78" s="19">
        <v>50</v>
      </c>
      <c r="K78" s="19"/>
      <c r="L78" s="50"/>
      <c r="M78" s="73" t="s">
        <v>21</v>
      </c>
      <c r="N78" s="54">
        <f t="shared" ref="N78:N85" si="3">IF(H78="NUMBER",IF(J78&gt;0,INT((J78+1)/2+0.9),0),IF(H78="DATE",7,IF(OR(H78="LONG",H78="LONG RAW"),100000,J78)))</f>
        <v>50</v>
      </c>
      <c r="O78" s="167"/>
      <c r="P78" s="203"/>
      <c r="Q78" s="204"/>
      <c r="R78" s="204"/>
      <c r="S78" s="204"/>
      <c r="T78" s="204"/>
      <c r="U78" s="205"/>
    </row>
    <row r="79" spans="1:21" ht="15.75">
      <c r="A79" s="85"/>
      <c r="B79" s="37">
        <f t="shared" ref="B79:B85" si="4">ROW()-13</f>
        <v>66</v>
      </c>
      <c r="C79" s="107" t="s">
        <v>36</v>
      </c>
      <c r="D79" s="107"/>
      <c r="E79" s="108"/>
      <c r="F79" s="109" t="s">
        <v>78</v>
      </c>
      <c r="G79" s="110"/>
      <c r="H79" s="18" t="s">
        <v>51</v>
      </c>
      <c r="I79" s="59"/>
      <c r="J79" s="113">
        <v>12</v>
      </c>
      <c r="K79" s="113"/>
      <c r="L79" s="114"/>
      <c r="M79" s="115" t="s">
        <v>35</v>
      </c>
      <c r="N79" s="116">
        <f t="shared" si="3"/>
        <v>12</v>
      </c>
      <c r="O79" s="168"/>
      <c r="P79" s="200"/>
      <c r="Q79" s="201"/>
      <c r="R79" s="201"/>
      <c r="S79" s="201"/>
      <c r="T79" s="201"/>
      <c r="U79" s="202"/>
    </row>
    <row r="80" spans="1:21" ht="15.75">
      <c r="A80" s="85"/>
      <c r="B80" s="37">
        <f t="shared" si="4"/>
        <v>67</v>
      </c>
      <c r="C80" s="107" t="s">
        <v>37</v>
      </c>
      <c r="D80" s="107"/>
      <c r="E80" s="108"/>
      <c r="F80" s="109" t="s">
        <v>43</v>
      </c>
      <c r="G80" s="110"/>
      <c r="H80" s="18" t="s">
        <v>51</v>
      </c>
      <c r="I80" s="59"/>
      <c r="J80" s="113">
        <v>10</v>
      </c>
      <c r="K80" s="113"/>
      <c r="L80" s="114"/>
      <c r="M80" s="115" t="s">
        <v>21</v>
      </c>
      <c r="N80" s="116">
        <f t="shared" si="3"/>
        <v>10</v>
      </c>
      <c r="O80" s="168"/>
      <c r="P80" s="200"/>
      <c r="Q80" s="201"/>
      <c r="R80" s="201"/>
      <c r="S80" s="201"/>
      <c r="T80" s="201"/>
      <c r="U80" s="202"/>
    </row>
    <row r="81" spans="1:21" ht="15.75">
      <c r="A81" s="85"/>
      <c r="B81" s="37">
        <f t="shared" si="4"/>
        <v>68</v>
      </c>
      <c r="C81" s="107" t="s">
        <v>38</v>
      </c>
      <c r="D81" s="107"/>
      <c r="E81" s="108"/>
      <c r="F81" s="109" t="s">
        <v>80</v>
      </c>
      <c r="G81" s="110"/>
      <c r="H81" s="18" t="s">
        <v>86</v>
      </c>
      <c r="I81" s="59"/>
      <c r="J81" s="113"/>
      <c r="K81" s="113"/>
      <c r="L81" s="114"/>
      <c r="M81" s="115" t="s">
        <v>21</v>
      </c>
      <c r="N81" s="116">
        <f t="shared" si="3"/>
        <v>0</v>
      </c>
      <c r="O81" s="168"/>
      <c r="P81" s="200"/>
      <c r="Q81" s="201"/>
      <c r="R81" s="201"/>
      <c r="S81" s="201"/>
      <c r="T81" s="201"/>
      <c r="U81" s="202"/>
    </row>
    <row r="82" spans="1:21" ht="15.75">
      <c r="A82" s="85"/>
      <c r="B82" s="37">
        <f t="shared" si="4"/>
        <v>69</v>
      </c>
      <c r="C82" s="107" t="s">
        <v>39</v>
      </c>
      <c r="D82" s="107"/>
      <c r="E82" s="108"/>
      <c r="F82" s="109" t="s">
        <v>79</v>
      </c>
      <c r="G82" s="110"/>
      <c r="H82" s="18" t="s">
        <v>51</v>
      </c>
      <c r="I82" s="59"/>
      <c r="J82" s="113">
        <v>12</v>
      </c>
      <c r="K82" s="113"/>
      <c r="L82" s="114"/>
      <c r="M82" s="115" t="s">
        <v>35</v>
      </c>
      <c r="N82" s="116">
        <f t="shared" si="3"/>
        <v>12</v>
      </c>
      <c r="O82" s="168"/>
      <c r="P82" s="200"/>
      <c r="Q82" s="201"/>
      <c r="R82" s="201"/>
      <c r="S82" s="201"/>
      <c r="T82" s="201"/>
      <c r="U82" s="202"/>
    </row>
    <row r="83" spans="1:21" ht="15.75">
      <c r="A83" s="85"/>
      <c r="B83" s="37">
        <f t="shared" si="4"/>
        <v>70</v>
      </c>
      <c r="C83" s="107" t="s">
        <v>40</v>
      </c>
      <c r="D83" s="107"/>
      <c r="E83" s="108"/>
      <c r="F83" s="109" t="s">
        <v>44</v>
      </c>
      <c r="G83" s="110"/>
      <c r="H83" s="18" t="s">
        <v>51</v>
      </c>
      <c r="I83" s="59"/>
      <c r="J83" s="113">
        <v>10</v>
      </c>
      <c r="K83" s="113"/>
      <c r="L83" s="114"/>
      <c r="M83" s="115" t="s">
        <v>21</v>
      </c>
      <c r="N83" s="116">
        <f t="shared" si="3"/>
        <v>10</v>
      </c>
      <c r="O83" s="168"/>
      <c r="P83" s="200"/>
      <c r="Q83" s="201"/>
      <c r="R83" s="201"/>
      <c r="S83" s="201"/>
      <c r="T83" s="201"/>
      <c r="U83" s="202"/>
    </row>
    <row r="84" spans="1:21" ht="15.75">
      <c r="A84" s="85"/>
      <c r="B84" s="37">
        <f t="shared" si="4"/>
        <v>71</v>
      </c>
      <c r="C84" s="107" t="s">
        <v>41</v>
      </c>
      <c r="D84" s="107"/>
      <c r="E84" s="108"/>
      <c r="F84" s="109" t="s">
        <v>81</v>
      </c>
      <c r="G84" s="110"/>
      <c r="H84" s="18" t="s">
        <v>86</v>
      </c>
      <c r="I84" s="59"/>
      <c r="J84" s="113"/>
      <c r="K84" s="113"/>
      <c r="L84" s="114"/>
      <c r="M84" s="115" t="s">
        <v>21</v>
      </c>
      <c r="N84" s="116">
        <f t="shared" si="3"/>
        <v>0</v>
      </c>
      <c r="O84" s="168"/>
      <c r="P84" s="200"/>
      <c r="Q84" s="201"/>
      <c r="R84" s="201"/>
      <c r="S84" s="201"/>
      <c r="T84" s="201"/>
      <c r="U84" s="202"/>
    </row>
    <row r="85" spans="1:21" ht="15.75">
      <c r="A85" s="85"/>
      <c r="B85" s="37">
        <f t="shared" si="4"/>
        <v>72</v>
      </c>
      <c r="C85" s="80" t="s">
        <v>46</v>
      </c>
      <c r="D85" s="80"/>
      <c r="E85" s="81"/>
      <c r="F85" s="84" t="s">
        <v>71</v>
      </c>
      <c r="G85" s="17"/>
      <c r="H85" s="18" t="s">
        <v>62</v>
      </c>
      <c r="I85" s="59"/>
      <c r="J85" s="19">
        <v>8</v>
      </c>
      <c r="K85" s="19"/>
      <c r="L85" s="50" t="s">
        <v>47</v>
      </c>
      <c r="M85" s="73" t="s">
        <v>35</v>
      </c>
      <c r="N85" s="54">
        <f t="shared" si="3"/>
        <v>8</v>
      </c>
      <c r="O85" s="167">
        <v>0</v>
      </c>
      <c r="P85" s="203" t="s">
        <v>48</v>
      </c>
      <c r="Q85" s="204"/>
      <c r="R85" s="204"/>
      <c r="S85" s="204"/>
      <c r="T85" s="204"/>
      <c r="U85" s="205"/>
    </row>
    <row r="86" spans="1:21" ht="16.5" thickBot="1">
      <c r="A86" s="118"/>
      <c r="B86" s="119"/>
      <c r="C86" s="120"/>
      <c r="D86" s="120"/>
      <c r="E86" s="121"/>
      <c r="F86" s="129"/>
      <c r="G86" s="122"/>
      <c r="H86" s="147"/>
      <c r="I86" s="148"/>
      <c r="J86" s="125"/>
      <c r="K86" s="125"/>
      <c r="L86" s="126"/>
      <c r="M86" s="126"/>
      <c r="N86" s="127"/>
      <c r="O86" s="169"/>
      <c r="P86" s="197"/>
      <c r="Q86" s="198"/>
      <c r="R86" s="198"/>
      <c r="S86" s="198"/>
      <c r="T86" s="198"/>
      <c r="U86" s="199"/>
    </row>
  </sheetData>
  <mergeCells count="103">
    <mergeCell ref="O1:U1"/>
    <mergeCell ref="J2:K2"/>
    <mergeCell ref="L2:M2"/>
    <mergeCell ref="O2:U2"/>
    <mergeCell ref="J3:K3"/>
    <mergeCell ref="L3:M3"/>
    <mergeCell ref="O3:U3"/>
    <mergeCell ref="E6:H6"/>
    <mergeCell ref="K6:M6"/>
    <mergeCell ref="O6:U6"/>
    <mergeCell ref="E7:H7"/>
    <mergeCell ref="K7:M7"/>
    <mergeCell ref="O7:U7"/>
    <mergeCell ref="J4:K4"/>
    <mergeCell ref="L4:M4"/>
    <mergeCell ref="O4:U4"/>
    <mergeCell ref="J5:K5"/>
    <mergeCell ref="L5:M5"/>
    <mergeCell ref="O5:U5"/>
    <mergeCell ref="E11:H11"/>
    <mergeCell ref="O11:U11"/>
    <mergeCell ref="O12:U12"/>
    <mergeCell ref="P13:U13"/>
    <mergeCell ref="P14:U14"/>
    <mergeCell ref="P15:U15"/>
    <mergeCell ref="E8:H8"/>
    <mergeCell ref="K8:M8"/>
    <mergeCell ref="O8:U8"/>
    <mergeCell ref="E9:H9"/>
    <mergeCell ref="O9:U9"/>
    <mergeCell ref="E10:H10"/>
    <mergeCell ref="O10:U10"/>
    <mergeCell ref="P22:U22"/>
    <mergeCell ref="P23:U23"/>
    <mergeCell ref="P24:U24"/>
    <mergeCell ref="P25:U25"/>
    <mergeCell ref="P26:U26"/>
    <mergeCell ref="P27:U27"/>
    <mergeCell ref="P16:U16"/>
    <mergeCell ref="P17:U17"/>
    <mergeCell ref="P18:U18"/>
    <mergeCell ref="P19:U19"/>
    <mergeCell ref="P20:U20"/>
    <mergeCell ref="P21:U21"/>
    <mergeCell ref="P34:U34"/>
    <mergeCell ref="P35:U35"/>
    <mergeCell ref="P36:U36"/>
    <mergeCell ref="P37:U37"/>
    <mergeCell ref="P38:U38"/>
    <mergeCell ref="P39:U39"/>
    <mergeCell ref="P28:U28"/>
    <mergeCell ref="P29:U29"/>
    <mergeCell ref="P30:U30"/>
    <mergeCell ref="P31:U31"/>
    <mergeCell ref="P32:U32"/>
    <mergeCell ref="P33:U33"/>
    <mergeCell ref="P46:U46"/>
    <mergeCell ref="P47:U47"/>
    <mergeCell ref="P48:U48"/>
    <mergeCell ref="P49:U49"/>
    <mergeCell ref="P50:U50"/>
    <mergeCell ref="P51:U51"/>
    <mergeCell ref="P40:U40"/>
    <mergeCell ref="P41:U41"/>
    <mergeCell ref="P42:U42"/>
    <mergeCell ref="P43:U43"/>
    <mergeCell ref="P44:U44"/>
    <mergeCell ref="P45:U45"/>
    <mergeCell ref="P58:U58"/>
    <mergeCell ref="P59:U59"/>
    <mergeCell ref="P60:U60"/>
    <mergeCell ref="P61:U61"/>
    <mergeCell ref="P62:U62"/>
    <mergeCell ref="P63:U63"/>
    <mergeCell ref="P52:U52"/>
    <mergeCell ref="P53:U53"/>
    <mergeCell ref="P54:U54"/>
    <mergeCell ref="P55:U55"/>
    <mergeCell ref="P56:U56"/>
    <mergeCell ref="P57:U57"/>
    <mergeCell ref="P70:U70"/>
    <mergeCell ref="P71:U71"/>
    <mergeCell ref="P72:U72"/>
    <mergeCell ref="P73:U73"/>
    <mergeCell ref="P74:U74"/>
    <mergeCell ref="P75:U75"/>
    <mergeCell ref="P64:U64"/>
    <mergeCell ref="P65:U65"/>
    <mergeCell ref="P66:U66"/>
    <mergeCell ref="P67:U67"/>
    <mergeCell ref="P68:U68"/>
    <mergeCell ref="P69:U69"/>
    <mergeCell ref="P82:U82"/>
    <mergeCell ref="P83:U83"/>
    <mergeCell ref="P84:U84"/>
    <mergeCell ref="P85:U85"/>
    <mergeCell ref="P86:U86"/>
    <mergeCell ref="P76:U76"/>
    <mergeCell ref="P77:U77"/>
    <mergeCell ref="P78:U78"/>
    <mergeCell ref="P79:U79"/>
    <mergeCell ref="P80:U80"/>
    <mergeCell ref="P81:U81"/>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8913"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38914"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38915"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38916"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38917"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38918"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9939516D-CE29-49A1-B5F6-E8E137E15035}">
            <xm:f>(AND(H14&lt;&gt;"",ISERROR(VLOOKUP(H14,system!$E:$E,1,FALSE))))</xm:f>
            <x14:dxf>
              <fill>
                <patternFill patternType="solid">
                  <bgColor rgb="FFFF0000"/>
                </patternFill>
              </fill>
            </x14:dxf>
          </x14:cfRule>
          <xm:sqref>H14:H78</xm:sqref>
        </x14:conditionalFormatting>
        <x14:conditionalFormatting xmlns:xm="http://schemas.microsoft.com/office/excel/2006/main">
          <x14:cfRule type="expression" priority="3" id="{70757DFC-9C81-4188-8A05-5E9CE7E6F049}">
            <xm:f>(AND(H14&lt;&gt;"",ISERROR(VLOOKUP(H14,system!$E:$E,1,FALSE))))</xm:f>
            <x14:dxf>
              <fill>
                <patternFill>
                  <bgColor rgb="FFFF0000"/>
                </patternFill>
              </fill>
            </x14:dxf>
          </x14:cfRule>
          <xm:sqref>I14:I78</xm:sqref>
        </x14:conditionalFormatting>
        <x14:conditionalFormatting xmlns:xm="http://schemas.microsoft.com/office/excel/2006/main">
          <x14:cfRule type="expression" priority="2" id="{93ABCB1F-22CD-4A82-8126-D11D8C1B36D3}">
            <xm:f>(AND(H79&lt;&gt;"",ISERROR(VLOOKUP(H79,system!$E:$E,1,FALSE))))</xm:f>
            <x14:dxf>
              <fill>
                <patternFill patternType="solid">
                  <bgColor rgb="FFFF0000"/>
                </patternFill>
              </fill>
            </x14:dxf>
          </x14:cfRule>
          <xm:sqref>H79:H86</xm:sqref>
        </x14:conditionalFormatting>
        <x14:conditionalFormatting xmlns:xm="http://schemas.microsoft.com/office/excel/2006/main">
          <x14:cfRule type="expression" priority="1" id="{973FCF6E-9310-41BE-B7AD-907E66A0E41B}">
            <xm:f>(AND(H79&lt;&gt;"",ISERROR(VLOOKUP(H79,system!$E:$E,1,FALSE))))</xm:f>
            <x14:dxf>
              <fill>
                <patternFill>
                  <bgColor rgb="FFFF0000"/>
                </patternFill>
              </fill>
            </x14:dxf>
          </x14:cfRule>
          <xm:sqref>I79:I86</xm:sqref>
        </x14:conditionalFormatting>
      </x14:conditionalFormatting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A1:U36"/>
  <sheetViews>
    <sheetView showGridLines="0" zoomScaleNormal="100" workbookViewId="0">
      <pane ySplit="13" topLeftCell="A29" activePane="bottomLeft" state="frozen"/>
      <selection activeCell="D13" sqref="D13"/>
      <selection pane="bottomLeft"/>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7" t="s">
        <v>27</v>
      </c>
      <c r="P1" s="248"/>
      <c r="Q1" s="248"/>
      <c r="R1" s="248"/>
      <c r="S1" s="248"/>
      <c r="T1" s="248"/>
      <c r="U1" s="249"/>
    </row>
    <row r="2" spans="1:21" ht="14.45" customHeight="1">
      <c r="A2" s="39"/>
      <c r="B2" s="100" t="s">
        <v>64</v>
      </c>
      <c r="C2" s="5"/>
      <c r="D2" s="5"/>
      <c r="E2" s="5"/>
      <c r="F2" s="5"/>
      <c r="G2" s="6"/>
      <c r="H2" s="7"/>
      <c r="I2" s="8"/>
      <c r="J2" s="250"/>
      <c r="K2" s="251"/>
      <c r="L2" s="250"/>
      <c r="M2" s="251"/>
      <c r="N2" s="52"/>
      <c r="O2" s="252" t="s">
        <v>749</v>
      </c>
      <c r="P2" s="253"/>
      <c r="Q2" s="253"/>
      <c r="R2" s="253"/>
      <c r="S2" s="253"/>
      <c r="T2" s="253"/>
      <c r="U2" s="254"/>
    </row>
    <row r="3" spans="1:21" ht="14.25" customHeight="1">
      <c r="A3" s="40"/>
      <c r="B3" s="35"/>
      <c r="C3" s="5"/>
      <c r="D3" s="5"/>
      <c r="E3" s="5"/>
      <c r="F3" s="5"/>
      <c r="G3" s="9"/>
      <c r="H3" s="10"/>
      <c r="I3" s="176" t="s">
        <v>1032</v>
      </c>
      <c r="J3" s="255" t="s">
        <v>1032</v>
      </c>
      <c r="K3" s="256"/>
      <c r="L3" s="255" t="s">
        <v>1032</v>
      </c>
      <c r="M3" s="256"/>
      <c r="N3" s="52"/>
      <c r="O3" s="257"/>
      <c r="P3" s="258"/>
      <c r="Q3" s="258"/>
      <c r="R3" s="258"/>
      <c r="S3" s="258"/>
      <c r="T3" s="258"/>
      <c r="U3" s="259"/>
    </row>
    <row r="4" spans="1:21" ht="14.45" customHeight="1">
      <c r="A4" s="41"/>
      <c r="B4" s="36" t="s">
        <v>3</v>
      </c>
      <c r="C4" s="5"/>
      <c r="D4" s="5"/>
      <c r="E4" s="5"/>
      <c r="F4" s="5"/>
      <c r="G4" s="6"/>
      <c r="H4" s="10"/>
      <c r="I4" s="177" t="s">
        <v>1035</v>
      </c>
      <c r="J4" s="240" t="s">
        <v>1034</v>
      </c>
      <c r="K4" s="241"/>
      <c r="L4" s="240" t="s">
        <v>1033</v>
      </c>
      <c r="M4" s="241"/>
      <c r="N4" s="52"/>
      <c r="O4" s="210"/>
      <c r="P4" s="211"/>
      <c r="Q4" s="211"/>
      <c r="R4" s="211"/>
      <c r="S4" s="211"/>
      <c r="T4" s="211"/>
      <c r="U4" s="212"/>
    </row>
    <row r="5" spans="1:21" ht="14.45" customHeight="1" thickBot="1">
      <c r="A5" s="42"/>
      <c r="B5" s="11"/>
      <c r="C5" s="11"/>
      <c r="D5" s="11"/>
      <c r="E5" s="11"/>
      <c r="F5" s="11"/>
      <c r="G5" s="12"/>
      <c r="H5" s="13"/>
      <c r="I5" s="14"/>
      <c r="J5" s="242"/>
      <c r="K5" s="243"/>
      <c r="L5" s="244"/>
      <c r="M5" s="245"/>
      <c r="N5" s="53"/>
      <c r="O5" s="246"/>
      <c r="P5" s="211"/>
      <c r="Q5" s="211"/>
      <c r="R5" s="211"/>
      <c r="S5" s="211"/>
      <c r="T5" s="211"/>
      <c r="U5" s="212"/>
    </row>
    <row r="6" spans="1:21" ht="14.45" customHeight="1">
      <c r="A6" s="43"/>
      <c r="B6" s="101" t="s">
        <v>4</v>
      </c>
      <c r="C6" s="20"/>
      <c r="D6" s="21"/>
      <c r="E6" s="222" t="s">
        <v>65</v>
      </c>
      <c r="F6" s="223"/>
      <c r="G6" s="223"/>
      <c r="H6" s="224"/>
      <c r="I6" s="60" t="s">
        <v>26</v>
      </c>
      <c r="J6" s="26"/>
      <c r="K6" s="225" t="s">
        <v>33</v>
      </c>
      <c r="L6" s="226"/>
      <c r="M6" s="227"/>
      <c r="N6" s="91" t="s">
        <v>5</v>
      </c>
      <c r="O6" s="210"/>
      <c r="P6" s="211"/>
      <c r="Q6" s="211"/>
      <c r="R6" s="211"/>
      <c r="S6" s="211"/>
      <c r="T6" s="211"/>
      <c r="U6" s="212"/>
    </row>
    <row r="7" spans="1:21" ht="15.75" customHeight="1">
      <c r="A7" s="44"/>
      <c r="B7" s="102" t="s">
        <v>6</v>
      </c>
      <c r="C7" s="22"/>
      <c r="D7" s="23"/>
      <c r="E7" s="228" t="s">
        <v>155</v>
      </c>
      <c r="F7" s="229"/>
      <c r="G7" s="229"/>
      <c r="H7" s="230"/>
      <c r="I7" s="61" t="s">
        <v>28</v>
      </c>
      <c r="J7" s="27"/>
      <c r="K7" s="231" t="s">
        <v>34</v>
      </c>
      <c r="L7" s="232"/>
      <c r="M7" s="233"/>
      <c r="N7" s="92">
        <f>COUNTIF(H14:H14,"LONG")+COUNTIF(H14:H14,"LONG RAW")</f>
        <v>0</v>
      </c>
      <c r="O7" s="210"/>
      <c r="P7" s="211"/>
      <c r="Q7" s="211"/>
      <c r="R7" s="211"/>
      <c r="S7" s="211"/>
      <c r="T7" s="211"/>
      <c r="U7" s="212"/>
    </row>
    <row r="8" spans="1:21" ht="14.45" customHeight="1">
      <c r="A8" s="45"/>
      <c r="B8" s="22" t="s">
        <v>7</v>
      </c>
      <c r="C8" s="22"/>
      <c r="D8" s="23"/>
      <c r="E8" s="228" t="s">
        <v>746</v>
      </c>
      <c r="F8" s="229"/>
      <c r="G8" s="229"/>
      <c r="H8" s="230"/>
      <c r="I8" s="62"/>
      <c r="J8" s="27"/>
      <c r="K8" s="234"/>
      <c r="L8" s="235"/>
      <c r="M8" s="236"/>
      <c r="N8" s="92"/>
      <c r="O8" s="210"/>
      <c r="P8" s="211"/>
      <c r="Q8" s="211"/>
      <c r="R8" s="211"/>
      <c r="S8" s="211"/>
      <c r="T8" s="211"/>
      <c r="U8" s="212"/>
    </row>
    <row r="9" spans="1:21" ht="14.45" customHeight="1">
      <c r="A9" s="45"/>
      <c r="B9" s="22" t="s">
        <v>8</v>
      </c>
      <c r="C9" s="22"/>
      <c r="D9" s="23"/>
      <c r="E9" s="237" t="s">
        <v>68</v>
      </c>
      <c r="F9" s="238"/>
      <c r="G9" s="238"/>
      <c r="H9" s="239"/>
      <c r="I9" s="61" t="s">
        <v>9</v>
      </c>
      <c r="J9" s="27"/>
      <c r="K9" s="86"/>
      <c r="L9" s="88">
        <f>SUM(N14:N37)</f>
        <v>183</v>
      </c>
      <c r="M9" s="82"/>
      <c r="N9" s="93">
        <f>SUMIF(M14:M14,"■",N14:N14)</f>
        <v>0</v>
      </c>
      <c r="O9" s="210"/>
      <c r="P9" s="211"/>
      <c r="Q9" s="211"/>
      <c r="R9" s="211"/>
      <c r="S9" s="211"/>
      <c r="T9" s="211"/>
      <c r="U9" s="212"/>
    </row>
    <row r="10" spans="1:21" ht="14.45" customHeight="1">
      <c r="A10" s="45"/>
      <c r="B10" s="22" t="s">
        <v>10</v>
      </c>
      <c r="C10" s="22"/>
      <c r="D10" s="23"/>
      <c r="E10" s="219" t="s">
        <v>68</v>
      </c>
      <c r="F10" s="220"/>
      <c r="G10" s="220"/>
      <c r="H10" s="221"/>
      <c r="I10" s="61" t="s">
        <v>11</v>
      </c>
      <c r="J10" s="27"/>
      <c r="K10" s="86"/>
      <c r="L10" s="89">
        <f>E11*L9/1000</f>
        <v>0</v>
      </c>
      <c r="M10" s="82"/>
      <c r="N10" s="55"/>
      <c r="O10" s="210"/>
      <c r="P10" s="211"/>
      <c r="Q10" s="211"/>
      <c r="R10" s="211"/>
      <c r="S10" s="211"/>
      <c r="T10" s="211"/>
      <c r="U10" s="212"/>
    </row>
    <row r="11" spans="1:21" ht="17.25" customHeight="1" thickBot="1">
      <c r="A11" s="46"/>
      <c r="B11" s="24" t="s">
        <v>29</v>
      </c>
      <c r="C11" s="24"/>
      <c r="D11" s="25"/>
      <c r="E11" s="207"/>
      <c r="F11" s="208"/>
      <c r="G11" s="208"/>
      <c r="H11" s="209"/>
      <c r="I11" s="103" t="s">
        <v>12</v>
      </c>
      <c r="J11" s="104"/>
      <c r="K11" s="87"/>
      <c r="L11" s="90"/>
      <c r="M11" s="83"/>
      <c r="N11" s="56"/>
      <c r="O11" s="210"/>
      <c r="P11" s="211"/>
      <c r="Q11" s="211"/>
      <c r="R11" s="211"/>
      <c r="S11" s="211"/>
      <c r="T11" s="211"/>
      <c r="U11" s="212"/>
    </row>
    <row r="12" spans="1:21" ht="15.75" customHeight="1" thickBot="1">
      <c r="A12" s="64"/>
      <c r="B12" s="65"/>
      <c r="C12" s="30"/>
      <c r="D12" s="30"/>
      <c r="E12" s="31"/>
      <c r="F12" s="32"/>
      <c r="G12" s="29"/>
      <c r="H12" s="28"/>
      <c r="I12" s="29"/>
      <c r="J12" s="30" t="s">
        <v>13</v>
      </c>
      <c r="K12" s="31"/>
      <c r="L12" s="66"/>
      <c r="M12" s="48"/>
      <c r="N12" s="57">
        <f>COUNTA(H14:H14)</f>
        <v>1</v>
      </c>
      <c r="O12" s="213"/>
      <c r="P12" s="214"/>
      <c r="Q12" s="214"/>
      <c r="R12" s="214"/>
      <c r="S12" s="214"/>
      <c r="T12" s="214"/>
      <c r="U12" s="21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16" t="s">
        <v>32</v>
      </c>
      <c r="Q13" s="217"/>
      <c r="R13" s="217"/>
      <c r="S13" s="217"/>
      <c r="T13" s="217"/>
      <c r="U13" s="218"/>
    </row>
    <row r="14" spans="1:21" ht="15.75" customHeight="1">
      <c r="A14" s="85" t="s">
        <v>188</v>
      </c>
      <c r="B14" s="37">
        <f t="shared" ref="B14:B28" si="0">ROW()-13</f>
        <v>1</v>
      </c>
      <c r="C14" s="145" t="s">
        <v>195</v>
      </c>
      <c r="D14" s="80"/>
      <c r="E14" s="81"/>
      <c r="F14" s="146" t="s">
        <v>1058</v>
      </c>
      <c r="G14" s="17"/>
      <c r="H14" s="18" t="s">
        <v>49</v>
      </c>
      <c r="I14" s="59"/>
      <c r="J14" s="19">
        <v>1</v>
      </c>
      <c r="K14" s="19"/>
      <c r="L14" s="50" t="s">
        <v>187</v>
      </c>
      <c r="M14" s="73" t="s">
        <v>21</v>
      </c>
      <c r="N14" s="54">
        <f t="shared" ref="N14:N35" si="1">IF(H14="NUMBER",IF(J14&gt;0,INT((J14+1)/2+0.9),0),IF(H14="DATE",7,IF(OR(H14="LONG",H14="LONG RAW"),100000,J14)))</f>
        <v>1</v>
      </c>
      <c r="O14" s="167"/>
      <c r="P14" s="203"/>
      <c r="Q14" s="204"/>
      <c r="R14" s="204"/>
      <c r="S14" s="204"/>
      <c r="T14" s="204"/>
      <c r="U14" s="205"/>
    </row>
    <row r="15" spans="1:21" ht="27.6" customHeight="1">
      <c r="A15" s="85" t="s">
        <v>188</v>
      </c>
      <c r="B15" s="37">
        <f t="shared" si="0"/>
        <v>2</v>
      </c>
      <c r="C15" s="145" t="s">
        <v>196</v>
      </c>
      <c r="D15" s="80"/>
      <c r="E15" s="81"/>
      <c r="F15" s="146" t="s">
        <v>197</v>
      </c>
      <c r="G15" s="17"/>
      <c r="H15" s="18" t="s">
        <v>51</v>
      </c>
      <c r="I15" s="59"/>
      <c r="J15" s="19">
        <v>25</v>
      </c>
      <c r="K15" s="19"/>
      <c r="L15" s="50" t="s">
        <v>187</v>
      </c>
      <c r="M15" s="73" t="s">
        <v>21</v>
      </c>
      <c r="N15" s="54">
        <f t="shared" si="1"/>
        <v>25</v>
      </c>
      <c r="O15" s="167"/>
      <c r="P15" s="206" t="s">
        <v>750</v>
      </c>
      <c r="Q15" s="204"/>
      <c r="R15" s="204"/>
      <c r="S15" s="204"/>
      <c r="T15" s="204"/>
      <c r="U15" s="205"/>
    </row>
    <row r="16" spans="1:21" ht="27.6" customHeight="1">
      <c r="A16" s="85" t="s">
        <v>188</v>
      </c>
      <c r="B16" s="37">
        <f t="shared" si="0"/>
        <v>3</v>
      </c>
      <c r="C16" s="145" t="s">
        <v>198</v>
      </c>
      <c r="D16" s="80"/>
      <c r="E16" s="81"/>
      <c r="F16" s="146" t="s">
        <v>199</v>
      </c>
      <c r="G16" s="17"/>
      <c r="H16" s="18" t="s">
        <v>51</v>
      </c>
      <c r="I16" s="59"/>
      <c r="J16" s="19">
        <v>4</v>
      </c>
      <c r="K16" s="19"/>
      <c r="L16" s="50" t="s">
        <v>187</v>
      </c>
      <c r="M16" s="73" t="s">
        <v>21</v>
      </c>
      <c r="N16" s="54">
        <f t="shared" si="1"/>
        <v>4</v>
      </c>
      <c r="O16" s="167"/>
      <c r="P16" s="206" t="s">
        <v>751</v>
      </c>
      <c r="Q16" s="204"/>
      <c r="R16" s="204"/>
      <c r="S16" s="204"/>
      <c r="T16" s="204"/>
      <c r="U16" s="205"/>
    </row>
    <row r="17" spans="1:21" ht="27.6" customHeight="1">
      <c r="A17" s="85" t="s">
        <v>188</v>
      </c>
      <c r="B17" s="37">
        <f t="shared" si="0"/>
        <v>4</v>
      </c>
      <c r="C17" s="145" t="s">
        <v>201</v>
      </c>
      <c r="D17" s="80"/>
      <c r="E17" s="81"/>
      <c r="F17" s="146" t="s">
        <v>202</v>
      </c>
      <c r="G17" s="17"/>
      <c r="H17" s="18" t="s">
        <v>49</v>
      </c>
      <c r="I17" s="59"/>
      <c r="J17" s="19">
        <v>1</v>
      </c>
      <c r="K17" s="19"/>
      <c r="L17" s="50" t="s">
        <v>187</v>
      </c>
      <c r="M17" s="73" t="s">
        <v>21</v>
      </c>
      <c r="N17" s="54">
        <f t="shared" si="1"/>
        <v>1</v>
      </c>
      <c r="O17" s="167"/>
      <c r="P17" s="206" t="s">
        <v>752</v>
      </c>
      <c r="Q17" s="204"/>
      <c r="R17" s="204"/>
      <c r="S17" s="204"/>
      <c r="T17" s="204"/>
      <c r="U17" s="205"/>
    </row>
    <row r="18" spans="1:21" ht="27.6" customHeight="1">
      <c r="A18" s="85" t="s">
        <v>188</v>
      </c>
      <c r="B18" s="37">
        <f t="shared" si="0"/>
        <v>5</v>
      </c>
      <c r="C18" s="145" t="s">
        <v>204</v>
      </c>
      <c r="D18" s="80"/>
      <c r="E18" s="81"/>
      <c r="F18" s="146" t="s">
        <v>205</v>
      </c>
      <c r="G18" s="17"/>
      <c r="H18" s="18" t="s">
        <v>49</v>
      </c>
      <c r="I18" s="59"/>
      <c r="J18" s="19">
        <v>1</v>
      </c>
      <c r="K18" s="19"/>
      <c r="L18" s="50" t="s">
        <v>187</v>
      </c>
      <c r="M18" s="73" t="s">
        <v>21</v>
      </c>
      <c r="N18" s="54">
        <f t="shared" si="1"/>
        <v>1</v>
      </c>
      <c r="O18" s="167"/>
      <c r="P18" s="206" t="s">
        <v>206</v>
      </c>
      <c r="Q18" s="204"/>
      <c r="R18" s="204"/>
      <c r="S18" s="204"/>
      <c r="T18" s="204"/>
      <c r="U18" s="205"/>
    </row>
    <row r="19" spans="1:21" ht="15.75" customHeight="1">
      <c r="A19" s="85" t="s">
        <v>188</v>
      </c>
      <c r="B19" s="37">
        <f t="shared" si="0"/>
        <v>6</v>
      </c>
      <c r="C19" s="145" t="s">
        <v>753</v>
      </c>
      <c r="D19" s="80"/>
      <c r="E19" s="81"/>
      <c r="F19" s="146" t="s">
        <v>1061</v>
      </c>
      <c r="G19" s="17"/>
      <c r="H19" s="18" t="s">
        <v>49</v>
      </c>
      <c r="I19" s="59"/>
      <c r="J19" s="19">
        <v>1</v>
      </c>
      <c r="K19" s="19"/>
      <c r="L19" s="50" t="s">
        <v>187</v>
      </c>
      <c r="M19" s="73" t="s">
        <v>21</v>
      </c>
      <c r="N19" s="54">
        <f t="shared" si="1"/>
        <v>1</v>
      </c>
      <c r="O19" s="167"/>
      <c r="P19" s="203"/>
      <c r="Q19" s="204"/>
      <c r="R19" s="204"/>
      <c r="S19" s="204"/>
      <c r="T19" s="204"/>
      <c r="U19" s="205"/>
    </row>
    <row r="20" spans="1:21" ht="15.75" customHeight="1">
      <c r="A20" s="85" t="s">
        <v>188</v>
      </c>
      <c r="B20" s="37">
        <f t="shared" si="0"/>
        <v>7</v>
      </c>
      <c r="C20" s="145" t="s">
        <v>754</v>
      </c>
      <c r="D20" s="80"/>
      <c r="E20" s="81"/>
      <c r="F20" s="146" t="s">
        <v>755</v>
      </c>
      <c r="G20" s="17"/>
      <c r="H20" s="18" t="s">
        <v>51</v>
      </c>
      <c r="I20" s="59"/>
      <c r="J20" s="19">
        <v>25</v>
      </c>
      <c r="K20" s="19"/>
      <c r="L20" s="50" t="s">
        <v>187</v>
      </c>
      <c r="M20" s="73" t="s">
        <v>21</v>
      </c>
      <c r="N20" s="54">
        <f t="shared" si="1"/>
        <v>25</v>
      </c>
      <c r="O20" s="167"/>
      <c r="P20" s="203"/>
      <c r="Q20" s="204"/>
      <c r="R20" s="204"/>
      <c r="S20" s="204"/>
      <c r="T20" s="204"/>
      <c r="U20" s="205"/>
    </row>
    <row r="21" spans="1:21" ht="15.75" customHeight="1">
      <c r="A21" s="85" t="s">
        <v>188</v>
      </c>
      <c r="B21" s="37">
        <f t="shared" si="0"/>
        <v>8</v>
      </c>
      <c r="C21" s="145" t="s">
        <v>756</v>
      </c>
      <c r="D21" s="80"/>
      <c r="E21" s="81"/>
      <c r="F21" s="146" t="s">
        <v>757</v>
      </c>
      <c r="G21" s="17"/>
      <c r="H21" s="18" t="s">
        <v>51</v>
      </c>
      <c r="I21" s="59"/>
      <c r="J21" s="19">
        <v>4</v>
      </c>
      <c r="K21" s="19"/>
      <c r="L21" s="50" t="s">
        <v>187</v>
      </c>
      <c r="M21" s="73" t="s">
        <v>21</v>
      </c>
      <c r="N21" s="54">
        <f t="shared" si="1"/>
        <v>4</v>
      </c>
      <c r="O21" s="167"/>
      <c r="P21" s="203" t="s">
        <v>200</v>
      </c>
      <c r="Q21" s="204"/>
      <c r="R21" s="204"/>
      <c r="S21" s="204"/>
      <c r="T21" s="204"/>
      <c r="U21" s="205"/>
    </row>
    <row r="22" spans="1:21" ht="62.85" customHeight="1">
      <c r="A22" s="85" t="s">
        <v>188</v>
      </c>
      <c r="B22" s="37">
        <f t="shared" si="0"/>
        <v>9</v>
      </c>
      <c r="C22" s="145" t="s">
        <v>758</v>
      </c>
      <c r="D22" s="80"/>
      <c r="E22" s="81"/>
      <c r="F22" s="146" t="s">
        <v>759</v>
      </c>
      <c r="G22" s="17"/>
      <c r="H22" s="18" t="s">
        <v>49</v>
      </c>
      <c r="I22" s="59"/>
      <c r="J22" s="19">
        <v>1</v>
      </c>
      <c r="K22" s="19"/>
      <c r="L22" s="50" t="s">
        <v>187</v>
      </c>
      <c r="M22" s="73" t="s">
        <v>21</v>
      </c>
      <c r="N22" s="54">
        <f t="shared" si="1"/>
        <v>1</v>
      </c>
      <c r="O22" s="167"/>
      <c r="P22" s="206" t="s">
        <v>267</v>
      </c>
      <c r="Q22" s="204"/>
      <c r="R22" s="204"/>
      <c r="S22" s="204"/>
      <c r="T22" s="204"/>
      <c r="U22" s="205"/>
    </row>
    <row r="23" spans="1:21" ht="27.6" customHeight="1">
      <c r="A23" s="85" t="s">
        <v>188</v>
      </c>
      <c r="B23" s="37">
        <f t="shared" si="0"/>
        <v>10</v>
      </c>
      <c r="C23" s="145" t="s">
        <v>760</v>
      </c>
      <c r="D23" s="80"/>
      <c r="E23" s="81"/>
      <c r="F23" s="146" t="s">
        <v>761</v>
      </c>
      <c r="G23" s="17"/>
      <c r="H23" s="18" t="s">
        <v>49</v>
      </c>
      <c r="I23" s="59"/>
      <c r="J23" s="19">
        <v>1</v>
      </c>
      <c r="K23" s="19"/>
      <c r="L23" s="50" t="s">
        <v>187</v>
      </c>
      <c r="M23" s="73" t="s">
        <v>21</v>
      </c>
      <c r="N23" s="54">
        <f t="shared" si="1"/>
        <v>1</v>
      </c>
      <c r="O23" s="167"/>
      <c r="P23" s="206" t="s">
        <v>206</v>
      </c>
      <c r="Q23" s="204"/>
      <c r="R23" s="204"/>
      <c r="S23" s="204"/>
      <c r="T23" s="204"/>
      <c r="U23" s="205"/>
    </row>
    <row r="24" spans="1:21" ht="27.6" customHeight="1">
      <c r="A24" s="85"/>
      <c r="B24" s="37">
        <f t="shared" si="0"/>
        <v>11</v>
      </c>
      <c r="C24" s="145" t="s">
        <v>762</v>
      </c>
      <c r="D24" s="80"/>
      <c r="E24" s="81"/>
      <c r="F24" s="146" t="s">
        <v>763</v>
      </c>
      <c r="G24" s="17"/>
      <c r="H24" s="18" t="s">
        <v>49</v>
      </c>
      <c r="I24" s="59"/>
      <c r="J24" s="19">
        <v>1</v>
      </c>
      <c r="K24" s="19"/>
      <c r="L24" s="50" t="s">
        <v>187</v>
      </c>
      <c r="M24" s="73" t="s">
        <v>21</v>
      </c>
      <c r="N24" s="54">
        <f t="shared" si="1"/>
        <v>1</v>
      </c>
      <c r="O24" s="167"/>
      <c r="P24" s="206" t="s">
        <v>764</v>
      </c>
      <c r="Q24" s="204"/>
      <c r="R24" s="204"/>
      <c r="S24" s="204"/>
      <c r="T24" s="204"/>
      <c r="U24" s="205"/>
    </row>
    <row r="25" spans="1:21" ht="15.75" customHeight="1">
      <c r="A25" s="85"/>
      <c r="B25" s="37">
        <f t="shared" si="0"/>
        <v>12</v>
      </c>
      <c r="C25" s="145" t="s">
        <v>765</v>
      </c>
      <c r="D25" s="80"/>
      <c r="E25" s="81"/>
      <c r="F25" s="146" t="s">
        <v>766</v>
      </c>
      <c r="G25" s="17"/>
      <c r="H25" s="18" t="s">
        <v>56</v>
      </c>
      <c r="I25" s="59"/>
      <c r="J25" s="19">
        <v>4</v>
      </c>
      <c r="K25" s="19">
        <v>2</v>
      </c>
      <c r="L25" s="50" t="s">
        <v>187</v>
      </c>
      <c r="M25" s="73" t="s">
        <v>21</v>
      </c>
      <c r="N25" s="54">
        <f t="shared" si="1"/>
        <v>4</v>
      </c>
      <c r="O25" s="167"/>
      <c r="P25" s="203"/>
      <c r="Q25" s="204"/>
      <c r="R25" s="204"/>
      <c r="S25" s="204"/>
      <c r="T25" s="204"/>
      <c r="U25" s="205"/>
    </row>
    <row r="26" spans="1:21" ht="27.6" customHeight="1">
      <c r="A26" s="85"/>
      <c r="B26" s="37">
        <f t="shared" si="0"/>
        <v>13</v>
      </c>
      <c r="C26" s="145" t="s">
        <v>767</v>
      </c>
      <c r="D26" s="80"/>
      <c r="E26" s="81"/>
      <c r="F26" s="146" t="s">
        <v>768</v>
      </c>
      <c r="G26" s="17"/>
      <c r="H26" s="18" t="s">
        <v>49</v>
      </c>
      <c r="I26" s="59"/>
      <c r="J26" s="19">
        <v>2</v>
      </c>
      <c r="K26" s="19"/>
      <c r="L26" s="50" t="s">
        <v>187</v>
      </c>
      <c r="M26" s="73" t="s">
        <v>21</v>
      </c>
      <c r="N26" s="54">
        <f t="shared" si="1"/>
        <v>2</v>
      </c>
      <c r="O26" s="167"/>
      <c r="P26" s="206" t="s">
        <v>769</v>
      </c>
      <c r="Q26" s="204"/>
      <c r="R26" s="204"/>
      <c r="S26" s="204"/>
      <c r="T26" s="204"/>
      <c r="U26" s="205"/>
    </row>
    <row r="27" spans="1:21" ht="27.6" customHeight="1">
      <c r="A27" s="85"/>
      <c r="B27" s="37">
        <f t="shared" si="0"/>
        <v>14</v>
      </c>
      <c r="C27" s="145" t="s">
        <v>770</v>
      </c>
      <c r="D27" s="80"/>
      <c r="E27" s="81"/>
      <c r="F27" s="146" t="s">
        <v>771</v>
      </c>
      <c r="G27" s="17"/>
      <c r="H27" s="18" t="s">
        <v>51</v>
      </c>
      <c r="I27" s="59"/>
      <c r="J27" s="19">
        <v>10</v>
      </c>
      <c r="K27" s="19"/>
      <c r="L27" s="50" t="s">
        <v>187</v>
      </c>
      <c r="M27" s="73" t="s">
        <v>21</v>
      </c>
      <c r="N27" s="54">
        <f t="shared" si="1"/>
        <v>10</v>
      </c>
      <c r="O27" s="167"/>
      <c r="P27" s="206" t="s">
        <v>772</v>
      </c>
      <c r="Q27" s="204"/>
      <c r="R27" s="204"/>
      <c r="S27" s="204"/>
      <c r="T27" s="204"/>
      <c r="U27" s="205"/>
    </row>
    <row r="28" spans="1:21" ht="15.75" customHeight="1">
      <c r="A28" s="85"/>
      <c r="B28" s="37">
        <f t="shared" si="0"/>
        <v>15</v>
      </c>
      <c r="C28" s="145" t="s">
        <v>293</v>
      </c>
      <c r="D28" s="80"/>
      <c r="E28" s="81"/>
      <c r="F28" s="146" t="s">
        <v>294</v>
      </c>
      <c r="G28" s="17"/>
      <c r="H28" s="18" t="s">
        <v>51</v>
      </c>
      <c r="I28" s="59"/>
      <c r="J28" s="19">
        <v>50</v>
      </c>
      <c r="K28" s="19"/>
      <c r="L28" s="50"/>
      <c r="M28" s="73" t="s">
        <v>21</v>
      </c>
      <c r="N28" s="54">
        <f t="shared" si="1"/>
        <v>50</v>
      </c>
      <c r="O28" s="167"/>
      <c r="P28" s="203"/>
      <c r="Q28" s="204"/>
      <c r="R28" s="204"/>
      <c r="S28" s="204"/>
      <c r="T28" s="204"/>
      <c r="U28" s="205"/>
    </row>
    <row r="29" spans="1:21" ht="15.75">
      <c r="A29" s="85"/>
      <c r="B29" s="37">
        <f t="shared" ref="B29:B35" si="2">ROW()-13</f>
        <v>16</v>
      </c>
      <c r="C29" s="107" t="s">
        <v>36</v>
      </c>
      <c r="D29" s="107"/>
      <c r="E29" s="108"/>
      <c r="F29" s="109" t="s">
        <v>78</v>
      </c>
      <c r="G29" s="110"/>
      <c r="H29" s="18" t="s">
        <v>51</v>
      </c>
      <c r="I29" s="59"/>
      <c r="J29" s="113">
        <v>12</v>
      </c>
      <c r="K29" s="113"/>
      <c r="L29" s="114"/>
      <c r="M29" s="115" t="s">
        <v>35</v>
      </c>
      <c r="N29" s="116">
        <f t="shared" si="1"/>
        <v>12</v>
      </c>
      <c r="O29" s="168"/>
      <c r="P29" s="200"/>
      <c r="Q29" s="201"/>
      <c r="R29" s="201"/>
      <c r="S29" s="201"/>
      <c r="T29" s="201"/>
      <c r="U29" s="202"/>
    </row>
    <row r="30" spans="1:21" ht="15.75">
      <c r="A30" s="85"/>
      <c r="B30" s="37">
        <f t="shared" si="2"/>
        <v>17</v>
      </c>
      <c r="C30" s="107" t="s">
        <v>37</v>
      </c>
      <c r="D30" s="107"/>
      <c r="E30" s="108"/>
      <c r="F30" s="109" t="s">
        <v>43</v>
      </c>
      <c r="G30" s="110"/>
      <c r="H30" s="18" t="s">
        <v>51</v>
      </c>
      <c r="I30" s="59"/>
      <c r="J30" s="113">
        <v>10</v>
      </c>
      <c r="K30" s="113"/>
      <c r="L30" s="114"/>
      <c r="M30" s="115" t="s">
        <v>21</v>
      </c>
      <c r="N30" s="116">
        <f t="shared" si="1"/>
        <v>10</v>
      </c>
      <c r="O30" s="168"/>
      <c r="P30" s="200"/>
      <c r="Q30" s="201"/>
      <c r="R30" s="201"/>
      <c r="S30" s="201"/>
      <c r="T30" s="201"/>
      <c r="U30" s="202"/>
    </row>
    <row r="31" spans="1:21" ht="15.75">
      <c r="A31" s="85"/>
      <c r="B31" s="37">
        <f t="shared" si="2"/>
        <v>18</v>
      </c>
      <c r="C31" s="107" t="s">
        <v>38</v>
      </c>
      <c r="D31" s="107"/>
      <c r="E31" s="108"/>
      <c r="F31" s="109" t="s">
        <v>80</v>
      </c>
      <c r="G31" s="110"/>
      <c r="H31" s="18" t="s">
        <v>86</v>
      </c>
      <c r="I31" s="59"/>
      <c r="J31" s="113"/>
      <c r="K31" s="113"/>
      <c r="L31" s="114"/>
      <c r="M31" s="115" t="s">
        <v>21</v>
      </c>
      <c r="N31" s="116">
        <f t="shared" si="1"/>
        <v>0</v>
      </c>
      <c r="O31" s="168"/>
      <c r="P31" s="200"/>
      <c r="Q31" s="201"/>
      <c r="R31" s="201"/>
      <c r="S31" s="201"/>
      <c r="T31" s="201"/>
      <c r="U31" s="202"/>
    </row>
    <row r="32" spans="1:21" ht="15.75">
      <c r="A32" s="85"/>
      <c r="B32" s="37">
        <f t="shared" si="2"/>
        <v>19</v>
      </c>
      <c r="C32" s="107" t="s">
        <v>39</v>
      </c>
      <c r="D32" s="107"/>
      <c r="E32" s="108"/>
      <c r="F32" s="109" t="s">
        <v>79</v>
      </c>
      <c r="G32" s="110"/>
      <c r="H32" s="18" t="s">
        <v>51</v>
      </c>
      <c r="I32" s="59"/>
      <c r="J32" s="113">
        <v>12</v>
      </c>
      <c r="K32" s="113"/>
      <c r="L32" s="114"/>
      <c r="M32" s="115" t="s">
        <v>35</v>
      </c>
      <c r="N32" s="116">
        <f t="shared" si="1"/>
        <v>12</v>
      </c>
      <c r="O32" s="168"/>
      <c r="P32" s="200"/>
      <c r="Q32" s="201"/>
      <c r="R32" s="201"/>
      <c r="S32" s="201"/>
      <c r="T32" s="201"/>
      <c r="U32" s="202"/>
    </row>
    <row r="33" spans="1:21" ht="15.75">
      <c r="A33" s="85"/>
      <c r="B33" s="37">
        <f t="shared" si="2"/>
        <v>20</v>
      </c>
      <c r="C33" s="107" t="s">
        <v>40</v>
      </c>
      <c r="D33" s="107"/>
      <c r="E33" s="108"/>
      <c r="F33" s="109" t="s">
        <v>44</v>
      </c>
      <c r="G33" s="110"/>
      <c r="H33" s="18" t="s">
        <v>51</v>
      </c>
      <c r="I33" s="59"/>
      <c r="J33" s="113">
        <v>10</v>
      </c>
      <c r="K33" s="113"/>
      <c r="L33" s="114"/>
      <c r="M33" s="115" t="s">
        <v>21</v>
      </c>
      <c r="N33" s="116">
        <f t="shared" si="1"/>
        <v>10</v>
      </c>
      <c r="O33" s="168"/>
      <c r="P33" s="200"/>
      <c r="Q33" s="201"/>
      <c r="R33" s="201"/>
      <c r="S33" s="201"/>
      <c r="T33" s="201"/>
      <c r="U33" s="202"/>
    </row>
    <row r="34" spans="1:21" ht="15.75">
      <c r="A34" s="85"/>
      <c r="B34" s="37">
        <f t="shared" si="2"/>
        <v>21</v>
      </c>
      <c r="C34" s="107" t="s">
        <v>41</v>
      </c>
      <c r="D34" s="107"/>
      <c r="E34" s="108"/>
      <c r="F34" s="109" t="s">
        <v>81</v>
      </c>
      <c r="G34" s="110"/>
      <c r="H34" s="18" t="s">
        <v>86</v>
      </c>
      <c r="I34" s="59"/>
      <c r="J34" s="113"/>
      <c r="K34" s="113"/>
      <c r="L34" s="114"/>
      <c r="M34" s="115" t="s">
        <v>21</v>
      </c>
      <c r="N34" s="116">
        <f t="shared" si="1"/>
        <v>0</v>
      </c>
      <c r="O34" s="168"/>
      <c r="P34" s="200"/>
      <c r="Q34" s="201"/>
      <c r="R34" s="201"/>
      <c r="S34" s="201"/>
      <c r="T34" s="201"/>
      <c r="U34" s="202"/>
    </row>
    <row r="35" spans="1:21" ht="15.75">
      <c r="A35" s="85"/>
      <c r="B35" s="37">
        <f t="shared" si="2"/>
        <v>22</v>
      </c>
      <c r="C35" s="80" t="s">
        <v>46</v>
      </c>
      <c r="D35" s="80"/>
      <c r="E35" s="81"/>
      <c r="F35" s="84" t="s">
        <v>71</v>
      </c>
      <c r="G35" s="17"/>
      <c r="H35" s="18" t="s">
        <v>62</v>
      </c>
      <c r="I35" s="59"/>
      <c r="J35" s="19">
        <v>8</v>
      </c>
      <c r="K35" s="19"/>
      <c r="L35" s="50" t="s">
        <v>47</v>
      </c>
      <c r="M35" s="73" t="s">
        <v>35</v>
      </c>
      <c r="N35" s="54">
        <f t="shared" si="1"/>
        <v>8</v>
      </c>
      <c r="O35" s="167">
        <v>0</v>
      </c>
      <c r="P35" s="203" t="s">
        <v>48</v>
      </c>
      <c r="Q35" s="204"/>
      <c r="R35" s="204"/>
      <c r="S35" s="204"/>
      <c r="T35" s="204"/>
      <c r="U35" s="205"/>
    </row>
    <row r="36" spans="1:21" ht="16.5" thickBot="1">
      <c r="A36" s="118"/>
      <c r="B36" s="119"/>
      <c r="C36" s="120"/>
      <c r="D36" s="120"/>
      <c r="E36" s="121"/>
      <c r="F36" s="129"/>
      <c r="G36" s="122"/>
      <c r="H36" s="147"/>
      <c r="I36" s="148"/>
      <c r="J36" s="125"/>
      <c r="K36" s="125"/>
      <c r="L36" s="126"/>
      <c r="M36" s="126"/>
      <c r="N36" s="127"/>
      <c r="O36" s="169"/>
      <c r="P36" s="197"/>
      <c r="Q36" s="198"/>
      <c r="R36" s="198"/>
      <c r="S36" s="198"/>
      <c r="T36" s="198"/>
      <c r="U36" s="199"/>
    </row>
  </sheetData>
  <mergeCells count="53">
    <mergeCell ref="O1:U1"/>
    <mergeCell ref="J2:K2"/>
    <mergeCell ref="L2:M2"/>
    <mergeCell ref="O2:U2"/>
    <mergeCell ref="J3:K3"/>
    <mergeCell ref="L3:M3"/>
    <mergeCell ref="O3:U3"/>
    <mergeCell ref="J4:K4"/>
    <mergeCell ref="L4:M4"/>
    <mergeCell ref="O4:U4"/>
    <mergeCell ref="J5:K5"/>
    <mergeCell ref="L5:M5"/>
    <mergeCell ref="O5:U5"/>
    <mergeCell ref="E6:H6"/>
    <mergeCell ref="K6:M6"/>
    <mergeCell ref="O6:U6"/>
    <mergeCell ref="E7:H7"/>
    <mergeCell ref="K7:M7"/>
    <mergeCell ref="O7:U7"/>
    <mergeCell ref="P15:U15"/>
    <mergeCell ref="E8:H8"/>
    <mergeCell ref="K8:M8"/>
    <mergeCell ref="O8:U8"/>
    <mergeCell ref="E9:H9"/>
    <mergeCell ref="O9:U9"/>
    <mergeCell ref="E10:H10"/>
    <mergeCell ref="O10:U10"/>
    <mergeCell ref="E11:H11"/>
    <mergeCell ref="O11:U11"/>
    <mergeCell ref="O12:U12"/>
    <mergeCell ref="P13:U13"/>
    <mergeCell ref="P14:U14"/>
    <mergeCell ref="P27:U27"/>
    <mergeCell ref="P16:U16"/>
    <mergeCell ref="P17:U17"/>
    <mergeCell ref="P18:U18"/>
    <mergeCell ref="P19:U19"/>
    <mergeCell ref="P20:U20"/>
    <mergeCell ref="P21:U21"/>
    <mergeCell ref="P22:U22"/>
    <mergeCell ref="P23:U23"/>
    <mergeCell ref="P24:U24"/>
    <mergeCell ref="P25:U25"/>
    <mergeCell ref="P26:U26"/>
    <mergeCell ref="P34:U34"/>
    <mergeCell ref="P35:U35"/>
    <mergeCell ref="P36:U36"/>
    <mergeCell ref="P28:U28"/>
    <mergeCell ref="P29:U29"/>
    <mergeCell ref="P30:U30"/>
    <mergeCell ref="P31:U31"/>
    <mergeCell ref="P32:U32"/>
    <mergeCell ref="P33:U3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9937"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39938"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39939"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39940"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39941"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39942"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5EB60F86-894C-44F3-AA3F-5D69BAE3A4B7}">
            <xm:f>(AND(H14&lt;&gt;"",ISERROR(VLOOKUP(H14,system!$E:$E,1,FALSE))))</xm:f>
            <x14:dxf>
              <fill>
                <patternFill patternType="solid">
                  <bgColor rgb="FFFF0000"/>
                </patternFill>
              </fill>
            </x14:dxf>
          </x14:cfRule>
          <xm:sqref>H14:H28</xm:sqref>
        </x14:conditionalFormatting>
        <x14:conditionalFormatting xmlns:xm="http://schemas.microsoft.com/office/excel/2006/main">
          <x14:cfRule type="expression" priority="3" id="{6EAE4DE6-BC7F-4738-B392-22F82CFBFC38}">
            <xm:f>(AND(H14&lt;&gt;"",ISERROR(VLOOKUP(H14,system!$E:$E,1,FALSE))))</xm:f>
            <x14:dxf>
              <fill>
                <patternFill>
                  <bgColor rgb="FFFF0000"/>
                </patternFill>
              </fill>
            </x14:dxf>
          </x14:cfRule>
          <xm:sqref>I14:I28</xm:sqref>
        </x14:conditionalFormatting>
        <x14:conditionalFormatting xmlns:xm="http://schemas.microsoft.com/office/excel/2006/main">
          <x14:cfRule type="expression" priority="2" id="{2F6210F4-FCC8-4141-879A-486E4CEF2B8D}">
            <xm:f>(AND(H29&lt;&gt;"",ISERROR(VLOOKUP(H29,system!$E:$E,1,FALSE))))</xm:f>
            <x14:dxf>
              <fill>
                <patternFill patternType="solid">
                  <bgColor rgb="FFFF0000"/>
                </patternFill>
              </fill>
            </x14:dxf>
          </x14:cfRule>
          <xm:sqref>H29:H36</xm:sqref>
        </x14:conditionalFormatting>
        <x14:conditionalFormatting xmlns:xm="http://schemas.microsoft.com/office/excel/2006/main">
          <x14:cfRule type="expression" priority="1" id="{AC321909-5C9E-4CD2-A949-DDF46DA9538B}">
            <xm:f>(AND(H29&lt;&gt;"",ISERROR(VLOOKUP(H29,system!$E:$E,1,FALSE))))</xm:f>
            <x14:dxf>
              <fill>
                <patternFill>
                  <bgColor rgb="FFFF0000"/>
                </patternFill>
              </fill>
            </x14:dxf>
          </x14:cfRule>
          <xm:sqref>I29:I36</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A1:U25"/>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7" t="s">
        <v>27</v>
      </c>
      <c r="P1" s="248"/>
      <c r="Q1" s="248"/>
      <c r="R1" s="248"/>
      <c r="S1" s="248"/>
      <c r="T1" s="248"/>
      <c r="U1" s="249"/>
    </row>
    <row r="2" spans="1:21" ht="14.45" customHeight="1">
      <c r="A2" s="39"/>
      <c r="B2" s="100" t="s">
        <v>64</v>
      </c>
      <c r="C2" s="5"/>
      <c r="D2" s="5"/>
      <c r="E2" s="5"/>
      <c r="F2" s="5"/>
      <c r="G2" s="6"/>
      <c r="H2" s="7"/>
      <c r="I2" s="8"/>
      <c r="J2" s="250"/>
      <c r="K2" s="251"/>
      <c r="L2" s="250"/>
      <c r="M2" s="251"/>
      <c r="N2" s="52"/>
      <c r="O2" s="252" t="s">
        <v>776</v>
      </c>
      <c r="P2" s="253"/>
      <c r="Q2" s="253"/>
      <c r="R2" s="253"/>
      <c r="S2" s="253"/>
      <c r="T2" s="253"/>
      <c r="U2" s="254"/>
    </row>
    <row r="3" spans="1:21" ht="14.25" customHeight="1">
      <c r="A3" s="40"/>
      <c r="B3" s="35"/>
      <c r="C3" s="5"/>
      <c r="D3" s="5"/>
      <c r="E3" s="5"/>
      <c r="F3" s="5"/>
      <c r="G3" s="9"/>
      <c r="H3" s="10"/>
      <c r="I3" s="176" t="s">
        <v>1032</v>
      </c>
      <c r="J3" s="255" t="s">
        <v>1032</v>
      </c>
      <c r="K3" s="256"/>
      <c r="L3" s="255" t="s">
        <v>1032</v>
      </c>
      <c r="M3" s="256"/>
      <c r="N3" s="52"/>
      <c r="O3" s="257"/>
      <c r="P3" s="258"/>
      <c r="Q3" s="258"/>
      <c r="R3" s="258"/>
      <c r="S3" s="258"/>
      <c r="T3" s="258"/>
      <c r="U3" s="259"/>
    </row>
    <row r="4" spans="1:21" ht="14.45" customHeight="1">
      <c r="A4" s="41"/>
      <c r="B4" s="36" t="s">
        <v>3</v>
      </c>
      <c r="C4" s="5"/>
      <c r="D4" s="5"/>
      <c r="E4" s="5"/>
      <c r="F4" s="5"/>
      <c r="G4" s="6"/>
      <c r="H4" s="10"/>
      <c r="I4" s="177" t="s">
        <v>1035</v>
      </c>
      <c r="J4" s="240" t="s">
        <v>1034</v>
      </c>
      <c r="K4" s="241"/>
      <c r="L4" s="240" t="s">
        <v>1033</v>
      </c>
      <c r="M4" s="241"/>
      <c r="N4" s="52"/>
      <c r="O4" s="210"/>
      <c r="P4" s="211"/>
      <c r="Q4" s="211"/>
      <c r="R4" s="211"/>
      <c r="S4" s="211"/>
      <c r="T4" s="211"/>
      <c r="U4" s="212"/>
    </row>
    <row r="5" spans="1:21" ht="14.45" customHeight="1" thickBot="1">
      <c r="A5" s="42"/>
      <c r="B5" s="11"/>
      <c r="C5" s="11"/>
      <c r="D5" s="11"/>
      <c r="E5" s="11"/>
      <c r="F5" s="11"/>
      <c r="G5" s="12"/>
      <c r="H5" s="13"/>
      <c r="I5" s="14"/>
      <c r="J5" s="242"/>
      <c r="K5" s="243"/>
      <c r="L5" s="244"/>
      <c r="M5" s="245"/>
      <c r="N5" s="53"/>
      <c r="O5" s="246"/>
      <c r="P5" s="211"/>
      <c r="Q5" s="211"/>
      <c r="R5" s="211"/>
      <c r="S5" s="211"/>
      <c r="T5" s="211"/>
      <c r="U5" s="212"/>
    </row>
    <row r="6" spans="1:21" ht="14.45" customHeight="1">
      <c r="A6" s="43"/>
      <c r="B6" s="101" t="s">
        <v>4</v>
      </c>
      <c r="C6" s="20"/>
      <c r="D6" s="21"/>
      <c r="E6" s="222" t="s">
        <v>65</v>
      </c>
      <c r="F6" s="223"/>
      <c r="G6" s="223"/>
      <c r="H6" s="224"/>
      <c r="I6" s="60" t="s">
        <v>26</v>
      </c>
      <c r="J6" s="26"/>
      <c r="K6" s="225" t="s">
        <v>33</v>
      </c>
      <c r="L6" s="226"/>
      <c r="M6" s="227"/>
      <c r="N6" s="91" t="s">
        <v>5</v>
      </c>
      <c r="O6" s="210"/>
      <c r="P6" s="211"/>
      <c r="Q6" s="211"/>
      <c r="R6" s="211"/>
      <c r="S6" s="211"/>
      <c r="T6" s="211"/>
      <c r="U6" s="212"/>
    </row>
    <row r="7" spans="1:21" ht="15.75" customHeight="1">
      <c r="A7" s="44"/>
      <c r="B7" s="102" t="s">
        <v>6</v>
      </c>
      <c r="C7" s="22"/>
      <c r="D7" s="23"/>
      <c r="E7" s="228" t="s">
        <v>157</v>
      </c>
      <c r="F7" s="229"/>
      <c r="G7" s="229"/>
      <c r="H7" s="230"/>
      <c r="I7" s="61" t="s">
        <v>28</v>
      </c>
      <c r="J7" s="27"/>
      <c r="K7" s="231" t="s">
        <v>34</v>
      </c>
      <c r="L7" s="232"/>
      <c r="M7" s="233"/>
      <c r="N7" s="92">
        <f>COUNTIF(H14:H14,"LONG")+COUNTIF(H14:H14,"LONG RAW")</f>
        <v>0</v>
      </c>
      <c r="O7" s="210"/>
      <c r="P7" s="211"/>
      <c r="Q7" s="211"/>
      <c r="R7" s="211"/>
      <c r="S7" s="211"/>
      <c r="T7" s="211"/>
      <c r="U7" s="212"/>
    </row>
    <row r="8" spans="1:21" ht="14.45" customHeight="1">
      <c r="A8" s="45"/>
      <c r="B8" s="22" t="s">
        <v>7</v>
      </c>
      <c r="C8" s="22"/>
      <c r="D8" s="23"/>
      <c r="E8" s="228" t="s">
        <v>773</v>
      </c>
      <c r="F8" s="229"/>
      <c r="G8" s="229"/>
      <c r="H8" s="230"/>
      <c r="I8" s="62"/>
      <c r="J8" s="27"/>
      <c r="K8" s="234"/>
      <c r="L8" s="235"/>
      <c r="M8" s="236"/>
      <c r="N8" s="92"/>
      <c r="O8" s="210"/>
      <c r="P8" s="211"/>
      <c r="Q8" s="211"/>
      <c r="R8" s="211"/>
      <c r="S8" s="211"/>
      <c r="T8" s="211"/>
      <c r="U8" s="212"/>
    </row>
    <row r="9" spans="1:21" ht="14.45" customHeight="1">
      <c r="A9" s="45"/>
      <c r="B9" s="22" t="s">
        <v>8</v>
      </c>
      <c r="C9" s="22"/>
      <c r="D9" s="23"/>
      <c r="E9" s="237" t="s">
        <v>68</v>
      </c>
      <c r="F9" s="238"/>
      <c r="G9" s="238"/>
      <c r="H9" s="239"/>
      <c r="I9" s="61" t="s">
        <v>9</v>
      </c>
      <c r="J9" s="27"/>
      <c r="K9" s="86"/>
      <c r="L9" s="88">
        <f>SUM(N14:N26)</f>
        <v>145</v>
      </c>
      <c r="M9" s="82"/>
      <c r="N9" s="93">
        <f>SUMIF(M14:M14,"■",N14:N14)</f>
        <v>0</v>
      </c>
      <c r="O9" s="210"/>
      <c r="P9" s="211"/>
      <c r="Q9" s="211"/>
      <c r="R9" s="211"/>
      <c r="S9" s="211"/>
      <c r="T9" s="211"/>
      <c r="U9" s="212"/>
    </row>
    <row r="10" spans="1:21" ht="14.45" customHeight="1">
      <c r="A10" s="45"/>
      <c r="B10" s="22" t="s">
        <v>10</v>
      </c>
      <c r="C10" s="22"/>
      <c r="D10" s="23"/>
      <c r="E10" s="219" t="s">
        <v>68</v>
      </c>
      <c r="F10" s="220"/>
      <c r="G10" s="220"/>
      <c r="H10" s="221"/>
      <c r="I10" s="61" t="s">
        <v>11</v>
      </c>
      <c r="J10" s="27"/>
      <c r="K10" s="86"/>
      <c r="L10" s="89">
        <f>E11*L9/1000</f>
        <v>0</v>
      </c>
      <c r="M10" s="82"/>
      <c r="N10" s="55"/>
      <c r="O10" s="210"/>
      <c r="P10" s="211"/>
      <c r="Q10" s="211"/>
      <c r="R10" s="211"/>
      <c r="S10" s="211"/>
      <c r="T10" s="211"/>
      <c r="U10" s="212"/>
    </row>
    <row r="11" spans="1:21" ht="17.25" customHeight="1" thickBot="1">
      <c r="A11" s="46"/>
      <c r="B11" s="24" t="s">
        <v>29</v>
      </c>
      <c r="C11" s="24"/>
      <c r="D11" s="25"/>
      <c r="E11" s="207"/>
      <c r="F11" s="208"/>
      <c r="G11" s="208"/>
      <c r="H11" s="209"/>
      <c r="I11" s="103" t="s">
        <v>12</v>
      </c>
      <c r="J11" s="104"/>
      <c r="K11" s="87"/>
      <c r="L11" s="90"/>
      <c r="M11" s="83"/>
      <c r="N11" s="56"/>
      <c r="O11" s="210"/>
      <c r="P11" s="211"/>
      <c r="Q11" s="211"/>
      <c r="R11" s="211"/>
      <c r="S11" s="211"/>
      <c r="T11" s="211"/>
      <c r="U11" s="212"/>
    </row>
    <row r="12" spans="1:21" ht="15.75" customHeight="1" thickBot="1">
      <c r="A12" s="64"/>
      <c r="B12" s="65"/>
      <c r="C12" s="30"/>
      <c r="D12" s="30"/>
      <c r="E12" s="31"/>
      <c r="F12" s="32"/>
      <c r="G12" s="29"/>
      <c r="H12" s="28"/>
      <c r="I12" s="29"/>
      <c r="J12" s="30" t="s">
        <v>13</v>
      </c>
      <c r="K12" s="31"/>
      <c r="L12" s="66"/>
      <c r="M12" s="48"/>
      <c r="N12" s="57">
        <f>COUNTA(H14:H14)</f>
        <v>1</v>
      </c>
      <c r="O12" s="213"/>
      <c r="P12" s="214"/>
      <c r="Q12" s="214"/>
      <c r="R12" s="214"/>
      <c r="S12" s="214"/>
      <c r="T12" s="214"/>
      <c r="U12" s="21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16" t="s">
        <v>32</v>
      </c>
      <c r="Q13" s="217"/>
      <c r="R13" s="217"/>
      <c r="S13" s="217"/>
      <c r="T13" s="217"/>
      <c r="U13" s="218"/>
    </row>
    <row r="14" spans="1:21" ht="15.75" customHeight="1">
      <c r="A14" s="85" t="s">
        <v>188</v>
      </c>
      <c r="B14" s="37">
        <f>ROW()-13</f>
        <v>1</v>
      </c>
      <c r="C14" s="145" t="s">
        <v>777</v>
      </c>
      <c r="D14" s="80"/>
      <c r="E14" s="81"/>
      <c r="F14" s="146" t="s">
        <v>778</v>
      </c>
      <c r="G14" s="17"/>
      <c r="H14" s="18" t="s">
        <v>49</v>
      </c>
      <c r="I14" s="59"/>
      <c r="J14" s="19">
        <v>12</v>
      </c>
      <c r="K14" s="19"/>
      <c r="L14" s="50" t="s">
        <v>187</v>
      </c>
      <c r="M14" s="73" t="s">
        <v>21</v>
      </c>
      <c r="N14" s="54">
        <f t="shared" ref="N14:N24" si="0">IF(H14="NUMBER",IF(J14&gt;0,INT((J14+1)/2+0.9),0),IF(H14="DATE",7,IF(OR(H14="LONG",H14="LONG RAW"),100000,J14)))</f>
        <v>12</v>
      </c>
      <c r="O14" s="167"/>
      <c r="P14" s="203"/>
      <c r="Q14" s="204"/>
      <c r="R14" s="204"/>
      <c r="S14" s="204"/>
      <c r="T14" s="204"/>
      <c r="U14" s="205"/>
    </row>
    <row r="15" spans="1:21" ht="15.75" customHeight="1">
      <c r="A15" s="85"/>
      <c r="B15" s="37">
        <f>ROW()-13</f>
        <v>2</v>
      </c>
      <c r="C15" s="145" t="s">
        <v>779</v>
      </c>
      <c r="D15" s="80"/>
      <c r="E15" s="81"/>
      <c r="F15" s="146" t="s">
        <v>780</v>
      </c>
      <c r="G15" s="17"/>
      <c r="H15" s="18" t="s">
        <v>51</v>
      </c>
      <c r="I15" s="59"/>
      <c r="J15" s="19">
        <v>30</v>
      </c>
      <c r="K15" s="19"/>
      <c r="L15" s="50" t="s">
        <v>187</v>
      </c>
      <c r="M15" s="73" t="s">
        <v>21</v>
      </c>
      <c r="N15" s="54">
        <f t="shared" si="0"/>
        <v>30</v>
      </c>
      <c r="O15" s="167"/>
      <c r="P15" s="203"/>
      <c r="Q15" s="204"/>
      <c r="R15" s="204"/>
      <c r="S15" s="204"/>
      <c r="T15" s="204"/>
      <c r="U15" s="205"/>
    </row>
    <row r="16" spans="1:21" ht="27.6" customHeight="1">
      <c r="A16" s="85"/>
      <c r="B16" s="37">
        <f>ROW()-13</f>
        <v>3</v>
      </c>
      <c r="C16" s="145" t="s">
        <v>225</v>
      </c>
      <c r="D16" s="80"/>
      <c r="E16" s="81"/>
      <c r="F16" s="146" t="s">
        <v>226</v>
      </c>
      <c r="G16" s="17"/>
      <c r="H16" s="18" t="s">
        <v>49</v>
      </c>
      <c r="I16" s="59"/>
      <c r="J16" s="19">
        <v>1</v>
      </c>
      <c r="K16" s="19"/>
      <c r="L16" s="50"/>
      <c r="M16" s="73" t="s">
        <v>21</v>
      </c>
      <c r="N16" s="54">
        <f t="shared" si="0"/>
        <v>1</v>
      </c>
      <c r="O16" s="167"/>
      <c r="P16" s="206" t="s">
        <v>227</v>
      </c>
      <c r="Q16" s="204"/>
      <c r="R16" s="204"/>
      <c r="S16" s="204"/>
      <c r="T16" s="204"/>
      <c r="U16" s="205"/>
    </row>
    <row r="17" spans="1:21" ht="15.75" customHeight="1">
      <c r="A17" s="85"/>
      <c r="B17" s="37">
        <f>ROW()-13</f>
        <v>4</v>
      </c>
      <c r="C17" s="145" t="s">
        <v>293</v>
      </c>
      <c r="D17" s="80"/>
      <c r="E17" s="81"/>
      <c r="F17" s="146" t="s">
        <v>294</v>
      </c>
      <c r="G17" s="17"/>
      <c r="H17" s="18" t="s">
        <v>51</v>
      </c>
      <c r="I17" s="59"/>
      <c r="J17" s="19">
        <v>50</v>
      </c>
      <c r="K17" s="19"/>
      <c r="L17" s="50"/>
      <c r="M17" s="73" t="s">
        <v>21</v>
      </c>
      <c r="N17" s="54">
        <f t="shared" si="0"/>
        <v>50</v>
      </c>
      <c r="O17" s="167"/>
      <c r="P17" s="203"/>
      <c r="Q17" s="204"/>
      <c r="R17" s="204"/>
      <c r="S17" s="204"/>
      <c r="T17" s="204"/>
      <c r="U17" s="205"/>
    </row>
    <row r="18" spans="1:21" ht="15.75">
      <c r="A18" s="85"/>
      <c r="B18" s="37">
        <f t="shared" ref="B18:B24" si="1">ROW()-13</f>
        <v>5</v>
      </c>
      <c r="C18" s="107" t="s">
        <v>36</v>
      </c>
      <c r="D18" s="107"/>
      <c r="E18" s="108"/>
      <c r="F18" s="109" t="s">
        <v>78</v>
      </c>
      <c r="G18" s="110"/>
      <c r="H18" s="18" t="s">
        <v>51</v>
      </c>
      <c r="I18" s="59"/>
      <c r="J18" s="113">
        <v>12</v>
      </c>
      <c r="K18" s="113"/>
      <c r="L18" s="114"/>
      <c r="M18" s="115" t="s">
        <v>35</v>
      </c>
      <c r="N18" s="116">
        <f t="shared" si="0"/>
        <v>12</v>
      </c>
      <c r="O18" s="168"/>
      <c r="P18" s="200"/>
      <c r="Q18" s="201"/>
      <c r="R18" s="201"/>
      <c r="S18" s="201"/>
      <c r="T18" s="201"/>
      <c r="U18" s="202"/>
    </row>
    <row r="19" spans="1:21" ht="15.75">
      <c r="A19" s="85"/>
      <c r="B19" s="37">
        <f t="shared" si="1"/>
        <v>6</v>
      </c>
      <c r="C19" s="107" t="s">
        <v>37</v>
      </c>
      <c r="D19" s="107"/>
      <c r="E19" s="108"/>
      <c r="F19" s="109" t="s">
        <v>43</v>
      </c>
      <c r="G19" s="110"/>
      <c r="H19" s="18" t="s">
        <v>51</v>
      </c>
      <c r="I19" s="59"/>
      <c r="J19" s="113">
        <v>10</v>
      </c>
      <c r="K19" s="113"/>
      <c r="L19" s="114"/>
      <c r="M19" s="115" t="s">
        <v>21</v>
      </c>
      <c r="N19" s="116">
        <f t="shared" si="0"/>
        <v>10</v>
      </c>
      <c r="O19" s="168"/>
      <c r="P19" s="200"/>
      <c r="Q19" s="201"/>
      <c r="R19" s="201"/>
      <c r="S19" s="201"/>
      <c r="T19" s="201"/>
      <c r="U19" s="202"/>
    </row>
    <row r="20" spans="1:21" ht="15.75">
      <c r="A20" s="85"/>
      <c r="B20" s="37">
        <f t="shared" si="1"/>
        <v>7</v>
      </c>
      <c r="C20" s="107" t="s">
        <v>38</v>
      </c>
      <c r="D20" s="107"/>
      <c r="E20" s="108"/>
      <c r="F20" s="109" t="s">
        <v>80</v>
      </c>
      <c r="G20" s="110"/>
      <c r="H20" s="18" t="s">
        <v>86</v>
      </c>
      <c r="I20" s="59"/>
      <c r="J20" s="113"/>
      <c r="K20" s="113"/>
      <c r="L20" s="114"/>
      <c r="M20" s="115" t="s">
        <v>21</v>
      </c>
      <c r="N20" s="116">
        <f t="shared" si="0"/>
        <v>0</v>
      </c>
      <c r="O20" s="168"/>
      <c r="P20" s="200"/>
      <c r="Q20" s="201"/>
      <c r="R20" s="201"/>
      <c r="S20" s="201"/>
      <c r="T20" s="201"/>
      <c r="U20" s="202"/>
    </row>
    <row r="21" spans="1:21" ht="15.75">
      <c r="A21" s="85"/>
      <c r="B21" s="37">
        <f t="shared" si="1"/>
        <v>8</v>
      </c>
      <c r="C21" s="107" t="s">
        <v>39</v>
      </c>
      <c r="D21" s="107"/>
      <c r="E21" s="108"/>
      <c r="F21" s="109" t="s">
        <v>79</v>
      </c>
      <c r="G21" s="110"/>
      <c r="H21" s="18" t="s">
        <v>51</v>
      </c>
      <c r="I21" s="59"/>
      <c r="J21" s="113">
        <v>12</v>
      </c>
      <c r="K21" s="113"/>
      <c r="L21" s="114"/>
      <c r="M21" s="115" t="s">
        <v>35</v>
      </c>
      <c r="N21" s="116">
        <f t="shared" si="0"/>
        <v>12</v>
      </c>
      <c r="O21" s="168"/>
      <c r="P21" s="200"/>
      <c r="Q21" s="201"/>
      <c r="R21" s="201"/>
      <c r="S21" s="201"/>
      <c r="T21" s="201"/>
      <c r="U21" s="202"/>
    </row>
    <row r="22" spans="1:21" ht="15.75">
      <c r="A22" s="85"/>
      <c r="B22" s="37">
        <f t="shared" si="1"/>
        <v>9</v>
      </c>
      <c r="C22" s="107" t="s">
        <v>40</v>
      </c>
      <c r="D22" s="107"/>
      <c r="E22" s="108"/>
      <c r="F22" s="109" t="s">
        <v>44</v>
      </c>
      <c r="G22" s="110"/>
      <c r="H22" s="18" t="s">
        <v>51</v>
      </c>
      <c r="I22" s="59"/>
      <c r="J22" s="113">
        <v>10</v>
      </c>
      <c r="K22" s="113"/>
      <c r="L22" s="114"/>
      <c r="M22" s="115" t="s">
        <v>21</v>
      </c>
      <c r="N22" s="116">
        <f t="shared" si="0"/>
        <v>10</v>
      </c>
      <c r="O22" s="168"/>
      <c r="P22" s="200"/>
      <c r="Q22" s="201"/>
      <c r="R22" s="201"/>
      <c r="S22" s="201"/>
      <c r="T22" s="201"/>
      <c r="U22" s="202"/>
    </row>
    <row r="23" spans="1:21" ht="15.75">
      <c r="A23" s="85"/>
      <c r="B23" s="37">
        <f t="shared" si="1"/>
        <v>10</v>
      </c>
      <c r="C23" s="107" t="s">
        <v>41</v>
      </c>
      <c r="D23" s="107"/>
      <c r="E23" s="108"/>
      <c r="F23" s="109" t="s">
        <v>81</v>
      </c>
      <c r="G23" s="110"/>
      <c r="H23" s="18" t="s">
        <v>86</v>
      </c>
      <c r="I23" s="59"/>
      <c r="J23" s="113"/>
      <c r="K23" s="113"/>
      <c r="L23" s="114"/>
      <c r="M23" s="115" t="s">
        <v>21</v>
      </c>
      <c r="N23" s="116">
        <f t="shared" si="0"/>
        <v>0</v>
      </c>
      <c r="O23" s="168"/>
      <c r="P23" s="200"/>
      <c r="Q23" s="201"/>
      <c r="R23" s="201"/>
      <c r="S23" s="201"/>
      <c r="T23" s="201"/>
      <c r="U23" s="202"/>
    </row>
    <row r="24" spans="1:21" ht="15.75">
      <c r="A24" s="85"/>
      <c r="B24" s="37">
        <f t="shared" si="1"/>
        <v>11</v>
      </c>
      <c r="C24" s="80" t="s">
        <v>46</v>
      </c>
      <c r="D24" s="80"/>
      <c r="E24" s="81"/>
      <c r="F24" s="84" t="s">
        <v>71</v>
      </c>
      <c r="G24" s="17"/>
      <c r="H24" s="18" t="s">
        <v>62</v>
      </c>
      <c r="I24" s="59"/>
      <c r="J24" s="19">
        <v>8</v>
      </c>
      <c r="K24" s="19"/>
      <c r="L24" s="50" t="s">
        <v>47</v>
      </c>
      <c r="M24" s="73" t="s">
        <v>35</v>
      </c>
      <c r="N24" s="54">
        <f t="shared" si="0"/>
        <v>8</v>
      </c>
      <c r="O24" s="167">
        <v>0</v>
      </c>
      <c r="P24" s="203" t="s">
        <v>48</v>
      </c>
      <c r="Q24" s="204"/>
      <c r="R24" s="204"/>
      <c r="S24" s="204"/>
      <c r="T24" s="204"/>
      <c r="U24" s="205"/>
    </row>
    <row r="25" spans="1:21" ht="16.5" thickBot="1">
      <c r="A25" s="118"/>
      <c r="B25" s="119"/>
      <c r="C25" s="120"/>
      <c r="D25" s="120"/>
      <c r="E25" s="121"/>
      <c r="F25" s="129"/>
      <c r="G25" s="122"/>
      <c r="H25" s="147"/>
      <c r="I25" s="148"/>
      <c r="J25" s="125"/>
      <c r="K25" s="125"/>
      <c r="L25" s="126"/>
      <c r="M25" s="126"/>
      <c r="N25" s="127"/>
      <c r="O25" s="169"/>
      <c r="P25" s="197"/>
      <c r="Q25" s="198"/>
      <c r="R25" s="198"/>
      <c r="S25" s="198"/>
      <c r="T25" s="198"/>
      <c r="U25" s="199"/>
    </row>
  </sheetData>
  <mergeCells count="42">
    <mergeCell ref="O1:U1"/>
    <mergeCell ref="J2:K2"/>
    <mergeCell ref="L2:M2"/>
    <mergeCell ref="O2:U2"/>
    <mergeCell ref="J3:K3"/>
    <mergeCell ref="L3:M3"/>
    <mergeCell ref="O3:U3"/>
    <mergeCell ref="J4:K4"/>
    <mergeCell ref="L4:M4"/>
    <mergeCell ref="O4:U4"/>
    <mergeCell ref="J5:K5"/>
    <mergeCell ref="L5:M5"/>
    <mergeCell ref="O5:U5"/>
    <mergeCell ref="E6:H6"/>
    <mergeCell ref="K6:M6"/>
    <mergeCell ref="O6:U6"/>
    <mergeCell ref="E7:H7"/>
    <mergeCell ref="K7:M7"/>
    <mergeCell ref="O7:U7"/>
    <mergeCell ref="P15:U15"/>
    <mergeCell ref="E8:H8"/>
    <mergeCell ref="K8:M8"/>
    <mergeCell ref="O8:U8"/>
    <mergeCell ref="E9:H9"/>
    <mergeCell ref="O9:U9"/>
    <mergeCell ref="E10:H10"/>
    <mergeCell ref="O10:U10"/>
    <mergeCell ref="E11:H11"/>
    <mergeCell ref="O11:U11"/>
    <mergeCell ref="O12:U12"/>
    <mergeCell ref="P13:U13"/>
    <mergeCell ref="P14:U14"/>
    <mergeCell ref="P22:U22"/>
    <mergeCell ref="P23:U23"/>
    <mergeCell ref="P24:U24"/>
    <mergeCell ref="P25:U25"/>
    <mergeCell ref="P16:U16"/>
    <mergeCell ref="P17:U17"/>
    <mergeCell ref="P18:U18"/>
    <mergeCell ref="P19:U19"/>
    <mergeCell ref="P20:U20"/>
    <mergeCell ref="P21:U21"/>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61"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40962"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40963"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40964"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40965"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40966"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205D35DE-2AD6-4BD3-9153-802EF60D89B2}">
            <xm:f>(AND(H14&lt;&gt;"",ISERROR(VLOOKUP(H14,system!$E:$E,1,FALSE))))</xm:f>
            <x14:dxf>
              <fill>
                <patternFill patternType="solid">
                  <bgColor rgb="FFFF0000"/>
                </patternFill>
              </fill>
            </x14:dxf>
          </x14:cfRule>
          <xm:sqref>H14:H17</xm:sqref>
        </x14:conditionalFormatting>
        <x14:conditionalFormatting xmlns:xm="http://schemas.microsoft.com/office/excel/2006/main">
          <x14:cfRule type="expression" priority="3" id="{D7EF830D-2877-4123-A426-865AD1750174}">
            <xm:f>(AND(H14&lt;&gt;"",ISERROR(VLOOKUP(H14,system!$E:$E,1,FALSE))))</xm:f>
            <x14:dxf>
              <fill>
                <patternFill>
                  <bgColor rgb="FFFF0000"/>
                </patternFill>
              </fill>
            </x14:dxf>
          </x14:cfRule>
          <xm:sqref>I14:I17</xm:sqref>
        </x14:conditionalFormatting>
        <x14:conditionalFormatting xmlns:xm="http://schemas.microsoft.com/office/excel/2006/main">
          <x14:cfRule type="expression" priority="2" id="{F21EEA86-3F37-43B1-A1D0-5E27E7F0A38C}">
            <xm:f>(AND(H18&lt;&gt;"",ISERROR(VLOOKUP(H18,system!$E:$E,1,FALSE))))</xm:f>
            <x14:dxf>
              <fill>
                <patternFill patternType="solid">
                  <bgColor rgb="FFFF0000"/>
                </patternFill>
              </fill>
            </x14:dxf>
          </x14:cfRule>
          <xm:sqref>H18:H25</xm:sqref>
        </x14:conditionalFormatting>
        <x14:conditionalFormatting xmlns:xm="http://schemas.microsoft.com/office/excel/2006/main">
          <x14:cfRule type="expression" priority="1" id="{90194E2F-1E96-4A25-BAB5-08636237B5C5}">
            <xm:f>(AND(H18&lt;&gt;"",ISERROR(VLOOKUP(H18,system!$E:$E,1,FALSE))))</xm:f>
            <x14:dxf>
              <fill>
                <patternFill>
                  <bgColor rgb="FFFF0000"/>
                </patternFill>
              </fill>
            </x14:dxf>
          </x14:cfRule>
          <xm:sqref>I18:I25</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A1:U33"/>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7" t="s">
        <v>27</v>
      </c>
      <c r="P1" s="248"/>
      <c r="Q1" s="248"/>
      <c r="R1" s="248"/>
      <c r="S1" s="248"/>
      <c r="T1" s="248"/>
      <c r="U1" s="249"/>
    </row>
    <row r="2" spans="1:21" ht="14.45" customHeight="1">
      <c r="A2" s="39"/>
      <c r="B2" s="100" t="s">
        <v>64</v>
      </c>
      <c r="C2" s="5"/>
      <c r="D2" s="5"/>
      <c r="E2" s="5"/>
      <c r="F2" s="5"/>
      <c r="G2" s="6"/>
      <c r="H2" s="7"/>
      <c r="I2" s="8"/>
      <c r="J2" s="250"/>
      <c r="K2" s="251"/>
      <c r="L2" s="250"/>
      <c r="M2" s="251"/>
      <c r="N2" s="52"/>
      <c r="O2" s="252" t="s">
        <v>784</v>
      </c>
      <c r="P2" s="253"/>
      <c r="Q2" s="253"/>
      <c r="R2" s="253"/>
      <c r="S2" s="253"/>
      <c r="T2" s="253"/>
      <c r="U2" s="254"/>
    </row>
    <row r="3" spans="1:21" ht="14.25" customHeight="1">
      <c r="A3" s="40"/>
      <c r="B3" s="35"/>
      <c r="C3" s="5"/>
      <c r="D3" s="5"/>
      <c r="E3" s="5"/>
      <c r="F3" s="5"/>
      <c r="G3" s="9"/>
      <c r="H3" s="10"/>
      <c r="I3" s="176" t="s">
        <v>1032</v>
      </c>
      <c r="J3" s="255" t="s">
        <v>1032</v>
      </c>
      <c r="K3" s="256"/>
      <c r="L3" s="255" t="s">
        <v>1032</v>
      </c>
      <c r="M3" s="256"/>
      <c r="N3" s="52"/>
      <c r="O3" s="257"/>
      <c r="P3" s="258"/>
      <c r="Q3" s="258"/>
      <c r="R3" s="258"/>
      <c r="S3" s="258"/>
      <c r="T3" s="258"/>
      <c r="U3" s="259"/>
    </row>
    <row r="4" spans="1:21" ht="14.45" customHeight="1">
      <c r="A4" s="41"/>
      <c r="B4" s="36" t="s">
        <v>3</v>
      </c>
      <c r="C4" s="5"/>
      <c r="D4" s="5"/>
      <c r="E4" s="5"/>
      <c r="F4" s="5"/>
      <c r="G4" s="6"/>
      <c r="H4" s="10"/>
      <c r="I4" s="177" t="s">
        <v>1035</v>
      </c>
      <c r="J4" s="240" t="s">
        <v>1034</v>
      </c>
      <c r="K4" s="241"/>
      <c r="L4" s="240" t="s">
        <v>1033</v>
      </c>
      <c r="M4" s="241"/>
      <c r="N4" s="52"/>
      <c r="O4" s="210"/>
      <c r="P4" s="211"/>
      <c r="Q4" s="211"/>
      <c r="R4" s="211"/>
      <c r="S4" s="211"/>
      <c r="T4" s="211"/>
      <c r="U4" s="212"/>
    </row>
    <row r="5" spans="1:21" ht="14.45" customHeight="1" thickBot="1">
      <c r="A5" s="42"/>
      <c r="B5" s="11"/>
      <c r="C5" s="11"/>
      <c r="D5" s="11"/>
      <c r="E5" s="11"/>
      <c r="F5" s="11"/>
      <c r="G5" s="12"/>
      <c r="H5" s="13"/>
      <c r="I5" s="14"/>
      <c r="J5" s="242"/>
      <c r="K5" s="243"/>
      <c r="L5" s="244"/>
      <c r="M5" s="245"/>
      <c r="N5" s="53"/>
      <c r="O5" s="246"/>
      <c r="P5" s="211"/>
      <c r="Q5" s="211"/>
      <c r="R5" s="211"/>
      <c r="S5" s="211"/>
      <c r="T5" s="211"/>
      <c r="U5" s="212"/>
    </row>
    <row r="6" spans="1:21" ht="14.45" customHeight="1">
      <c r="A6" s="43"/>
      <c r="B6" s="101" t="s">
        <v>4</v>
      </c>
      <c r="C6" s="20"/>
      <c r="D6" s="21"/>
      <c r="E6" s="222" t="s">
        <v>65</v>
      </c>
      <c r="F6" s="223"/>
      <c r="G6" s="223"/>
      <c r="H6" s="224"/>
      <c r="I6" s="60" t="s">
        <v>26</v>
      </c>
      <c r="J6" s="26"/>
      <c r="K6" s="225" t="s">
        <v>33</v>
      </c>
      <c r="L6" s="226"/>
      <c r="M6" s="227"/>
      <c r="N6" s="91" t="s">
        <v>5</v>
      </c>
      <c r="O6" s="210"/>
      <c r="P6" s="211"/>
      <c r="Q6" s="211"/>
      <c r="R6" s="211"/>
      <c r="S6" s="211"/>
      <c r="T6" s="211"/>
      <c r="U6" s="212"/>
    </row>
    <row r="7" spans="1:21" ht="15.75" customHeight="1">
      <c r="A7" s="44"/>
      <c r="B7" s="102" t="s">
        <v>6</v>
      </c>
      <c r="C7" s="22"/>
      <c r="D7" s="23"/>
      <c r="E7" s="228" t="s">
        <v>158</v>
      </c>
      <c r="F7" s="229"/>
      <c r="G7" s="229"/>
      <c r="H7" s="230"/>
      <c r="I7" s="61" t="s">
        <v>28</v>
      </c>
      <c r="J7" s="27"/>
      <c r="K7" s="231" t="s">
        <v>34</v>
      </c>
      <c r="L7" s="232"/>
      <c r="M7" s="233"/>
      <c r="N7" s="92">
        <f>COUNTIF(H14:H14,"LONG")+COUNTIF(H14:H14,"LONG RAW")</f>
        <v>0</v>
      </c>
      <c r="O7" s="210"/>
      <c r="P7" s="211"/>
      <c r="Q7" s="211"/>
      <c r="R7" s="211"/>
      <c r="S7" s="211"/>
      <c r="T7" s="211"/>
      <c r="U7" s="212"/>
    </row>
    <row r="8" spans="1:21" ht="14.45" customHeight="1">
      <c r="A8" s="45"/>
      <c r="B8" s="22" t="s">
        <v>7</v>
      </c>
      <c r="C8" s="22"/>
      <c r="D8" s="23"/>
      <c r="E8" s="228" t="s">
        <v>781</v>
      </c>
      <c r="F8" s="229"/>
      <c r="G8" s="229"/>
      <c r="H8" s="230"/>
      <c r="I8" s="62"/>
      <c r="J8" s="27"/>
      <c r="K8" s="234"/>
      <c r="L8" s="235"/>
      <c r="M8" s="236"/>
      <c r="N8" s="92"/>
      <c r="O8" s="210"/>
      <c r="P8" s="211"/>
      <c r="Q8" s="211"/>
      <c r="R8" s="211"/>
      <c r="S8" s="211"/>
      <c r="T8" s="211"/>
      <c r="U8" s="212"/>
    </row>
    <row r="9" spans="1:21" ht="14.45" customHeight="1">
      <c r="A9" s="45"/>
      <c r="B9" s="22" t="s">
        <v>8</v>
      </c>
      <c r="C9" s="22"/>
      <c r="D9" s="23"/>
      <c r="E9" s="237" t="s">
        <v>68</v>
      </c>
      <c r="F9" s="238"/>
      <c r="G9" s="238"/>
      <c r="H9" s="239"/>
      <c r="I9" s="61" t="s">
        <v>9</v>
      </c>
      <c r="J9" s="27"/>
      <c r="K9" s="86"/>
      <c r="L9" s="88">
        <f>SUM(N14:N34)</f>
        <v>168</v>
      </c>
      <c r="M9" s="82"/>
      <c r="N9" s="93">
        <f>SUMIF(M14:M14,"■",N14:N14)</f>
        <v>0</v>
      </c>
      <c r="O9" s="210"/>
      <c r="P9" s="211"/>
      <c r="Q9" s="211"/>
      <c r="R9" s="211"/>
      <c r="S9" s="211"/>
      <c r="T9" s="211"/>
      <c r="U9" s="212"/>
    </row>
    <row r="10" spans="1:21" ht="14.45" customHeight="1">
      <c r="A10" s="45"/>
      <c r="B10" s="22" t="s">
        <v>10</v>
      </c>
      <c r="C10" s="22"/>
      <c r="D10" s="23"/>
      <c r="E10" s="219" t="s">
        <v>68</v>
      </c>
      <c r="F10" s="220"/>
      <c r="G10" s="220"/>
      <c r="H10" s="221"/>
      <c r="I10" s="61" t="s">
        <v>11</v>
      </c>
      <c r="J10" s="27"/>
      <c r="K10" s="86"/>
      <c r="L10" s="89">
        <f>E11*L9/1000</f>
        <v>0</v>
      </c>
      <c r="M10" s="82"/>
      <c r="N10" s="55"/>
      <c r="O10" s="210"/>
      <c r="P10" s="211"/>
      <c r="Q10" s="211"/>
      <c r="R10" s="211"/>
      <c r="S10" s="211"/>
      <c r="T10" s="211"/>
      <c r="U10" s="212"/>
    </row>
    <row r="11" spans="1:21" ht="17.25" customHeight="1" thickBot="1">
      <c r="A11" s="46"/>
      <c r="B11" s="24" t="s">
        <v>29</v>
      </c>
      <c r="C11" s="24"/>
      <c r="D11" s="25"/>
      <c r="E11" s="207"/>
      <c r="F11" s="208"/>
      <c r="G11" s="208"/>
      <c r="H11" s="209"/>
      <c r="I11" s="103" t="s">
        <v>12</v>
      </c>
      <c r="J11" s="104"/>
      <c r="K11" s="87"/>
      <c r="L11" s="90"/>
      <c r="M11" s="83"/>
      <c r="N11" s="56"/>
      <c r="O11" s="210"/>
      <c r="P11" s="211"/>
      <c r="Q11" s="211"/>
      <c r="R11" s="211"/>
      <c r="S11" s="211"/>
      <c r="T11" s="211"/>
      <c r="U11" s="212"/>
    </row>
    <row r="12" spans="1:21" ht="15.75" customHeight="1" thickBot="1">
      <c r="A12" s="64"/>
      <c r="B12" s="65"/>
      <c r="C12" s="30"/>
      <c r="D12" s="30"/>
      <c r="E12" s="31"/>
      <c r="F12" s="32"/>
      <c r="G12" s="29"/>
      <c r="H12" s="28"/>
      <c r="I12" s="29"/>
      <c r="J12" s="30" t="s">
        <v>13</v>
      </c>
      <c r="K12" s="31"/>
      <c r="L12" s="66"/>
      <c r="M12" s="48"/>
      <c r="N12" s="57">
        <f>COUNTA(H14:H14)</f>
        <v>1</v>
      </c>
      <c r="O12" s="213"/>
      <c r="P12" s="214"/>
      <c r="Q12" s="214"/>
      <c r="R12" s="214"/>
      <c r="S12" s="214"/>
      <c r="T12" s="214"/>
      <c r="U12" s="21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16" t="s">
        <v>32</v>
      </c>
      <c r="Q13" s="217"/>
      <c r="R13" s="217"/>
      <c r="S13" s="217"/>
      <c r="T13" s="217"/>
      <c r="U13" s="218"/>
    </row>
    <row r="14" spans="1:21" ht="15.75" customHeight="1">
      <c r="A14" s="85" t="s">
        <v>188</v>
      </c>
      <c r="B14" s="37">
        <f t="shared" ref="B14:B25" si="0">ROW()-13</f>
        <v>1</v>
      </c>
      <c r="C14" s="145" t="s">
        <v>195</v>
      </c>
      <c r="D14" s="80"/>
      <c r="E14" s="81"/>
      <c r="F14" s="146" t="s">
        <v>1058</v>
      </c>
      <c r="G14" s="17"/>
      <c r="H14" s="18" t="s">
        <v>49</v>
      </c>
      <c r="I14" s="59"/>
      <c r="J14" s="19">
        <v>1</v>
      </c>
      <c r="K14" s="19"/>
      <c r="L14" s="50" t="s">
        <v>187</v>
      </c>
      <c r="M14" s="73" t="s">
        <v>21</v>
      </c>
      <c r="N14" s="54">
        <f t="shared" ref="N14:N32" si="1">IF(H14="NUMBER",IF(J14&gt;0,INT((J14+1)/2+0.9),0),IF(H14="DATE",7,IF(OR(H14="LONG",H14="LONG RAW"),100000,J14)))</f>
        <v>1</v>
      </c>
      <c r="O14" s="167"/>
      <c r="P14" s="203"/>
      <c r="Q14" s="204"/>
      <c r="R14" s="204"/>
      <c r="S14" s="204"/>
      <c r="T14" s="204"/>
      <c r="U14" s="205"/>
    </row>
    <row r="15" spans="1:21" ht="15.75" customHeight="1">
      <c r="A15" s="85" t="s">
        <v>188</v>
      </c>
      <c r="B15" s="37">
        <f t="shared" si="0"/>
        <v>2</v>
      </c>
      <c r="C15" s="145" t="s">
        <v>196</v>
      </c>
      <c r="D15" s="80"/>
      <c r="E15" s="81"/>
      <c r="F15" s="146" t="s">
        <v>197</v>
      </c>
      <c r="G15" s="17"/>
      <c r="H15" s="18" t="s">
        <v>51</v>
      </c>
      <c r="I15" s="59"/>
      <c r="J15" s="19">
        <v>25</v>
      </c>
      <c r="K15" s="19"/>
      <c r="L15" s="50" t="s">
        <v>187</v>
      </c>
      <c r="M15" s="73" t="s">
        <v>21</v>
      </c>
      <c r="N15" s="54">
        <f t="shared" si="1"/>
        <v>25</v>
      </c>
      <c r="O15" s="167"/>
      <c r="P15" s="203"/>
      <c r="Q15" s="204"/>
      <c r="R15" s="204"/>
      <c r="S15" s="204"/>
      <c r="T15" s="204"/>
      <c r="U15" s="205"/>
    </row>
    <row r="16" spans="1:21" ht="15.75" customHeight="1">
      <c r="A16" s="85" t="s">
        <v>188</v>
      </c>
      <c r="B16" s="37">
        <f t="shared" si="0"/>
        <v>3</v>
      </c>
      <c r="C16" s="145" t="s">
        <v>198</v>
      </c>
      <c r="D16" s="80"/>
      <c r="E16" s="81"/>
      <c r="F16" s="146" t="s">
        <v>199</v>
      </c>
      <c r="G16" s="17"/>
      <c r="H16" s="18" t="s">
        <v>51</v>
      </c>
      <c r="I16" s="59"/>
      <c r="J16" s="19">
        <v>4</v>
      </c>
      <c r="K16" s="19"/>
      <c r="L16" s="50" t="s">
        <v>187</v>
      </c>
      <c r="M16" s="73" t="s">
        <v>21</v>
      </c>
      <c r="N16" s="54">
        <f t="shared" si="1"/>
        <v>4</v>
      </c>
      <c r="O16" s="167"/>
      <c r="P16" s="203" t="s">
        <v>200</v>
      </c>
      <c r="Q16" s="204"/>
      <c r="R16" s="204"/>
      <c r="S16" s="204"/>
      <c r="T16" s="204"/>
      <c r="U16" s="205"/>
    </row>
    <row r="17" spans="1:21" ht="74.45" customHeight="1">
      <c r="A17" s="85" t="s">
        <v>188</v>
      </c>
      <c r="B17" s="37">
        <f t="shared" si="0"/>
        <v>4</v>
      </c>
      <c r="C17" s="145" t="s">
        <v>201</v>
      </c>
      <c r="D17" s="80"/>
      <c r="E17" s="81"/>
      <c r="F17" s="146" t="s">
        <v>202</v>
      </c>
      <c r="G17" s="17"/>
      <c r="H17" s="18" t="s">
        <v>49</v>
      </c>
      <c r="I17" s="59"/>
      <c r="J17" s="19">
        <v>1</v>
      </c>
      <c r="K17" s="19"/>
      <c r="L17" s="50" t="s">
        <v>187</v>
      </c>
      <c r="M17" s="73" t="s">
        <v>21</v>
      </c>
      <c r="N17" s="54">
        <f t="shared" si="1"/>
        <v>1</v>
      </c>
      <c r="O17" s="167"/>
      <c r="P17" s="206" t="s">
        <v>203</v>
      </c>
      <c r="Q17" s="204"/>
      <c r="R17" s="204"/>
      <c r="S17" s="204"/>
      <c r="T17" s="204"/>
      <c r="U17" s="205"/>
    </row>
    <row r="18" spans="1:21" ht="27.6" customHeight="1">
      <c r="A18" s="85" t="s">
        <v>188</v>
      </c>
      <c r="B18" s="37">
        <f t="shared" si="0"/>
        <v>5</v>
      </c>
      <c r="C18" s="145" t="s">
        <v>204</v>
      </c>
      <c r="D18" s="80"/>
      <c r="E18" s="81"/>
      <c r="F18" s="146" t="s">
        <v>205</v>
      </c>
      <c r="G18" s="17"/>
      <c r="H18" s="18" t="s">
        <v>49</v>
      </c>
      <c r="I18" s="59"/>
      <c r="J18" s="19">
        <v>1</v>
      </c>
      <c r="K18" s="19"/>
      <c r="L18" s="50" t="s">
        <v>187</v>
      </c>
      <c r="M18" s="73" t="s">
        <v>21</v>
      </c>
      <c r="N18" s="54">
        <f t="shared" si="1"/>
        <v>1</v>
      </c>
      <c r="O18" s="167"/>
      <c r="P18" s="206" t="s">
        <v>206</v>
      </c>
      <c r="Q18" s="204"/>
      <c r="R18" s="204"/>
      <c r="S18" s="204"/>
      <c r="T18" s="204"/>
      <c r="U18" s="205"/>
    </row>
    <row r="19" spans="1:21" ht="15.75" customHeight="1">
      <c r="A19" s="85" t="s">
        <v>188</v>
      </c>
      <c r="B19" s="37">
        <f t="shared" si="0"/>
        <v>6</v>
      </c>
      <c r="C19" s="145" t="s">
        <v>191</v>
      </c>
      <c r="D19" s="80"/>
      <c r="E19" s="81"/>
      <c r="F19" s="146" t="s">
        <v>192</v>
      </c>
      <c r="G19" s="17"/>
      <c r="H19" s="18" t="s">
        <v>49</v>
      </c>
      <c r="I19" s="59"/>
      <c r="J19" s="19">
        <v>3</v>
      </c>
      <c r="K19" s="19"/>
      <c r="L19" s="50" t="s">
        <v>187</v>
      </c>
      <c r="M19" s="73" t="s">
        <v>21</v>
      </c>
      <c r="N19" s="54">
        <f t="shared" si="1"/>
        <v>3</v>
      </c>
      <c r="O19" s="167"/>
      <c r="P19" s="203" t="s">
        <v>167</v>
      </c>
      <c r="Q19" s="204"/>
      <c r="R19" s="204"/>
      <c r="S19" s="204"/>
      <c r="T19" s="204"/>
      <c r="U19" s="205"/>
    </row>
    <row r="20" spans="1:21" ht="27.6" customHeight="1">
      <c r="A20" s="85" t="s">
        <v>188</v>
      </c>
      <c r="B20" s="37">
        <f t="shared" si="0"/>
        <v>7</v>
      </c>
      <c r="C20" s="145" t="s">
        <v>377</v>
      </c>
      <c r="D20" s="80"/>
      <c r="E20" s="81"/>
      <c r="F20" s="146" t="s">
        <v>378</v>
      </c>
      <c r="G20" s="17"/>
      <c r="H20" s="18" t="s">
        <v>51</v>
      </c>
      <c r="I20" s="59"/>
      <c r="J20" s="19">
        <v>10</v>
      </c>
      <c r="K20" s="19"/>
      <c r="L20" s="50" t="s">
        <v>187</v>
      </c>
      <c r="M20" s="73" t="s">
        <v>21</v>
      </c>
      <c r="N20" s="54">
        <f t="shared" si="1"/>
        <v>10</v>
      </c>
      <c r="O20" s="167"/>
      <c r="P20" s="206" t="s">
        <v>785</v>
      </c>
      <c r="Q20" s="204"/>
      <c r="R20" s="204"/>
      <c r="S20" s="204"/>
      <c r="T20" s="204"/>
      <c r="U20" s="205"/>
    </row>
    <row r="21" spans="1:21" ht="15.75" customHeight="1">
      <c r="A21" s="85" t="s">
        <v>188</v>
      </c>
      <c r="B21" s="37">
        <f t="shared" si="0"/>
        <v>8</v>
      </c>
      <c r="C21" s="145" t="s">
        <v>777</v>
      </c>
      <c r="D21" s="80"/>
      <c r="E21" s="81"/>
      <c r="F21" s="146" t="s">
        <v>778</v>
      </c>
      <c r="G21" s="17"/>
      <c r="H21" s="18" t="s">
        <v>49</v>
      </c>
      <c r="I21" s="59"/>
      <c r="J21" s="19">
        <v>12</v>
      </c>
      <c r="K21" s="19"/>
      <c r="L21" s="50" t="s">
        <v>187</v>
      </c>
      <c r="M21" s="73" t="s">
        <v>21</v>
      </c>
      <c r="N21" s="54">
        <f t="shared" si="1"/>
        <v>12</v>
      </c>
      <c r="O21" s="167"/>
      <c r="P21" s="203" t="s">
        <v>157</v>
      </c>
      <c r="Q21" s="204"/>
      <c r="R21" s="204"/>
      <c r="S21" s="204"/>
      <c r="T21" s="204"/>
      <c r="U21" s="205"/>
    </row>
    <row r="22" spans="1:21" ht="15.75" customHeight="1">
      <c r="A22" s="85"/>
      <c r="B22" s="37">
        <f t="shared" si="0"/>
        <v>9</v>
      </c>
      <c r="C22" s="145" t="s">
        <v>765</v>
      </c>
      <c r="D22" s="80"/>
      <c r="E22" s="81"/>
      <c r="F22" s="146" t="s">
        <v>766</v>
      </c>
      <c r="G22" s="17"/>
      <c r="H22" s="18" t="s">
        <v>56</v>
      </c>
      <c r="I22" s="59"/>
      <c r="J22" s="19">
        <v>6</v>
      </c>
      <c r="K22" s="19">
        <v>2</v>
      </c>
      <c r="L22" s="50" t="s">
        <v>187</v>
      </c>
      <c r="M22" s="73" t="s">
        <v>21</v>
      </c>
      <c r="N22" s="54">
        <f t="shared" si="1"/>
        <v>6</v>
      </c>
      <c r="O22" s="167"/>
      <c r="P22" s="203"/>
      <c r="Q22" s="204"/>
      <c r="R22" s="204"/>
      <c r="S22" s="204"/>
      <c r="T22" s="204"/>
      <c r="U22" s="205"/>
    </row>
    <row r="23" spans="1:21" ht="15.75" customHeight="1">
      <c r="A23" s="85"/>
      <c r="B23" s="37">
        <f t="shared" si="0"/>
        <v>10</v>
      </c>
      <c r="C23" s="145" t="s">
        <v>786</v>
      </c>
      <c r="D23" s="80"/>
      <c r="E23" s="81"/>
      <c r="F23" s="146" t="s">
        <v>787</v>
      </c>
      <c r="G23" s="17"/>
      <c r="H23" s="18" t="s">
        <v>51</v>
      </c>
      <c r="I23" s="59"/>
      <c r="J23" s="19">
        <v>2</v>
      </c>
      <c r="K23" s="19"/>
      <c r="L23" s="50" t="s">
        <v>187</v>
      </c>
      <c r="M23" s="73" t="s">
        <v>21</v>
      </c>
      <c r="N23" s="54">
        <f t="shared" si="1"/>
        <v>2</v>
      </c>
      <c r="O23" s="167"/>
      <c r="P23" s="203" t="s">
        <v>788</v>
      </c>
      <c r="Q23" s="204"/>
      <c r="R23" s="204"/>
      <c r="S23" s="204"/>
      <c r="T23" s="204"/>
      <c r="U23" s="205"/>
    </row>
    <row r="24" spans="1:21" ht="27.6" customHeight="1">
      <c r="A24" s="85"/>
      <c r="B24" s="37">
        <f t="shared" si="0"/>
        <v>11</v>
      </c>
      <c r="C24" s="145" t="s">
        <v>225</v>
      </c>
      <c r="D24" s="80"/>
      <c r="E24" s="81"/>
      <c r="F24" s="146" t="s">
        <v>226</v>
      </c>
      <c r="G24" s="17"/>
      <c r="H24" s="18" t="s">
        <v>49</v>
      </c>
      <c r="I24" s="59"/>
      <c r="J24" s="19">
        <v>1</v>
      </c>
      <c r="K24" s="19"/>
      <c r="L24" s="50"/>
      <c r="M24" s="73" t="s">
        <v>21</v>
      </c>
      <c r="N24" s="54">
        <f t="shared" si="1"/>
        <v>1</v>
      </c>
      <c r="O24" s="167"/>
      <c r="P24" s="206" t="s">
        <v>227</v>
      </c>
      <c r="Q24" s="204"/>
      <c r="R24" s="204"/>
      <c r="S24" s="204"/>
      <c r="T24" s="204"/>
      <c r="U24" s="205"/>
    </row>
    <row r="25" spans="1:21" ht="15.75" customHeight="1">
      <c r="A25" s="85"/>
      <c r="B25" s="37">
        <f t="shared" si="0"/>
        <v>12</v>
      </c>
      <c r="C25" s="145" t="s">
        <v>293</v>
      </c>
      <c r="D25" s="80"/>
      <c r="E25" s="81"/>
      <c r="F25" s="146" t="s">
        <v>294</v>
      </c>
      <c r="G25" s="17"/>
      <c r="H25" s="18" t="s">
        <v>51</v>
      </c>
      <c r="I25" s="59"/>
      <c r="J25" s="19">
        <v>50</v>
      </c>
      <c r="K25" s="19"/>
      <c r="L25" s="50"/>
      <c r="M25" s="73" t="s">
        <v>21</v>
      </c>
      <c r="N25" s="54">
        <f t="shared" si="1"/>
        <v>50</v>
      </c>
      <c r="O25" s="167"/>
      <c r="P25" s="203"/>
      <c r="Q25" s="204"/>
      <c r="R25" s="204"/>
      <c r="S25" s="204"/>
      <c r="T25" s="204"/>
      <c r="U25" s="205"/>
    </row>
    <row r="26" spans="1:21" ht="15.75">
      <c r="A26" s="85"/>
      <c r="B26" s="37">
        <f t="shared" ref="B26:B32" si="2">ROW()-13</f>
        <v>13</v>
      </c>
      <c r="C26" s="107" t="s">
        <v>36</v>
      </c>
      <c r="D26" s="107"/>
      <c r="E26" s="108"/>
      <c r="F26" s="109" t="s">
        <v>78</v>
      </c>
      <c r="G26" s="110"/>
      <c r="H26" s="18" t="s">
        <v>51</v>
      </c>
      <c r="I26" s="59"/>
      <c r="J26" s="113">
        <v>12</v>
      </c>
      <c r="K26" s="113"/>
      <c r="L26" s="114"/>
      <c r="M26" s="115" t="s">
        <v>35</v>
      </c>
      <c r="N26" s="116">
        <f t="shared" si="1"/>
        <v>12</v>
      </c>
      <c r="O26" s="168"/>
      <c r="P26" s="200"/>
      <c r="Q26" s="201"/>
      <c r="R26" s="201"/>
      <c r="S26" s="201"/>
      <c r="T26" s="201"/>
      <c r="U26" s="202"/>
    </row>
    <row r="27" spans="1:21" ht="15.75">
      <c r="A27" s="85"/>
      <c r="B27" s="37">
        <f t="shared" si="2"/>
        <v>14</v>
      </c>
      <c r="C27" s="107" t="s">
        <v>37</v>
      </c>
      <c r="D27" s="107"/>
      <c r="E27" s="108"/>
      <c r="F27" s="109" t="s">
        <v>43</v>
      </c>
      <c r="G27" s="110"/>
      <c r="H27" s="18" t="s">
        <v>51</v>
      </c>
      <c r="I27" s="59"/>
      <c r="J27" s="113">
        <v>10</v>
      </c>
      <c r="K27" s="113"/>
      <c r="L27" s="114"/>
      <c r="M27" s="115" t="s">
        <v>21</v>
      </c>
      <c r="N27" s="116">
        <f t="shared" si="1"/>
        <v>10</v>
      </c>
      <c r="O27" s="168"/>
      <c r="P27" s="200"/>
      <c r="Q27" s="201"/>
      <c r="R27" s="201"/>
      <c r="S27" s="201"/>
      <c r="T27" s="201"/>
      <c r="U27" s="202"/>
    </row>
    <row r="28" spans="1:21" ht="15.75">
      <c r="A28" s="85"/>
      <c r="B28" s="37">
        <f t="shared" si="2"/>
        <v>15</v>
      </c>
      <c r="C28" s="107" t="s">
        <v>38</v>
      </c>
      <c r="D28" s="107"/>
      <c r="E28" s="108"/>
      <c r="F28" s="109" t="s">
        <v>80</v>
      </c>
      <c r="G28" s="110"/>
      <c r="H28" s="18" t="s">
        <v>86</v>
      </c>
      <c r="I28" s="59"/>
      <c r="J28" s="113"/>
      <c r="K28" s="113"/>
      <c r="L28" s="114"/>
      <c r="M28" s="115" t="s">
        <v>21</v>
      </c>
      <c r="N28" s="116">
        <f t="shared" si="1"/>
        <v>0</v>
      </c>
      <c r="O28" s="168"/>
      <c r="P28" s="200"/>
      <c r="Q28" s="201"/>
      <c r="R28" s="201"/>
      <c r="S28" s="201"/>
      <c r="T28" s="201"/>
      <c r="U28" s="202"/>
    </row>
    <row r="29" spans="1:21" ht="15.75">
      <c r="A29" s="85"/>
      <c r="B29" s="37">
        <f t="shared" si="2"/>
        <v>16</v>
      </c>
      <c r="C29" s="107" t="s">
        <v>39</v>
      </c>
      <c r="D29" s="107"/>
      <c r="E29" s="108"/>
      <c r="F29" s="109" t="s">
        <v>79</v>
      </c>
      <c r="G29" s="110"/>
      <c r="H29" s="18" t="s">
        <v>51</v>
      </c>
      <c r="I29" s="59"/>
      <c r="J29" s="113">
        <v>12</v>
      </c>
      <c r="K29" s="113"/>
      <c r="L29" s="114"/>
      <c r="M29" s="115" t="s">
        <v>35</v>
      </c>
      <c r="N29" s="116">
        <f t="shared" si="1"/>
        <v>12</v>
      </c>
      <c r="O29" s="168"/>
      <c r="P29" s="200"/>
      <c r="Q29" s="201"/>
      <c r="R29" s="201"/>
      <c r="S29" s="201"/>
      <c r="T29" s="201"/>
      <c r="U29" s="202"/>
    </row>
    <row r="30" spans="1:21" ht="15.75">
      <c r="A30" s="85"/>
      <c r="B30" s="37">
        <f t="shared" si="2"/>
        <v>17</v>
      </c>
      <c r="C30" s="107" t="s">
        <v>40</v>
      </c>
      <c r="D30" s="107"/>
      <c r="E30" s="108"/>
      <c r="F30" s="109" t="s">
        <v>44</v>
      </c>
      <c r="G30" s="110"/>
      <c r="H30" s="18" t="s">
        <v>51</v>
      </c>
      <c r="I30" s="59"/>
      <c r="J30" s="113">
        <v>10</v>
      </c>
      <c r="K30" s="113"/>
      <c r="L30" s="114"/>
      <c r="M30" s="115" t="s">
        <v>21</v>
      </c>
      <c r="N30" s="116">
        <f t="shared" si="1"/>
        <v>10</v>
      </c>
      <c r="O30" s="168"/>
      <c r="P30" s="200"/>
      <c r="Q30" s="201"/>
      <c r="R30" s="201"/>
      <c r="S30" s="201"/>
      <c r="T30" s="201"/>
      <c r="U30" s="202"/>
    </row>
    <row r="31" spans="1:21" ht="15.75">
      <c r="A31" s="85"/>
      <c r="B31" s="37">
        <f t="shared" si="2"/>
        <v>18</v>
      </c>
      <c r="C31" s="107" t="s">
        <v>41</v>
      </c>
      <c r="D31" s="107"/>
      <c r="E31" s="108"/>
      <c r="F31" s="109" t="s">
        <v>81</v>
      </c>
      <c r="G31" s="110"/>
      <c r="H31" s="18" t="s">
        <v>86</v>
      </c>
      <c r="I31" s="59"/>
      <c r="J31" s="113"/>
      <c r="K31" s="113"/>
      <c r="L31" s="114"/>
      <c r="M31" s="115" t="s">
        <v>21</v>
      </c>
      <c r="N31" s="116">
        <f t="shared" si="1"/>
        <v>0</v>
      </c>
      <c r="O31" s="168"/>
      <c r="P31" s="200"/>
      <c r="Q31" s="201"/>
      <c r="R31" s="201"/>
      <c r="S31" s="201"/>
      <c r="T31" s="201"/>
      <c r="U31" s="202"/>
    </row>
    <row r="32" spans="1:21" ht="15.75">
      <c r="A32" s="85"/>
      <c r="B32" s="37">
        <f t="shared" si="2"/>
        <v>19</v>
      </c>
      <c r="C32" s="80" t="s">
        <v>46</v>
      </c>
      <c r="D32" s="80"/>
      <c r="E32" s="81"/>
      <c r="F32" s="84" t="s">
        <v>71</v>
      </c>
      <c r="G32" s="17"/>
      <c r="H32" s="18" t="s">
        <v>62</v>
      </c>
      <c r="I32" s="59"/>
      <c r="J32" s="19">
        <v>8</v>
      </c>
      <c r="K32" s="19"/>
      <c r="L32" s="50" t="s">
        <v>47</v>
      </c>
      <c r="M32" s="73" t="s">
        <v>35</v>
      </c>
      <c r="N32" s="54">
        <f t="shared" si="1"/>
        <v>8</v>
      </c>
      <c r="O32" s="167">
        <v>0</v>
      </c>
      <c r="P32" s="203" t="s">
        <v>48</v>
      </c>
      <c r="Q32" s="204"/>
      <c r="R32" s="204"/>
      <c r="S32" s="204"/>
      <c r="T32" s="204"/>
      <c r="U32" s="205"/>
    </row>
    <row r="33" spans="1:21" ht="16.5" thickBot="1">
      <c r="A33" s="118"/>
      <c r="B33" s="119"/>
      <c r="C33" s="120"/>
      <c r="D33" s="120"/>
      <c r="E33" s="121"/>
      <c r="F33" s="129"/>
      <c r="G33" s="122"/>
      <c r="H33" s="147"/>
      <c r="I33" s="148"/>
      <c r="J33" s="125"/>
      <c r="K33" s="125"/>
      <c r="L33" s="126"/>
      <c r="M33" s="126"/>
      <c r="N33" s="127"/>
      <c r="O33" s="169"/>
      <c r="P33" s="197"/>
      <c r="Q33" s="198"/>
      <c r="R33" s="198"/>
      <c r="S33" s="198"/>
      <c r="T33" s="198"/>
      <c r="U33" s="199"/>
    </row>
  </sheetData>
  <mergeCells count="50">
    <mergeCell ref="O1:U1"/>
    <mergeCell ref="J2:K2"/>
    <mergeCell ref="L2:M2"/>
    <mergeCell ref="O2:U2"/>
    <mergeCell ref="J3:K3"/>
    <mergeCell ref="L3:M3"/>
    <mergeCell ref="O3:U3"/>
    <mergeCell ref="J4:K4"/>
    <mergeCell ref="L4:M4"/>
    <mergeCell ref="O4:U4"/>
    <mergeCell ref="J5:K5"/>
    <mergeCell ref="L5:M5"/>
    <mergeCell ref="O5:U5"/>
    <mergeCell ref="E10:H10"/>
    <mergeCell ref="O10:U10"/>
    <mergeCell ref="E6:H6"/>
    <mergeCell ref="K6:M6"/>
    <mergeCell ref="O6:U6"/>
    <mergeCell ref="E7:H7"/>
    <mergeCell ref="K7:M7"/>
    <mergeCell ref="O7:U7"/>
    <mergeCell ref="E8:H8"/>
    <mergeCell ref="K8:M8"/>
    <mergeCell ref="O8:U8"/>
    <mergeCell ref="E9:H9"/>
    <mergeCell ref="O9:U9"/>
    <mergeCell ref="P21:U21"/>
    <mergeCell ref="E11:H11"/>
    <mergeCell ref="O11:U11"/>
    <mergeCell ref="O12:U12"/>
    <mergeCell ref="P13:U13"/>
    <mergeCell ref="P14:U14"/>
    <mergeCell ref="P15:U15"/>
    <mergeCell ref="P16:U16"/>
    <mergeCell ref="P17:U17"/>
    <mergeCell ref="P18:U18"/>
    <mergeCell ref="P19:U19"/>
    <mergeCell ref="P20:U20"/>
    <mergeCell ref="P33:U33"/>
    <mergeCell ref="P22:U22"/>
    <mergeCell ref="P23:U23"/>
    <mergeCell ref="P24:U24"/>
    <mergeCell ref="P25:U25"/>
    <mergeCell ref="P26:U26"/>
    <mergeCell ref="P27:U27"/>
    <mergeCell ref="P28:U28"/>
    <mergeCell ref="P29:U29"/>
    <mergeCell ref="P30:U30"/>
    <mergeCell ref="P31:U31"/>
    <mergeCell ref="P32:U32"/>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1985"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41986"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41987"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41988"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41989"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41990"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3DF2CD79-D0D8-4E51-A73B-2FBF3E942495}">
            <xm:f>(AND(H14&lt;&gt;"",ISERROR(VLOOKUP(H14,system!$E:$E,1,FALSE))))</xm:f>
            <x14:dxf>
              <fill>
                <patternFill patternType="solid">
                  <bgColor rgb="FFFF0000"/>
                </patternFill>
              </fill>
            </x14:dxf>
          </x14:cfRule>
          <xm:sqref>H14:H25</xm:sqref>
        </x14:conditionalFormatting>
        <x14:conditionalFormatting xmlns:xm="http://schemas.microsoft.com/office/excel/2006/main">
          <x14:cfRule type="expression" priority="3" id="{4F677DC2-D710-4E04-8DB4-374C3532F20A}">
            <xm:f>(AND(H14&lt;&gt;"",ISERROR(VLOOKUP(H14,system!$E:$E,1,FALSE))))</xm:f>
            <x14:dxf>
              <fill>
                <patternFill>
                  <bgColor rgb="FFFF0000"/>
                </patternFill>
              </fill>
            </x14:dxf>
          </x14:cfRule>
          <xm:sqref>I14:I25</xm:sqref>
        </x14:conditionalFormatting>
        <x14:conditionalFormatting xmlns:xm="http://schemas.microsoft.com/office/excel/2006/main">
          <x14:cfRule type="expression" priority="2" id="{C4C9087F-D226-41AE-8A87-017DDDF5BE1D}">
            <xm:f>(AND(H26&lt;&gt;"",ISERROR(VLOOKUP(H26,system!$E:$E,1,FALSE))))</xm:f>
            <x14:dxf>
              <fill>
                <patternFill patternType="solid">
                  <bgColor rgb="FFFF0000"/>
                </patternFill>
              </fill>
            </x14:dxf>
          </x14:cfRule>
          <xm:sqref>H26:H33</xm:sqref>
        </x14:conditionalFormatting>
        <x14:conditionalFormatting xmlns:xm="http://schemas.microsoft.com/office/excel/2006/main">
          <x14:cfRule type="expression" priority="1" id="{78643B66-6179-4543-9424-69C5E84AF8E9}">
            <xm:f>(AND(H26&lt;&gt;"",ISERROR(VLOOKUP(H26,system!$E:$E,1,FALSE))))</xm:f>
            <x14:dxf>
              <fill>
                <patternFill>
                  <bgColor rgb="FFFF0000"/>
                </patternFill>
              </fill>
            </x14:dxf>
          </x14:cfRule>
          <xm:sqref>I26:I33</xm:sqref>
        </x14:conditionalFormatting>
      </x14:conditionalFormatting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A1:U34"/>
  <sheetViews>
    <sheetView showGridLines="0" zoomScaleNormal="100" workbookViewId="0">
      <pane ySplit="13" topLeftCell="A17" activePane="bottomLeft" state="frozen"/>
      <selection activeCell="D13" sqref="D13"/>
      <selection pane="bottomLeft"/>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7" t="s">
        <v>27</v>
      </c>
      <c r="P1" s="248"/>
      <c r="Q1" s="248"/>
      <c r="R1" s="248"/>
      <c r="S1" s="248"/>
      <c r="T1" s="248"/>
      <c r="U1" s="249"/>
    </row>
    <row r="2" spans="1:21" ht="14.45" customHeight="1">
      <c r="A2" s="39"/>
      <c r="B2" s="100" t="s">
        <v>64</v>
      </c>
      <c r="C2" s="5"/>
      <c r="D2" s="5"/>
      <c r="E2" s="5"/>
      <c r="F2" s="5"/>
      <c r="G2" s="6"/>
      <c r="H2" s="7"/>
      <c r="I2" s="8"/>
      <c r="J2" s="250"/>
      <c r="K2" s="251"/>
      <c r="L2" s="250"/>
      <c r="M2" s="251"/>
      <c r="N2" s="52"/>
      <c r="O2" s="252" t="s">
        <v>792</v>
      </c>
      <c r="P2" s="253"/>
      <c r="Q2" s="253"/>
      <c r="R2" s="253"/>
      <c r="S2" s="253"/>
      <c r="T2" s="253"/>
      <c r="U2" s="254"/>
    </row>
    <row r="3" spans="1:21" ht="14.25" customHeight="1">
      <c r="A3" s="40"/>
      <c r="B3" s="35"/>
      <c r="C3" s="5"/>
      <c r="D3" s="5"/>
      <c r="E3" s="5"/>
      <c r="F3" s="5"/>
      <c r="G3" s="9"/>
      <c r="H3" s="10"/>
      <c r="I3" s="176" t="s">
        <v>1032</v>
      </c>
      <c r="J3" s="255" t="s">
        <v>1032</v>
      </c>
      <c r="K3" s="256"/>
      <c r="L3" s="255" t="s">
        <v>1032</v>
      </c>
      <c r="M3" s="256"/>
      <c r="N3" s="52"/>
      <c r="O3" s="257"/>
      <c r="P3" s="258"/>
      <c r="Q3" s="258"/>
      <c r="R3" s="258"/>
      <c r="S3" s="258"/>
      <c r="T3" s="258"/>
      <c r="U3" s="259"/>
    </row>
    <row r="4" spans="1:21" ht="14.45" customHeight="1">
      <c r="A4" s="41"/>
      <c r="B4" s="36" t="s">
        <v>3</v>
      </c>
      <c r="C4" s="5"/>
      <c r="D4" s="5"/>
      <c r="E4" s="5"/>
      <c r="F4" s="5"/>
      <c r="G4" s="6"/>
      <c r="H4" s="10"/>
      <c r="I4" s="177" t="s">
        <v>1035</v>
      </c>
      <c r="J4" s="240" t="s">
        <v>1034</v>
      </c>
      <c r="K4" s="241"/>
      <c r="L4" s="240" t="s">
        <v>1033</v>
      </c>
      <c r="M4" s="241"/>
      <c r="N4" s="52"/>
      <c r="O4" s="210"/>
      <c r="P4" s="211"/>
      <c r="Q4" s="211"/>
      <c r="R4" s="211"/>
      <c r="S4" s="211"/>
      <c r="T4" s="211"/>
      <c r="U4" s="212"/>
    </row>
    <row r="5" spans="1:21" ht="14.45" customHeight="1" thickBot="1">
      <c r="A5" s="42"/>
      <c r="B5" s="11"/>
      <c r="C5" s="11"/>
      <c r="D5" s="11"/>
      <c r="E5" s="11"/>
      <c r="F5" s="11"/>
      <c r="G5" s="12"/>
      <c r="H5" s="13"/>
      <c r="I5" s="14"/>
      <c r="J5" s="242"/>
      <c r="K5" s="243"/>
      <c r="L5" s="244"/>
      <c r="M5" s="245"/>
      <c r="N5" s="53"/>
      <c r="O5" s="246"/>
      <c r="P5" s="211"/>
      <c r="Q5" s="211"/>
      <c r="R5" s="211"/>
      <c r="S5" s="211"/>
      <c r="T5" s="211"/>
      <c r="U5" s="212"/>
    </row>
    <row r="6" spans="1:21" ht="14.45" customHeight="1">
      <c r="A6" s="43"/>
      <c r="B6" s="101" t="s">
        <v>4</v>
      </c>
      <c r="C6" s="20"/>
      <c r="D6" s="21"/>
      <c r="E6" s="222" t="s">
        <v>65</v>
      </c>
      <c r="F6" s="223"/>
      <c r="G6" s="223"/>
      <c r="H6" s="224"/>
      <c r="I6" s="60" t="s">
        <v>26</v>
      </c>
      <c r="J6" s="26"/>
      <c r="K6" s="225" t="s">
        <v>33</v>
      </c>
      <c r="L6" s="226"/>
      <c r="M6" s="227"/>
      <c r="N6" s="91" t="s">
        <v>5</v>
      </c>
      <c r="O6" s="210"/>
      <c r="P6" s="211"/>
      <c r="Q6" s="211"/>
      <c r="R6" s="211"/>
      <c r="S6" s="211"/>
      <c r="T6" s="211"/>
      <c r="U6" s="212"/>
    </row>
    <row r="7" spans="1:21" ht="15.75" customHeight="1">
      <c r="A7" s="44"/>
      <c r="B7" s="102" t="s">
        <v>6</v>
      </c>
      <c r="C7" s="22"/>
      <c r="D7" s="23"/>
      <c r="E7" s="228" t="s">
        <v>159</v>
      </c>
      <c r="F7" s="229"/>
      <c r="G7" s="229"/>
      <c r="H7" s="230"/>
      <c r="I7" s="61" t="s">
        <v>28</v>
      </c>
      <c r="J7" s="27"/>
      <c r="K7" s="231" t="s">
        <v>34</v>
      </c>
      <c r="L7" s="232"/>
      <c r="M7" s="233"/>
      <c r="N7" s="92">
        <f>COUNTIF(H14:H14,"LONG")+COUNTIF(H14:H14,"LONG RAW")</f>
        <v>0</v>
      </c>
      <c r="O7" s="210"/>
      <c r="P7" s="211"/>
      <c r="Q7" s="211"/>
      <c r="R7" s="211"/>
      <c r="S7" s="211"/>
      <c r="T7" s="211"/>
      <c r="U7" s="212"/>
    </row>
    <row r="8" spans="1:21" ht="14.45" customHeight="1">
      <c r="A8" s="45"/>
      <c r="B8" s="22" t="s">
        <v>7</v>
      </c>
      <c r="C8" s="22"/>
      <c r="D8" s="23"/>
      <c r="E8" s="228" t="s">
        <v>789</v>
      </c>
      <c r="F8" s="229"/>
      <c r="G8" s="229"/>
      <c r="H8" s="230"/>
      <c r="I8" s="62"/>
      <c r="J8" s="27"/>
      <c r="K8" s="234"/>
      <c r="L8" s="235"/>
      <c r="M8" s="236"/>
      <c r="N8" s="92"/>
      <c r="O8" s="210"/>
      <c r="P8" s="211"/>
      <c r="Q8" s="211"/>
      <c r="R8" s="211"/>
      <c r="S8" s="211"/>
      <c r="T8" s="211"/>
      <c r="U8" s="212"/>
    </row>
    <row r="9" spans="1:21" ht="14.45" customHeight="1">
      <c r="A9" s="45"/>
      <c r="B9" s="22" t="s">
        <v>8</v>
      </c>
      <c r="C9" s="22"/>
      <c r="D9" s="23"/>
      <c r="E9" s="237" t="s">
        <v>68</v>
      </c>
      <c r="F9" s="238"/>
      <c r="G9" s="238"/>
      <c r="H9" s="239"/>
      <c r="I9" s="61" t="s">
        <v>9</v>
      </c>
      <c r="J9" s="27"/>
      <c r="K9" s="86"/>
      <c r="L9" s="88">
        <f>SUM(N14:N35)</f>
        <v>212</v>
      </c>
      <c r="M9" s="82"/>
      <c r="N9" s="93">
        <f>SUMIF(M14:M14,"■",N14:N14)</f>
        <v>0</v>
      </c>
      <c r="O9" s="210"/>
      <c r="P9" s="211"/>
      <c r="Q9" s="211"/>
      <c r="R9" s="211"/>
      <c r="S9" s="211"/>
      <c r="T9" s="211"/>
      <c r="U9" s="212"/>
    </row>
    <row r="10" spans="1:21" ht="14.45" customHeight="1">
      <c r="A10" s="45"/>
      <c r="B10" s="22" t="s">
        <v>10</v>
      </c>
      <c r="C10" s="22"/>
      <c r="D10" s="23"/>
      <c r="E10" s="219" t="s">
        <v>68</v>
      </c>
      <c r="F10" s="220"/>
      <c r="G10" s="220"/>
      <c r="H10" s="221"/>
      <c r="I10" s="61" t="s">
        <v>11</v>
      </c>
      <c r="J10" s="27"/>
      <c r="K10" s="86"/>
      <c r="L10" s="89">
        <f>E11*L9/1000</f>
        <v>0</v>
      </c>
      <c r="M10" s="82"/>
      <c r="N10" s="55"/>
      <c r="O10" s="210"/>
      <c r="P10" s="211"/>
      <c r="Q10" s="211"/>
      <c r="R10" s="211"/>
      <c r="S10" s="211"/>
      <c r="T10" s="211"/>
      <c r="U10" s="212"/>
    </row>
    <row r="11" spans="1:21" ht="17.25" customHeight="1" thickBot="1">
      <c r="A11" s="46"/>
      <c r="B11" s="24" t="s">
        <v>29</v>
      </c>
      <c r="C11" s="24"/>
      <c r="D11" s="25"/>
      <c r="E11" s="207"/>
      <c r="F11" s="208"/>
      <c r="G11" s="208"/>
      <c r="H11" s="209"/>
      <c r="I11" s="103" t="s">
        <v>12</v>
      </c>
      <c r="J11" s="104"/>
      <c r="K11" s="87"/>
      <c r="L11" s="90"/>
      <c r="M11" s="83"/>
      <c r="N11" s="56"/>
      <c r="O11" s="210"/>
      <c r="P11" s="211"/>
      <c r="Q11" s="211"/>
      <c r="R11" s="211"/>
      <c r="S11" s="211"/>
      <c r="T11" s="211"/>
      <c r="U11" s="212"/>
    </row>
    <row r="12" spans="1:21" ht="15.75" customHeight="1" thickBot="1">
      <c r="A12" s="64"/>
      <c r="B12" s="65"/>
      <c r="C12" s="30"/>
      <c r="D12" s="30"/>
      <c r="E12" s="31"/>
      <c r="F12" s="32"/>
      <c r="G12" s="29"/>
      <c r="H12" s="28"/>
      <c r="I12" s="29"/>
      <c r="J12" s="30" t="s">
        <v>13</v>
      </c>
      <c r="K12" s="31"/>
      <c r="L12" s="66"/>
      <c r="M12" s="48"/>
      <c r="N12" s="57">
        <f>COUNTA(H14:H14)</f>
        <v>1</v>
      </c>
      <c r="O12" s="213"/>
      <c r="P12" s="214"/>
      <c r="Q12" s="214"/>
      <c r="R12" s="214"/>
      <c r="S12" s="214"/>
      <c r="T12" s="214"/>
      <c r="U12" s="21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16" t="s">
        <v>32</v>
      </c>
      <c r="Q13" s="217"/>
      <c r="R13" s="217"/>
      <c r="S13" s="217"/>
      <c r="T13" s="217"/>
      <c r="U13" s="218"/>
    </row>
    <row r="14" spans="1:21" ht="15.75" customHeight="1">
      <c r="A14" s="85" t="s">
        <v>188</v>
      </c>
      <c r="B14" s="37">
        <f t="shared" ref="B14:B26" si="0">ROW()-13</f>
        <v>1</v>
      </c>
      <c r="C14" s="145" t="s">
        <v>195</v>
      </c>
      <c r="D14" s="80"/>
      <c r="E14" s="81"/>
      <c r="F14" s="146" t="s">
        <v>1058</v>
      </c>
      <c r="G14" s="17"/>
      <c r="H14" s="18" t="s">
        <v>49</v>
      </c>
      <c r="I14" s="59"/>
      <c r="J14" s="19">
        <v>1</v>
      </c>
      <c r="K14" s="19"/>
      <c r="L14" s="50" t="s">
        <v>187</v>
      </c>
      <c r="M14" s="73" t="s">
        <v>21</v>
      </c>
      <c r="N14" s="54">
        <f t="shared" ref="N14:N33" si="1">IF(H14="NUMBER",IF(J14&gt;0,INT((J14+1)/2+0.9),0),IF(H14="DATE",7,IF(OR(H14="LONG",H14="LONG RAW"),100000,J14)))</f>
        <v>1</v>
      </c>
      <c r="O14" s="167"/>
      <c r="P14" s="203"/>
      <c r="Q14" s="204"/>
      <c r="R14" s="204"/>
      <c r="S14" s="204"/>
      <c r="T14" s="204"/>
      <c r="U14" s="205"/>
    </row>
    <row r="15" spans="1:21" ht="15.75" customHeight="1">
      <c r="A15" s="85" t="s">
        <v>188</v>
      </c>
      <c r="B15" s="37">
        <f t="shared" si="0"/>
        <v>2</v>
      </c>
      <c r="C15" s="145" t="s">
        <v>196</v>
      </c>
      <c r="D15" s="80"/>
      <c r="E15" s="81"/>
      <c r="F15" s="146" t="s">
        <v>197</v>
      </c>
      <c r="G15" s="17"/>
      <c r="H15" s="18" t="s">
        <v>51</v>
      </c>
      <c r="I15" s="59"/>
      <c r="J15" s="19">
        <v>25</v>
      </c>
      <c r="K15" s="19"/>
      <c r="L15" s="50" t="s">
        <v>187</v>
      </c>
      <c r="M15" s="73" t="s">
        <v>21</v>
      </c>
      <c r="N15" s="54">
        <f t="shared" si="1"/>
        <v>25</v>
      </c>
      <c r="O15" s="167"/>
      <c r="P15" s="203"/>
      <c r="Q15" s="204"/>
      <c r="R15" s="204"/>
      <c r="S15" s="204"/>
      <c r="T15" s="204"/>
      <c r="U15" s="205"/>
    </row>
    <row r="16" spans="1:21" ht="15.75" customHeight="1">
      <c r="A16" s="85" t="s">
        <v>188</v>
      </c>
      <c r="B16" s="37">
        <f t="shared" si="0"/>
        <v>3</v>
      </c>
      <c r="C16" s="145" t="s">
        <v>198</v>
      </c>
      <c r="D16" s="80"/>
      <c r="E16" s="81"/>
      <c r="F16" s="146" t="s">
        <v>199</v>
      </c>
      <c r="G16" s="17"/>
      <c r="H16" s="18" t="s">
        <v>51</v>
      </c>
      <c r="I16" s="59"/>
      <c r="J16" s="19">
        <v>4</v>
      </c>
      <c r="K16" s="19"/>
      <c r="L16" s="50" t="s">
        <v>187</v>
      </c>
      <c r="M16" s="73" t="s">
        <v>21</v>
      </c>
      <c r="N16" s="54">
        <f t="shared" si="1"/>
        <v>4</v>
      </c>
      <c r="O16" s="167"/>
      <c r="P16" s="203" t="s">
        <v>200</v>
      </c>
      <c r="Q16" s="204"/>
      <c r="R16" s="204"/>
      <c r="S16" s="204"/>
      <c r="T16" s="204"/>
      <c r="U16" s="205"/>
    </row>
    <row r="17" spans="1:21" ht="62.85" customHeight="1">
      <c r="A17" s="85" t="s">
        <v>188</v>
      </c>
      <c r="B17" s="37">
        <f t="shared" si="0"/>
        <v>4</v>
      </c>
      <c r="C17" s="145" t="s">
        <v>201</v>
      </c>
      <c r="D17" s="80"/>
      <c r="E17" s="81"/>
      <c r="F17" s="146" t="s">
        <v>202</v>
      </c>
      <c r="G17" s="17"/>
      <c r="H17" s="18" t="s">
        <v>49</v>
      </c>
      <c r="I17" s="59"/>
      <c r="J17" s="19">
        <v>1</v>
      </c>
      <c r="K17" s="19"/>
      <c r="L17" s="50" t="s">
        <v>187</v>
      </c>
      <c r="M17" s="73" t="s">
        <v>21</v>
      </c>
      <c r="N17" s="54">
        <f t="shared" si="1"/>
        <v>1</v>
      </c>
      <c r="O17" s="167"/>
      <c r="P17" s="206" t="s">
        <v>267</v>
      </c>
      <c r="Q17" s="204"/>
      <c r="R17" s="204"/>
      <c r="S17" s="204"/>
      <c r="T17" s="204"/>
      <c r="U17" s="205"/>
    </row>
    <row r="18" spans="1:21" ht="27.6" customHeight="1">
      <c r="A18" s="85" t="s">
        <v>188</v>
      </c>
      <c r="B18" s="37">
        <f t="shared" si="0"/>
        <v>5</v>
      </c>
      <c r="C18" s="145" t="s">
        <v>204</v>
      </c>
      <c r="D18" s="80"/>
      <c r="E18" s="81"/>
      <c r="F18" s="146" t="s">
        <v>205</v>
      </c>
      <c r="G18" s="17"/>
      <c r="H18" s="18" t="s">
        <v>49</v>
      </c>
      <c r="I18" s="59"/>
      <c r="J18" s="19">
        <v>1</v>
      </c>
      <c r="K18" s="19"/>
      <c r="L18" s="50" t="s">
        <v>187</v>
      </c>
      <c r="M18" s="73" t="s">
        <v>21</v>
      </c>
      <c r="N18" s="54">
        <f t="shared" si="1"/>
        <v>1</v>
      </c>
      <c r="O18" s="167"/>
      <c r="P18" s="206" t="s">
        <v>206</v>
      </c>
      <c r="Q18" s="204"/>
      <c r="R18" s="204"/>
      <c r="S18" s="204"/>
      <c r="T18" s="204"/>
      <c r="U18" s="205"/>
    </row>
    <row r="19" spans="1:21" ht="15.75" customHeight="1">
      <c r="A19" s="85"/>
      <c r="B19" s="37">
        <f t="shared" si="0"/>
        <v>6</v>
      </c>
      <c r="C19" s="145" t="s">
        <v>566</v>
      </c>
      <c r="D19" s="80"/>
      <c r="E19" s="81"/>
      <c r="F19" s="146" t="s">
        <v>567</v>
      </c>
      <c r="G19" s="17"/>
      <c r="H19" s="18" t="s">
        <v>51</v>
      </c>
      <c r="I19" s="59"/>
      <c r="J19" s="19">
        <v>15</v>
      </c>
      <c r="K19" s="19"/>
      <c r="L19" s="50" t="s">
        <v>187</v>
      </c>
      <c r="M19" s="73" t="s">
        <v>21</v>
      </c>
      <c r="N19" s="54">
        <f t="shared" si="1"/>
        <v>15</v>
      </c>
      <c r="O19" s="167"/>
      <c r="P19" s="203"/>
      <c r="Q19" s="204"/>
      <c r="R19" s="204"/>
      <c r="S19" s="204"/>
      <c r="T19" s="204"/>
      <c r="U19" s="205"/>
    </row>
    <row r="20" spans="1:21" ht="15.75" customHeight="1">
      <c r="A20" s="85"/>
      <c r="B20" s="37">
        <f t="shared" si="0"/>
        <v>7</v>
      </c>
      <c r="C20" s="145" t="s">
        <v>793</v>
      </c>
      <c r="D20" s="80"/>
      <c r="E20" s="81"/>
      <c r="F20" s="146" t="s">
        <v>794</v>
      </c>
      <c r="G20" s="17"/>
      <c r="H20" s="18" t="s">
        <v>49</v>
      </c>
      <c r="I20" s="59"/>
      <c r="J20" s="19">
        <v>2</v>
      </c>
      <c r="K20" s="19"/>
      <c r="L20" s="50" t="s">
        <v>187</v>
      </c>
      <c r="M20" s="73" t="s">
        <v>21</v>
      </c>
      <c r="N20" s="54">
        <f t="shared" si="1"/>
        <v>2</v>
      </c>
      <c r="O20" s="167"/>
      <c r="P20" s="203" t="s">
        <v>175</v>
      </c>
      <c r="Q20" s="204"/>
      <c r="R20" s="204"/>
      <c r="S20" s="204"/>
      <c r="T20" s="204"/>
      <c r="U20" s="205"/>
    </row>
    <row r="21" spans="1:21" ht="15.75" customHeight="1">
      <c r="A21" s="85"/>
      <c r="B21" s="37">
        <f t="shared" si="0"/>
        <v>8</v>
      </c>
      <c r="C21" s="145" t="s">
        <v>482</v>
      </c>
      <c r="D21" s="80"/>
      <c r="E21" s="81"/>
      <c r="F21" s="146" t="s">
        <v>483</v>
      </c>
      <c r="G21" s="17"/>
      <c r="H21" s="18" t="s">
        <v>49</v>
      </c>
      <c r="I21" s="59"/>
      <c r="J21" s="19">
        <v>4</v>
      </c>
      <c r="K21" s="19"/>
      <c r="L21" s="50" t="s">
        <v>187</v>
      </c>
      <c r="M21" s="73" t="s">
        <v>21</v>
      </c>
      <c r="N21" s="54">
        <f t="shared" si="1"/>
        <v>4</v>
      </c>
      <c r="O21" s="167"/>
      <c r="P21" s="203" t="s">
        <v>161</v>
      </c>
      <c r="Q21" s="204"/>
      <c r="R21" s="204"/>
      <c r="S21" s="204"/>
      <c r="T21" s="204"/>
      <c r="U21" s="205"/>
    </row>
    <row r="22" spans="1:21" ht="15.75" customHeight="1">
      <c r="A22" s="85"/>
      <c r="B22" s="37">
        <f t="shared" si="0"/>
        <v>9</v>
      </c>
      <c r="C22" s="145" t="s">
        <v>795</v>
      </c>
      <c r="D22" s="80"/>
      <c r="E22" s="81"/>
      <c r="F22" s="146" t="s">
        <v>796</v>
      </c>
      <c r="G22" s="17"/>
      <c r="H22" s="18" t="s">
        <v>51</v>
      </c>
      <c r="I22" s="59"/>
      <c r="J22" s="19">
        <v>5</v>
      </c>
      <c r="K22" s="19"/>
      <c r="L22" s="50" t="s">
        <v>187</v>
      </c>
      <c r="M22" s="73" t="s">
        <v>21</v>
      </c>
      <c r="N22" s="54">
        <f t="shared" si="1"/>
        <v>5</v>
      </c>
      <c r="O22" s="167"/>
      <c r="P22" s="203"/>
      <c r="Q22" s="204"/>
      <c r="R22" s="204"/>
      <c r="S22" s="204"/>
      <c r="T22" s="204"/>
      <c r="U22" s="205"/>
    </row>
    <row r="23" spans="1:21" ht="15.75" customHeight="1">
      <c r="A23" s="85"/>
      <c r="B23" s="37">
        <f t="shared" si="0"/>
        <v>10</v>
      </c>
      <c r="C23" s="145" t="s">
        <v>797</v>
      </c>
      <c r="D23" s="80"/>
      <c r="E23" s="81"/>
      <c r="F23" s="146" t="s">
        <v>798</v>
      </c>
      <c r="G23" s="17"/>
      <c r="H23" s="18" t="s">
        <v>56</v>
      </c>
      <c r="I23" s="59"/>
      <c r="J23" s="19">
        <v>1</v>
      </c>
      <c r="K23" s="19">
        <v>0</v>
      </c>
      <c r="L23" s="50" t="s">
        <v>187</v>
      </c>
      <c r="M23" s="73" t="s">
        <v>21</v>
      </c>
      <c r="N23" s="54">
        <f t="shared" si="1"/>
        <v>1</v>
      </c>
      <c r="O23" s="167"/>
      <c r="P23" s="203"/>
      <c r="Q23" s="204"/>
      <c r="R23" s="204"/>
      <c r="S23" s="204"/>
      <c r="T23" s="204"/>
      <c r="U23" s="205"/>
    </row>
    <row r="24" spans="1:21" ht="15.75" customHeight="1">
      <c r="A24" s="85"/>
      <c r="B24" s="37">
        <f t="shared" si="0"/>
        <v>11</v>
      </c>
      <c r="C24" s="145" t="s">
        <v>799</v>
      </c>
      <c r="D24" s="80"/>
      <c r="E24" s="81"/>
      <c r="F24" s="146" t="s">
        <v>800</v>
      </c>
      <c r="G24" s="17"/>
      <c r="H24" s="18" t="s">
        <v>51</v>
      </c>
      <c r="I24" s="59"/>
      <c r="J24" s="19">
        <v>50</v>
      </c>
      <c r="K24" s="19"/>
      <c r="L24" s="50"/>
      <c r="M24" s="73" t="s">
        <v>21</v>
      </c>
      <c r="N24" s="54">
        <f t="shared" si="1"/>
        <v>50</v>
      </c>
      <c r="O24" s="167"/>
      <c r="P24" s="203"/>
      <c r="Q24" s="204"/>
      <c r="R24" s="204"/>
      <c r="S24" s="204"/>
      <c r="T24" s="204"/>
      <c r="U24" s="205"/>
    </row>
    <row r="25" spans="1:21" ht="27.6" customHeight="1">
      <c r="A25" s="85"/>
      <c r="B25" s="37">
        <f t="shared" si="0"/>
        <v>12</v>
      </c>
      <c r="C25" s="145" t="s">
        <v>225</v>
      </c>
      <c r="D25" s="80"/>
      <c r="E25" s="81"/>
      <c r="F25" s="146" t="s">
        <v>226</v>
      </c>
      <c r="G25" s="17"/>
      <c r="H25" s="18" t="s">
        <v>49</v>
      </c>
      <c r="I25" s="59"/>
      <c r="J25" s="19">
        <v>1</v>
      </c>
      <c r="K25" s="19"/>
      <c r="L25" s="50"/>
      <c r="M25" s="73" t="s">
        <v>21</v>
      </c>
      <c r="N25" s="54">
        <f t="shared" si="1"/>
        <v>1</v>
      </c>
      <c r="O25" s="167"/>
      <c r="P25" s="206" t="s">
        <v>227</v>
      </c>
      <c r="Q25" s="204"/>
      <c r="R25" s="204"/>
      <c r="S25" s="204"/>
      <c r="T25" s="204"/>
      <c r="U25" s="205"/>
    </row>
    <row r="26" spans="1:21" ht="15.75" customHeight="1">
      <c r="A26" s="85"/>
      <c r="B26" s="37">
        <f t="shared" si="0"/>
        <v>13</v>
      </c>
      <c r="C26" s="145" t="s">
        <v>293</v>
      </c>
      <c r="D26" s="80"/>
      <c r="E26" s="81"/>
      <c r="F26" s="146" t="s">
        <v>294</v>
      </c>
      <c r="G26" s="17"/>
      <c r="H26" s="18" t="s">
        <v>51</v>
      </c>
      <c r="I26" s="59"/>
      <c r="J26" s="19">
        <v>50</v>
      </c>
      <c r="K26" s="19"/>
      <c r="L26" s="50"/>
      <c r="M26" s="73" t="s">
        <v>21</v>
      </c>
      <c r="N26" s="54">
        <f t="shared" si="1"/>
        <v>50</v>
      </c>
      <c r="O26" s="167"/>
      <c r="P26" s="203"/>
      <c r="Q26" s="204"/>
      <c r="R26" s="204"/>
      <c r="S26" s="204"/>
      <c r="T26" s="204"/>
      <c r="U26" s="205"/>
    </row>
    <row r="27" spans="1:21" ht="15.75">
      <c r="A27" s="85"/>
      <c r="B27" s="37">
        <f t="shared" ref="B27:B33" si="2">ROW()-13</f>
        <v>14</v>
      </c>
      <c r="C27" s="107" t="s">
        <v>36</v>
      </c>
      <c r="D27" s="107"/>
      <c r="E27" s="108"/>
      <c r="F27" s="109" t="s">
        <v>78</v>
      </c>
      <c r="G27" s="110"/>
      <c r="H27" s="18" t="s">
        <v>51</v>
      </c>
      <c r="I27" s="59"/>
      <c r="J27" s="113">
        <v>12</v>
      </c>
      <c r="K27" s="113"/>
      <c r="L27" s="114"/>
      <c r="M27" s="115" t="s">
        <v>35</v>
      </c>
      <c r="N27" s="116">
        <f t="shared" si="1"/>
        <v>12</v>
      </c>
      <c r="O27" s="168"/>
      <c r="P27" s="200"/>
      <c r="Q27" s="201"/>
      <c r="R27" s="201"/>
      <c r="S27" s="201"/>
      <c r="T27" s="201"/>
      <c r="U27" s="202"/>
    </row>
    <row r="28" spans="1:21" ht="15.75">
      <c r="A28" s="85"/>
      <c r="B28" s="37">
        <f t="shared" si="2"/>
        <v>15</v>
      </c>
      <c r="C28" s="107" t="s">
        <v>37</v>
      </c>
      <c r="D28" s="107"/>
      <c r="E28" s="108"/>
      <c r="F28" s="109" t="s">
        <v>43</v>
      </c>
      <c r="G28" s="110"/>
      <c r="H28" s="18" t="s">
        <v>51</v>
      </c>
      <c r="I28" s="59"/>
      <c r="J28" s="113">
        <v>10</v>
      </c>
      <c r="K28" s="113"/>
      <c r="L28" s="114"/>
      <c r="M28" s="115" t="s">
        <v>21</v>
      </c>
      <c r="N28" s="116">
        <f t="shared" si="1"/>
        <v>10</v>
      </c>
      <c r="O28" s="168"/>
      <c r="P28" s="200"/>
      <c r="Q28" s="201"/>
      <c r="R28" s="201"/>
      <c r="S28" s="201"/>
      <c r="T28" s="201"/>
      <c r="U28" s="202"/>
    </row>
    <row r="29" spans="1:21" ht="15.75">
      <c r="A29" s="85"/>
      <c r="B29" s="37">
        <f t="shared" si="2"/>
        <v>16</v>
      </c>
      <c r="C29" s="107" t="s">
        <v>38</v>
      </c>
      <c r="D29" s="107"/>
      <c r="E29" s="108"/>
      <c r="F29" s="109" t="s">
        <v>80</v>
      </c>
      <c r="G29" s="110"/>
      <c r="H29" s="18" t="s">
        <v>86</v>
      </c>
      <c r="I29" s="59"/>
      <c r="J29" s="113"/>
      <c r="K29" s="113"/>
      <c r="L29" s="114"/>
      <c r="M29" s="115" t="s">
        <v>21</v>
      </c>
      <c r="N29" s="116">
        <f t="shared" si="1"/>
        <v>0</v>
      </c>
      <c r="O29" s="168"/>
      <c r="P29" s="200"/>
      <c r="Q29" s="201"/>
      <c r="R29" s="201"/>
      <c r="S29" s="201"/>
      <c r="T29" s="201"/>
      <c r="U29" s="202"/>
    </row>
    <row r="30" spans="1:21" ht="15.75">
      <c r="A30" s="85"/>
      <c r="B30" s="37">
        <f t="shared" si="2"/>
        <v>17</v>
      </c>
      <c r="C30" s="107" t="s">
        <v>39</v>
      </c>
      <c r="D30" s="107"/>
      <c r="E30" s="108"/>
      <c r="F30" s="109" t="s">
        <v>79</v>
      </c>
      <c r="G30" s="110"/>
      <c r="H30" s="18" t="s">
        <v>51</v>
      </c>
      <c r="I30" s="59"/>
      <c r="J30" s="113">
        <v>12</v>
      </c>
      <c r="K30" s="113"/>
      <c r="L30" s="114"/>
      <c r="M30" s="115" t="s">
        <v>35</v>
      </c>
      <c r="N30" s="116">
        <f t="shared" si="1"/>
        <v>12</v>
      </c>
      <c r="O30" s="168"/>
      <c r="P30" s="200"/>
      <c r="Q30" s="201"/>
      <c r="R30" s="201"/>
      <c r="S30" s="201"/>
      <c r="T30" s="201"/>
      <c r="U30" s="202"/>
    </row>
    <row r="31" spans="1:21" ht="15.75">
      <c r="A31" s="85"/>
      <c r="B31" s="37">
        <f t="shared" si="2"/>
        <v>18</v>
      </c>
      <c r="C31" s="107" t="s">
        <v>40</v>
      </c>
      <c r="D31" s="107"/>
      <c r="E31" s="108"/>
      <c r="F31" s="109" t="s">
        <v>44</v>
      </c>
      <c r="G31" s="110"/>
      <c r="H31" s="18" t="s">
        <v>51</v>
      </c>
      <c r="I31" s="59"/>
      <c r="J31" s="113">
        <v>10</v>
      </c>
      <c r="K31" s="113"/>
      <c r="L31" s="114"/>
      <c r="M31" s="115" t="s">
        <v>21</v>
      </c>
      <c r="N31" s="116">
        <f t="shared" si="1"/>
        <v>10</v>
      </c>
      <c r="O31" s="168"/>
      <c r="P31" s="200"/>
      <c r="Q31" s="201"/>
      <c r="R31" s="201"/>
      <c r="S31" s="201"/>
      <c r="T31" s="201"/>
      <c r="U31" s="202"/>
    </row>
    <row r="32" spans="1:21" ht="15.75">
      <c r="A32" s="85"/>
      <c r="B32" s="37">
        <f t="shared" si="2"/>
        <v>19</v>
      </c>
      <c r="C32" s="107" t="s">
        <v>41</v>
      </c>
      <c r="D32" s="107"/>
      <c r="E32" s="108"/>
      <c r="F32" s="109" t="s">
        <v>81</v>
      </c>
      <c r="G32" s="110"/>
      <c r="H32" s="18" t="s">
        <v>86</v>
      </c>
      <c r="I32" s="59"/>
      <c r="J32" s="113"/>
      <c r="K32" s="113"/>
      <c r="L32" s="114"/>
      <c r="M32" s="115" t="s">
        <v>21</v>
      </c>
      <c r="N32" s="116">
        <f t="shared" si="1"/>
        <v>0</v>
      </c>
      <c r="O32" s="168"/>
      <c r="P32" s="200"/>
      <c r="Q32" s="201"/>
      <c r="R32" s="201"/>
      <c r="S32" s="201"/>
      <c r="T32" s="201"/>
      <c r="U32" s="202"/>
    </row>
    <row r="33" spans="1:21" ht="15.75">
      <c r="A33" s="85"/>
      <c r="B33" s="37">
        <f t="shared" si="2"/>
        <v>20</v>
      </c>
      <c r="C33" s="80" t="s">
        <v>46</v>
      </c>
      <c r="D33" s="80"/>
      <c r="E33" s="81"/>
      <c r="F33" s="84" t="s">
        <v>71</v>
      </c>
      <c r="G33" s="17"/>
      <c r="H33" s="18" t="s">
        <v>62</v>
      </c>
      <c r="I33" s="59"/>
      <c r="J33" s="19">
        <v>8</v>
      </c>
      <c r="K33" s="19"/>
      <c r="L33" s="50" t="s">
        <v>47</v>
      </c>
      <c r="M33" s="73" t="s">
        <v>35</v>
      </c>
      <c r="N33" s="54">
        <f t="shared" si="1"/>
        <v>8</v>
      </c>
      <c r="O33" s="167">
        <v>0</v>
      </c>
      <c r="P33" s="203" t="s">
        <v>48</v>
      </c>
      <c r="Q33" s="204"/>
      <c r="R33" s="204"/>
      <c r="S33" s="204"/>
      <c r="T33" s="204"/>
      <c r="U33" s="205"/>
    </row>
    <row r="34" spans="1:21" ht="16.5" thickBot="1">
      <c r="A34" s="118"/>
      <c r="B34" s="119"/>
      <c r="C34" s="120"/>
      <c r="D34" s="120"/>
      <c r="E34" s="121"/>
      <c r="F34" s="129"/>
      <c r="G34" s="122"/>
      <c r="H34" s="147"/>
      <c r="I34" s="148"/>
      <c r="J34" s="125"/>
      <c r="K34" s="125"/>
      <c r="L34" s="126"/>
      <c r="M34" s="126"/>
      <c r="N34" s="127"/>
      <c r="O34" s="169"/>
      <c r="P34" s="197"/>
      <c r="Q34" s="198"/>
      <c r="R34" s="198"/>
      <c r="S34" s="198"/>
      <c r="T34" s="198"/>
      <c r="U34" s="199"/>
    </row>
  </sheetData>
  <mergeCells count="51">
    <mergeCell ref="O1:U1"/>
    <mergeCell ref="J2:K2"/>
    <mergeCell ref="L2:M2"/>
    <mergeCell ref="O2:U2"/>
    <mergeCell ref="J3:K3"/>
    <mergeCell ref="L3:M3"/>
    <mergeCell ref="O3:U3"/>
    <mergeCell ref="J4:K4"/>
    <mergeCell ref="L4:M4"/>
    <mergeCell ref="O4:U4"/>
    <mergeCell ref="J5:K5"/>
    <mergeCell ref="L5:M5"/>
    <mergeCell ref="O5:U5"/>
    <mergeCell ref="E6:H6"/>
    <mergeCell ref="K6:M6"/>
    <mergeCell ref="O6:U6"/>
    <mergeCell ref="E7:H7"/>
    <mergeCell ref="K7:M7"/>
    <mergeCell ref="O7:U7"/>
    <mergeCell ref="P15:U15"/>
    <mergeCell ref="E8:H8"/>
    <mergeCell ref="K8:M8"/>
    <mergeCell ref="O8:U8"/>
    <mergeCell ref="E9:H9"/>
    <mergeCell ref="O9:U9"/>
    <mergeCell ref="E10:H10"/>
    <mergeCell ref="O10:U10"/>
    <mergeCell ref="E11:H11"/>
    <mergeCell ref="O11:U11"/>
    <mergeCell ref="O12:U12"/>
    <mergeCell ref="P13:U13"/>
    <mergeCell ref="P14:U14"/>
    <mergeCell ref="P27:U27"/>
    <mergeCell ref="P16:U16"/>
    <mergeCell ref="P17:U17"/>
    <mergeCell ref="P18:U18"/>
    <mergeCell ref="P19:U19"/>
    <mergeCell ref="P20:U20"/>
    <mergeCell ref="P21:U21"/>
    <mergeCell ref="P22:U22"/>
    <mergeCell ref="P23:U23"/>
    <mergeCell ref="P24:U24"/>
    <mergeCell ref="P25:U25"/>
    <mergeCell ref="P26:U26"/>
    <mergeCell ref="P34:U34"/>
    <mergeCell ref="P28:U28"/>
    <mergeCell ref="P29:U29"/>
    <mergeCell ref="P30:U30"/>
    <mergeCell ref="P31:U31"/>
    <mergeCell ref="P32:U32"/>
    <mergeCell ref="P33:U3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3009"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43010"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43011"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43012"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43013"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43014"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12DA874C-E4EA-4F0F-AAC6-4A3CB84A4672}">
            <xm:f>(AND(H14&lt;&gt;"",ISERROR(VLOOKUP(H14,system!$E:$E,1,FALSE))))</xm:f>
            <x14:dxf>
              <fill>
                <patternFill patternType="solid">
                  <bgColor rgb="FFFF0000"/>
                </patternFill>
              </fill>
            </x14:dxf>
          </x14:cfRule>
          <xm:sqref>H14:H26</xm:sqref>
        </x14:conditionalFormatting>
        <x14:conditionalFormatting xmlns:xm="http://schemas.microsoft.com/office/excel/2006/main">
          <x14:cfRule type="expression" priority="3" id="{7F98143B-BB78-4968-AE01-3190797C5234}">
            <xm:f>(AND(H14&lt;&gt;"",ISERROR(VLOOKUP(H14,system!$E:$E,1,FALSE))))</xm:f>
            <x14:dxf>
              <fill>
                <patternFill>
                  <bgColor rgb="FFFF0000"/>
                </patternFill>
              </fill>
            </x14:dxf>
          </x14:cfRule>
          <xm:sqref>I14:I26</xm:sqref>
        </x14:conditionalFormatting>
        <x14:conditionalFormatting xmlns:xm="http://schemas.microsoft.com/office/excel/2006/main">
          <x14:cfRule type="expression" priority="2" id="{7D1C897A-7B7B-4663-9AF4-03B176BEB698}">
            <xm:f>(AND(H27&lt;&gt;"",ISERROR(VLOOKUP(H27,system!$E:$E,1,FALSE))))</xm:f>
            <x14:dxf>
              <fill>
                <patternFill patternType="solid">
                  <bgColor rgb="FFFF0000"/>
                </patternFill>
              </fill>
            </x14:dxf>
          </x14:cfRule>
          <xm:sqref>H27:H34</xm:sqref>
        </x14:conditionalFormatting>
        <x14:conditionalFormatting xmlns:xm="http://schemas.microsoft.com/office/excel/2006/main">
          <x14:cfRule type="expression" priority="1" id="{D2C8F268-7F09-4B0E-A719-BE910B00DDC7}">
            <xm:f>(AND(H27&lt;&gt;"",ISERROR(VLOOKUP(H27,system!$E:$E,1,FALSE))))</xm:f>
            <x14:dxf>
              <fill>
                <patternFill>
                  <bgColor rgb="FFFF0000"/>
                </patternFill>
              </fill>
            </x14:dxf>
          </x14:cfRule>
          <xm:sqref>I27:I34</xm:sqref>
        </x14:conditionalFormatting>
      </x14:conditionalFormatting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A1:U27"/>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7" t="s">
        <v>27</v>
      </c>
      <c r="P1" s="248"/>
      <c r="Q1" s="248"/>
      <c r="R1" s="248"/>
      <c r="S1" s="248"/>
      <c r="T1" s="248"/>
      <c r="U1" s="249"/>
    </row>
    <row r="2" spans="1:21" ht="14.45" customHeight="1">
      <c r="A2" s="39"/>
      <c r="B2" s="100" t="s">
        <v>64</v>
      </c>
      <c r="C2" s="5"/>
      <c r="D2" s="5"/>
      <c r="E2" s="5"/>
      <c r="F2" s="5"/>
      <c r="G2" s="6"/>
      <c r="H2" s="7"/>
      <c r="I2" s="8"/>
      <c r="J2" s="250"/>
      <c r="K2" s="251"/>
      <c r="L2" s="250"/>
      <c r="M2" s="251"/>
      <c r="N2" s="52"/>
      <c r="O2" s="252" t="s">
        <v>804</v>
      </c>
      <c r="P2" s="253"/>
      <c r="Q2" s="253"/>
      <c r="R2" s="253"/>
      <c r="S2" s="253"/>
      <c r="T2" s="253"/>
      <c r="U2" s="254"/>
    </row>
    <row r="3" spans="1:21" ht="14.25" customHeight="1">
      <c r="A3" s="40"/>
      <c r="B3" s="35"/>
      <c r="C3" s="5"/>
      <c r="D3" s="5"/>
      <c r="E3" s="5"/>
      <c r="F3" s="5"/>
      <c r="G3" s="9"/>
      <c r="H3" s="10"/>
      <c r="I3" s="176" t="s">
        <v>1032</v>
      </c>
      <c r="J3" s="255" t="s">
        <v>1032</v>
      </c>
      <c r="K3" s="256"/>
      <c r="L3" s="255" t="s">
        <v>1032</v>
      </c>
      <c r="M3" s="256"/>
      <c r="N3" s="52"/>
      <c r="O3" s="257"/>
      <c r="P3" s="258"/>
      <c r="Q3" s="258"/>
      <c r="R3" s="258"/>
      <c r="S3" s="258"/>
      <c r="T3" s="258"/>
      <c r="U3" s="259"/>
    </row>
    <row r="4" spans="1:21" ht="14.45" customHeight="1">
      <c r="A4" s="41"/>
      <c r="B4" s="36" t="s">
        <v>3</v>
      </c>
      <c r="C4" s="5"/>
      <c r="D4" s="5"/>
      <c r="E4" s="5"/>
      <c r="F4" s="5"/>
      <c r="G4" s="6"/>
      <c r="H4" s="10"/>
      <c r="I4" s="177" t="s">
        <v>1035</v>
      </c>
      <c r="J4" s="240" t="s">
        <v>1034</v>
      </c>
      <c r="K4" s="241"/>
      <c r="L4" s="240" t="s">
        <v>1033</v>
      </c>
      <c r="M4" s="241"/>
      <c r="N4" s="52"/>
      <c r="O4" s="210"/>
      <c r="P4" s="211"/>
      <c r="Q4" s="211"/>
      <c r="R4" s="211"/>
      <c r="S4" s="211"/>
      <c r="T4" s="211"/>
      <c r="U4" s="212"/>
    </row>
    <row r="5" spans="1:21" ht="14.45" customHeight="1" thickBot="1">
      <c r="A5" s="42"/>
      <c r="B5" s="11"/>
      <c r="C5" s="11"/>
      <c r="D5" s="11"/>
      <c r="E5" s="11"/>
      <c r="F5" s="11"/>
      <c r="G5" s="12"/>
      <c r="H5" s="13"/>
      <c r="I5" s="14"/>
      <c r="J5" s="242"/>
      <c r="K5" s="243"/>
      <c r="L5" s="244"/>
      <c r="M5" s="245"/>
      <c r="N5" s="53"/>
      <c r="O5" s="246"/>
      <c r="P5" s="211"/>
      <c r="Q5" s="211"/>
      <c r="R5" s="211"/>
      <c r="S5" s="211"/>
      <c r="T5" s="211"/>
      <c r="U5" s="212"/>
    </row>
    <row r="6" spans="1:21" ht="14.45" customHeight="1">
      <c r="A6" s="43"/>
      <c r="B6" s="101" t="s">
        <v>4</v>
      </c>
      <c r="C6" s="20"/>
      <c r="D6" s="21"/>
      <c r="E6" s="222" t="s">
        <v>65</v>
      </c>
      <c r="F6" s="223"/>
      <c r="G6" s="223"/>
      <c r="H6" s="224"/>
      <c r="I6" s="60" t="s">
        <v>26</v>
      </c>
      <c r="J6" s="26"/>
      <c r="K6" s="225" t="s">
        <v>33</v>
      </c>
      <c r="L6" s="226"/>
      <c r="M6" s="227"/>
      <c r="N6" s="91" t="s">
        <v>5</v>
      </c>
      <c r="O6" s="210"/>
      <c r="P6" s="211"/>
      <c r="Q6" s="211"/>
      <c r="R6" s="211"/>
      <c r="S6" s="211"/>
      <c r="T6" s="211"/>
      <c r="U6" s="212"/>
    </row>
    <row r="7" spans="1:21" ht="15.75" customHeight="1">
      <c r="A7" s="44"/>
      <c r="B7" s="102" t="s">
        <v>6</v>
      </c>
      <c r="C7" s="22"/>
      <c r="D7" s="23"/>
      <c r="E7" s="228" t="s">
        <v>161</v>
      </c>
      <c r="F7" s="229"/>
      <c r="G7" s="229"/>
      <c r="H7" s="230"/>
      <c r="I7" s="61" t="s">
        <v>28</v>
      </c>
      <c r="J7" s="27"/>
      <c r="K7" s="231" t="s">
        <v>34</v>
      </c>
      <c r="L7" s="232"/>
      <c r="M7" s="233"/>
      <c r="N7" s="92">
        <f>COUNTIF(H14:H14,"LONG")+COUNTIF(H14:H14,"LONG RAW")</f>
        <v>0</v>
      </c>
      <c r="O7" s="210"/>
      <c r="P7" s="211"/>
      <c r="Q7" s="211"/>
      <c r="R7" s="211"/>
      <c r="S7" s="211"/>
      <c r="T7" s="211"/>
      <c r="U7" s="212"/>
    </row>
    <row r="8" spans="1:21" ht="14.45" customHeight="1">
      <c r="A8" s="45"/>
      <c r="B8" s="22" t="s">
        <v>7</v>
      </c>
      <c r="C8" s="22"/>
      <c r="D8" s="23"/>
      <c r="E8" s="228" t="s">
        <v>801</v>
      </c>
      <c r="F8" s="229"/>
      <c r="G8" s="229"/>
      <c r="H8" s="230"/>
      <c r="I8" s="62"/>
      <c r="J8" s="27"/>
      <c r="K8" s="234"/>
      <c r="L8" s="235"/>
      <c r="M8" s="236"/>
      <c r="N8" s="92"/>
      <c r="O8" s="210"/>
      <c r="P8" s="211"/>
      <c r="Q8" s="211"/>
      <c r="R8" s="211"/>
      <c r="S8" s="211"/>
      <c r="T8" s="211"/>
      <c r="U8" s="212"/>
    </row>
    <row r="9" spans="1:21" ht="14.45" customHeight="1">
      <c r="A9" s="45"/>
      <c r="B9" s="22" t="s">
        <v>8</v>
      </c>
      <c r="C9" s="22"/>
      <c r="D9" s="23"/>
      <c r="E9" s="237" t="s">
        <v>68</v>
      </c>
      <c r="F9" s="238"/>
      <c r="G9" s="238"/>
      <c r="H9" s="239"/>
      <c r="I9" s="61" t="s">
        <v>9</v>
      </c>
      <c r="J9" s="27"/>
      <c r="K9" s="86"/>
      <c r="L9" s="88">
        <f>SUM(N14:N28)</f>
        <v>128</v>
      </c>
      <c r="M9" s="82"/>
      <c r="N9" s="93">
        <f>SUMIF(M14:M14,"■",N14:N14)</f>
        <v>0</v>
      </c>
      <c r="O9" s="210"/>
      <c r="P9" s="211"/>
      <c r="Q9" s="211"/>
      <c r="R9" s="211"/>
      <c r="S9" s="211"/>
      <c r="T9" s="211"/>
      <c r="U9" s="212"/>
    </row>
    <row r="10" spans="1:21" ht="14.45" customHeight="1">
      <c r="A10" s="45"/>
      <c r="B10" s="22" t="s">
        <v>10</v>
      </c>
      <c r="C10" s="22"/>
      <c r="D10" s="23"/>
      <c r="E10" s="219" t="s">
        <v>68</v>
      </c>
      <c r="F10" s="220"/>
      <c r="G10" s="220"/>
      <c r="H10" s="221"/>
      <c r="I10" s="61" t="s">
        <v>11</v>
      </c>
      <c r="J10" s="27"/>
      <c r="K10" s="86"/>
      <c r="L10" s="89">
        <f>E11*L9/1000</f>
        <v>0</v>
      </c>
      <c r="M10" s="82"/>
      <c r="N10" s="55"/>
      <c r="O10" s="210"/>
      <c r="P10" s="211"/>
      <c r="Q10" s="211"/>
      <c r="R10" s="211"/>
      <c r="S10" s="211"/>
      <c r="T10" s="211"/>
      <c r="U10" s="212"/>
    </row>
    <row r="11" spans="1:21" ht="17.25" customHeight="1" thickBot="1">
      <c r="A11" s="46"/>
      <c r="B11" s="24" t="s">
        <v>29</v>
      </c>
      <c r="C11" s="24"/>
      <c r="D11" s="25"/>
      <c r="E11" s="207"/>
      <c r="F11" s="208"/>
      <c r="G11" s="208"/>
      <c r="H11" s="209"/>
      <c r="I11" s="103" t="s">
        <v>12</v>
      </c>
      <c r="J11" s="104"/>
      <c r="K11" s="87"/>
      <c r="L11" s="90"/>
      <c r="M11" s="83"/>
      <c r="N11" s="56"/>
      <c r="O11" s="210"/>
      <c r="P11" s="211"/>
      <c r="Q11" s="211"/>
      <c r="R11" s="211"/>
      <c r="S11" s="211"/>
      <c r="T11" s="211"/>
      <c r="U11" s="212"/>
    </row>
    <row r="12" spans="1:21" ht="15.75" customHeight="1" thickBot="1">
      <c r="A12" s="64"/>
      <c r="B12" s="65"/>
      <c r="C12" s="30"/>
      <c r="D12" s="30"/>
      <c r="E12" s="31"/>
      <c r="F12" s="32"/>
      <c r="G12" s="29"/>
      <c r="H12" s="28"/>
      <c r="I12" s="29"/>
      <c r="J12" s="30" t="s">
        <v>13</v>
      </c>
      <c r="K12" s="31"/>
      <c r="L12" s="66"/>
      <c r="M12" s="48"/>
      <c r="N12" s="57">
        <f>COUNTA(H14:H14)</f>
        <v>1</v>
      </c>
      <c r="O12" s="213"/>
      <c r="P12" s="214"/>
      <c r="Q12" s="214"/>
      <c r="R12" s="214"/>
      <c r="S12" s="214"/>
      <c r="T12" s="214"/>
      <c r="U12" s="21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16" t="s">
        <v>32</v>
      </c>
      <c r="Q13" s="217"/>
      <c r="R13" s="217"/>
      <c r="S13" s="217"/>
      <c r="T13" s="217"/>
      <c r="U13" s="218"/>
    </row>
    <row r="14" spans="1:21" ht="15.75" customHeight="1">
      <c r="A14" s="85" t="s">
        <v>188</v>
      </c>
      <c r="B14" s="37">
        <f t="shared" ref="B14:B19" si="0">ROW()-13</f>
        <v>1</v>
      </c>
      <c r="C14" s="145" t="s">
        <v>482</v>
      </c>
      <c r="D14" s="80"/>
      <c r="E14" s="81"/>
      <c r="F14" s="146" t="s">
        <v>483</v>
      </c>
      <c r="G14" s="17"/>
      <c r="H14" s="18" t="s">
        <v>49</v>
      </c>
      <c r="I14" s="59"/>
      <c r="J14" s="19">
        <v>4</v>
      </c>
      <c r="K14" s="19"/>
      <c r="L14" s="50" t="s">
        <v>187</v>
      </c>
      <c r="M14" s="73" t="s">
        <v>21</v>
      </c>
      <c r="N14" s="54">
        <f t="shared" ref="N14:N26" si="1">IF(H14="NUMBER",IF(J14&gt;0,INT((J14+1)/2+0.9),0),IF(H14="DATE",7,IF(OR(H14="LONG",H14="LONG RAW"),100000,J14)))</f>
        <v>4</v>
      </c>
      <c r="O14" s="167"/>
      <c r="P14" s="203"/>
      <c r="Q14" s="204"/>
      <c r="R14" s="204"/>
      <c r="S14" s="204"/>
      <c r="T14" s="204"/>
      <c r="U14" s="205"/>
    </row>
    <row r="15" spans="1:21" ht="15.75" customHeight="1">
      <c r="A15" s="85"/>
      <c r="B15" s="37">
        <f t="shared" si="0"/>
        <v>2</v>
      </c>
      <c r="C15" s="145" t="s">
        <v>805</v>
      </c>
      <c r="D15" s="80"/>
      <c r="E15" s="81"/>
      <c r="F15" s="146" t="s">
        <v>806</v>
      </c>
      <c r="G15" s="17"/>
      <c r="H15" s="18" t="s">
        <v>51</v>
      </c>
      <c r="I15" s="59"/>
      <c r="J15" s="19">
        <v>20</v>
      </c>
      <c r="K15" s="19"/>
      <c r="L15" s="50" t="s">
        <v>187</v>
      </c>
      <c r="M15" s="73" t="s">
        <v>21</v>
      </c>
      <c r="N15" s="54">
        <f t="shared" si="1"/>
        <v>20</v>
      </c>
      <c r="O15" s="167"/>
      <c r="P15" s="203"/>
      <c r="Q15" s="204"/>
      <c r="R15" s="204"/>
      <c r="S15" s="204"/>
      <c r="T15" s="204"/>
      <c r="U15" s="205"/>
    </row>
    <row r="16" spans="1:21" ht="15.75" customHeight="1">
      <c r="A16" s="85"/>
      <c r="B16" s="37">
        <f t="shared" si="0"/>
        <v>3</v>
      </c>
      <c r="C16" s="145" t="s">
        <v>807</v>
      </c>
      <c r="D16" s="80"/>
      <c r="E16" s="81"/>
      <c r="F16" s="146" t="s">
        <v>808</v>
      </c>
      <c r="G16" s="17"/>
      <c r="H16" s="18" t="s">
        <v>209</v>
      </c>
      <c r="I16" s="59"/>
      <c r="J16" s="19"/>
      <c r="K16" s="19"/>
      <c r="L16" s="50" t="s">
        <v>187</v>
      </c>
      <c r="M16" s="73" t="s">
        <v>21</v>
      </c>
      <c r="N16" s="54">
        <f t="shared" si="1"/>
        <v>0</v>
      </c>
      <c r="O16" s="167"/>
      <c r="P16" s="203"/>
      <c r="Q16" s="204"/>
      <c r="R16" s="204"/>
      <c r="S16" s="204"/>
      <c r="T16" s="204"/>
      <c r="U16" s="205"/>
    </row>
    <row r="17" spans="1:21" ht="27.6" customHeight="1">
      <c r="A17" s="85"/>
      <c r="B17" s="37">
        <f t="shared" si="0"/>
        <v>4</v>
      </c>
      <c r="C17" s="145" t="s">
        <v>809</v>
      </c>
      <c r="D17" s="80"/>
      <c r="E17" s="81"/>
      <c r="F17" s="146" t="s">
        <v>810</v>
      </c>
      <c r="G17" s="17"/>
      <c r="H17" s="18" t="s">
        <v>49</v>
      </c>
      <c r="I17" s="59"/>
      <c r="J17" s="19">
        <v>1</v>
      </c>
      <c r="K17" s="19"/>
      <c r="L17" s="50" t="s">
        <v>187</v>
      </c>
      <c r="M17" s="73" t="s">
        <v>21</v>
      </c>
      <c r="N17" s="54">
        <f t="shared" si="1"/>
        <v>1</v>
      </c>
      <c r="O17" s="167"/>
      <c r="P17" s="206" t="s">
        <v>811</v>
      </c>
      <c r="Q17" s="204"/>
      <c r="R17" s="204"/>
      <c r="S17" s="204"/>
      <c r="T17" s="204"/>
      <c r="U17" s="205"/>
    </row>
    <row r="18" spans="1:21" ht="27.6" customHeight="1">
      <c r="A18" s="85"/>
      <c r="B18" s="37">
        <f t="shared" si="0"/>
        <v>5</v>
      </c>
      <c r="C18" s="145" t="s">
        <v>225</v>
      </c>
      <c r="D18" s="80"/>
      <c r="E18" s="81"/>
      <c r="F18" s="146" t="s">
        <v>226</v>
      </c>
      <c r="G18" s="17"/>
      <c r="H18" s="18" t="s">
        <v>49</v>
      </c>
      <c r="I18" s="59"/>
      <c r="J18" s="19">
        <v>1</v>
      </c>
      <c r="K18" s="19"/>
      <c r="L18" s="50"/>
      <c r="M18" s="73" t="s">
        <v>21</v>
      </c>
      <c r="N18" s="54">
        <f t="shared" si="1"/>
        <v>1</v>
      </c>
      <c r="O18" s="167"/>
      <c r="P18" s="206" t="s">
        <v>227</v>
      </c>
      <c r="Q18" s="204"/>
      <c r="R18" s="204"/>
      <c r="S18" s="204"/>
      <c r="T18" s="204"/>
      <c r="U18" s="205"/>
    </row>
    <row r="19" spans="1:21" ht="15.75" customHeight="1">
      <c r="A19" s="85"/>
      <c r="B19" s="37">
        <f t="shared" si="0"/>
        <v>6</v>
      </c>
      <c r="C19" s="145" t="s">
        <v>293</v>
      </c>
      <c r="D19" s="80"/>
      <c r="E19" s="81"/>
      <c r="F19" s="146" t="s">
        <v>294</v>
      </c>
      <c r="G19" s="17"/>
      <c r="H19" s="18" t="s">
        <v>51</v>
      </c>
      <c r="I19" s="59"/>
      <c r="J19" s="19">
        <v>50</v>
      </c>
      <c r="K19" s="19"/>
      <c r="L19" s="50"/>
      <c r="M19" s="73" t="s">
        <v>21</v>
      </c>
      <c r="N19" s="54">
        <f t="shared" si="1"/>
        <v>50</v>
      </c>
      <c r="O19" s="167"/>
      <c r="P19" s="203"/>
      <c r="Q19" s="204"/>
      <c r="R19" s="204"/>
      <c r="S19" s="204"/>
      <c r="T19" s="204"/>
      <c r="U19" s="205"/>
    </row>
    <row r="20" spans="1:21" ht="15.75">
      <c r="A20" s="85"/>
      <c r="B20" s="37">
        <f t="shared" ref="B20:B26" si="2">ROW()-13</f>
        <v>7</v>
      </c>
      <c r="C20" s="107" t="s">
        <v>36</v>
      </c>
      <c r="D20" s="107"/>
      <c r="E20" s="108"/>
      <c r="F20" s="109" t="s">
        <v>78</v>
      </c>
      <c r="G20" s="110"/>
      <c r="H20" s="18" t="s">
        <v>51</v>
      </c>
      <c r="I20" s="59"/>
      <c r="J20" s="113">
        <v>12</v>
      </c>
      <c r="K20" s="113"/>
      <c r="L20" s="114"/>
      <c r="M20" s="115" t="s">
        <v>35</v>
      </c>
      <c r="N20" s="116">
        <f t="shared" si="1"/>
        <v>12</v>
      </c>
      <c r="O20" s="168"/>
      <c r="P20" s="200"/>
      <c r="Q20" s="201"/>
      <c r="R20" s="201"/>
      <c r="S20" s="201"/>
      <c r="T20" s="201"/>
      <c r="U20" s="202"/>
    </row>
    <row r="21" spans="1:21" ht="15.75">
      <c r="A21" s="85"/>
      <c r="B21" s="37">
        <f t="shared" si="2"/>
        <v>8</v>
      </c>
      <c r="C21" s="107" t="s">
        <v>37</v>
      </c>
      <c r="D21" s="107"/>
      <c r="E21" s="108"/>
      <c r="F21" s="109" t="s">
        <v>43</v>
      </c>
      <c r="G21" s="110"/>
      <c r="H21" s="18" t="s">
        <v>51</v>
      </c>
      <c r="I21" s="59"/>
      <c r="J21" s="113">
        <v>10</v>
      </c>
      <c r="K21" s="113"/>
      <c r="L21" s="114"/>
      <c r="M21" s="115" t="s">
        <v>21</v>
      </c>
      <c r="N21" s="116">
        <f t="shared" si="1"/>
        <v>10</v>
      </c>
      <c r="O21" s="168"/>
      <c r="P21" s="200"/>
      <c r="Q21" s="201"/>
      <c r="R21" s="201"/>
      <c r="S21" s="201"/>
      <c r="T21" s="201"/>
      <c r="U21" s="202"/>
    </row>
    <row r="22" spans="1:21" ht="15.75">
      <c r="A22" s="85"/>
      <c r="B22" s="37">
        <f t="shared" si="2"/>
        <v>9</v>
      </c>
      <c r="C22" s="107" t="s">
        <v>38</v>
      </c>
      <c r="D22" s="107"/>
      <c r="E22" s="108"/>
      <c r="F22" s="109" t="s">
        <v>80</v>
      </c>
      <c r="G22" s="110"/>
      <c r="H22" s="18" t="s">
        <v>86</v>
      </c>
      <c r="I22" s="59"/>
      <c r="J22" s="113"/>
      <c r="K22" s="113"/>
      <c r="L22" s="114"/>
      <c r="M22" s="115" t="s">
        <v>21</v>
      </c>
      <c r="N22" s="116">
        <f t="shared" si="1"/>
        <v>0</v>
      </c>
      <c r="O22" s="168"/>
      <c r="P22" s="200"/>
      <c r="Q22" s="201"/>
      <c r="R22" s="201"/>
      <c r="S22" s="201"/>
      <c r="T22" s="201"/>
      <c r="U22" s="202"/>
    </row>
    <row r="23" spans="1:21" ht="15.75">
      <c r="A23" s="85"/>
      <c r="B23" s="37">
        <f t="shared" si="2"/>
        <v>10</v>
      </c>
      <c r="C23" s="107" t="s">
        <v>39</v>
      </c>
      <c r="D23" s="107"/>
      <c r="E23" s="108"/>
      <c r="F23" s="109" t="s">
        <v>79</v>
      </c>
      <c r="G23" s="110"/>
      <c r="H23" s="18" t="s">
        <v>51</v>
      </c>
      <c r="I23" s="59"/>
      <c r="J23" s="113">
        <v>12</v>
      </c>
      <c r="K23" s="113"/>
      <c r="L23" s="114"/>
      <c r="M23" s="115" t="s">
        <v>35</v>
      </c>
      <c r="N23" s="116">
        <f t="shared" si="1"/>
        <v>12</v>
      </c>
      <c r="O23" s="168"/>
      <c r="P23" s="200"/>
      <c r="Q23" s="201"/>
      <c r="R23" s="201"/>
      <c r="S23" s="201"/>
      <c r="T23" s="201"/>
      <c r="U23" s="202"/>
    </row>
    <row r="24" spans="1:21" ht="15.75">
      <c r="A24" s="85"/>
      <c r="B24" s="37">
        <f t="shared" si="2"/>
        <v>11</v>
      </c>
      <c r="C24" s="107" t="s">
        <v>40</v>
      </c>
      <c r="D24" s="107"/>
      <c r="E24" s="108"/>
      <c r="F24" s="109" t="s">
        <v>44</v>
      </c>
      <c r="G24" s="110"/>
      <c r="H24" s="18" t="s">
        <v>51</v>
      </c>
      <c r="I24" s="59"/>
      <c r="J24" s="113">
        <v>10</v>
      </c>
      <c r="K24" s="113"/>
      <c r="L24" s="114"/>
      <c r="M24" s="115" t="s">
        <v>21</v>
      </c>
      <c r="N24" s="116">
        <f t="shared" si="1"/>
        <v>10</v>
      </c>
      <c r="O24" s="168"/>
      <c r="P24" s="200"/>
      <c r="Q24" s="201"/>
      <c r="R24" s="201"/>
      <c r="S24" s="201"/>
      <c r="T24" s="201"/>
      <c r="U24" s="202"/>
    </row>
    <row r="25" spans="1:21" ht="15.75">
      <c r="A25" s="85"/>
      <c r="B25" s="37">
        <f t="shared" si="2"/>
        <v>12</v>
      </c>
      <c r="C25" s="107" t="s">
        <v>41</v>
      </c>
      <c r="D25" s="107"/>
      <c r="E25" s="108"/>
      <c r="F25" s="109" t="s">
        <v>81</v>
      </c>
      <c r="G25" s="110"/>
      <c r="H25" s="18" t="s">
        <v>86</v>
      </c>
      <c r="I25" s="59"/>
      <c r="J25" s="113"/>
      <c r="K25" s="113"/>
      <c r="L25" s="114"/>
      <c r="M25" s="115" t="s">
        <v>21</v>
      </c>
      <c r="N25" s="116">
        <f t="shared" si="1"/>
        <v>0</v>
      </c>
      <c r="O25" s="168"/>
      <c r="P25" s="200"/>
      <c r="Q25" s="201"/>
      <c r="R25" s="201"/>
      <c r="S25" s="201"/>
      <c r="T25" s="201"/>
      <c r="U25" s="202"/>
    </row>
    <row r="26" spans="1:21" ht="15.75">
      <c r="A26" s="85"/>
      <c r="B26" s="37">
        <f t="shared" si="2"/>
        <v>13</v>
      </c>
      <c r="C26" s="80" t="s">
        <v>46</v>
      </c>
      <c r="D26" s="80"/>
      <c r="E26" s="81"/>
      <c r="F26" s="84" t="s">
        <v>71</v>
      </c>
      <c r="G26" s="17"/>
      <c r="H26" s="18" t="s">
        <v>62</v>
      </c>
      <c r="I26" s="59"/>
      <c r="J26" s="19">
        <v>8</v>
      </c>
      <c r="K26" s="19"/>
      <c r="L26" s="50" t="s">
        <v>47</v>
      </c>
      <c r="M26" s="73" t="s">
        <v>35</v>
      </c>
      <c r="N26" s="54">
        <f t="shared" si="1"/>
        <v>8</v>
      </c>
      <c r="O26" s="167">
        <v>0</v>
      </c>
      <c r="P26" s="203" t="s">
        <v>48</v>
      </c>
      <c r="Q26" s="204"/>
      <c r="R26" s="204"/>
      <c r="S26" s="204"/>
      <c r="T26" s="204"/>
      <c r="U26" s="205"/>
    </row>
    <row r="27" spans="1:21" ht="16.5" thickBot="1">
      <c r="A27" s="118"/>
      <c r="B27" s="119"/>
      <c r="C27" s="120"/>
      <c r="D27" s="120"/>
      <c r="E27" s="121"/>
      <c r="F27" s="129"/>
      <c r="G27" s="122"/>
      <c r="H27" s="147"/>
      <c r="I27" s="148"/>
      <c r="J27" s="125"/>
      <c r="K27" s="125"/>
      <c r="L27" s="126"/>
      <c r="M27" s="126"/>
      <c r="N27" s="127"/>
      <c r="O27" s="169"/>
      <c r="P27" s="197"/>
      <c r="Q27" s="198"/>
      <c r="R27" s="198"/>
      <c r="S27" s="198"/>
      <c r="T27" s="198"/>
      <c r="U27" s="199"/>
    </row>
  </sheetData>
  <mergeCells count="44">
    <mergeCell ref="O1:U1"/>
    <mergeCell ref="J2:K2"/>
    <mergeCell ref="L2:M2"/>
    <mergeCell ref="O2:U2"/>
    <mergeCell ref="J3:K3"/>
    <mergeCell ref="L3:M3"/>
    <mergeCell ref="O3:U3"/>
    <mergeCell ref="J4:K4"/>
    <mergeCell ref="L4:M4"/>
    <mergeCell ref="O4:U4"/>
    <mergeCell ref="J5:K5"/>
    <mergeCell ref="L5:M5"/>
    <mergeCell ref="O5:U5"/>
    <mergeCell ref="E6:H6"/>
    <mergeCell ref="K6:M6"/>
    <mergeCell ref="O6:U6"/>
    <mergeCell ref="E7:H7"/>
    <mergeCell ref="K7:M7"/>
    <mergeCell ref="O7:U7"/>
    <mergeCell ref="P15:U15"/>
    <mergeCell ref="E8:H8"/>
    <mergeCell ref="K8:M8"/>
    <mergeCell ref="O8:U8"/>
    <mergeCell ref="E9:H9"/>
    <mergeCell ref="O9:U9"/>
    <mergeCell ref="E10:H10"/>
    <mergeCell ref="O10:U10"/>
    <mergeCell ref="E11:H11"/>
    <mergeCell ref="O11:U11"/>
    <mergeCell ref="O12:U12"/>
    <mergeCell ref="P13:U13"/>
    <mergeCell ref="P14:U14"/>
    <mergeCell ref="P27:U27"/>
    <mergeCell ref="P16:U16"/>
    <mergeCell ref="P17:U17"/>
    <mergeCell ref="P18:U18"/>
    <mergeCell ref="P19:U19"/>
    <mergeCell ref="P20:U20"/>
    <mergeCell ref="P21:U21"/>
    <mergeCell ref="P22:U22"/>
    <mergeCell ref="P23:U23"/>
    <mergeCell ref="P24:U24"/>
    <mergeCell ref="P25:U25"/>
    <mergeCell ref="P26:U26"/>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4033"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44034"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44035"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44036"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44037"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44038"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387011B3-9576-4B07-A141-533E0906BD1E}">
            <xm:f>(AND(H14&lt;&gt;"",ISERROR(VLOOKUP(H14,system!$E:$E,1,FALSE))))</xm:f>
            <x14:dxf>
              <fill>
                <patternFill patternType="solid">
                  <bgColor rgb="FFFF0000"/>
                </patternFill>
              </fill>
            </x14:dxf>
          </x14:cfRule>
          <xm:sqref>H14:H19</xm:sqref>
        </x14:conditionalFormatting>
        <x14:conditionalFormatting xmlns:xm="http://schemas.microsoft.com/office/excel/2006/main">
          <x14:cfRule type="expression" priority="3" id="{B3C62539-2651-49EF-9722-58AE93FE77F2}">
            <xm:f>(AND(H14&lt;&gt;"",ISERROR(VLOOKUP(H14,system!$E:$E,1,FALSE))))</xm:f>
            <x14:dxf>
              <fill>
                <patternFill>
                  <bgColor rgb="FFFF0000"/>
                </patternFill>
              </fill>
            </x14:dxf>
          </x14:cfRule>
          <xm:sqref>I14:I19</xm:sqref>
        </x14:conditionalFormatting>
        <x14:conditionalFormatting xmlns:xm="http://schemas.microsoft.com/office/excel/2006/main">
          <x14:cfRule type="expression" priority="2" id="{16CB84DF-7166-4109-9F0F-6134D62ADD6F}">
            <xm:f>(AND(H20&lt;&gt;"",ISERROR(VLOOKUP(H20,system!$E:$E,1,FALSE))))</xm:f>
            <x14:dxf>
              <fill>
                <patternFill patternType="solid">
                  <bgColor rgb="FFFF0000"/>
                </patternFill>
              </fill>
            </x14:dxf>
          </x14:cfRule>
          <xm:sqref>H20:H27</xm:sqref>
        </x14:conditionalFormatting>
        <x14:conditionalFormatting xmlns:xm="http://schemas.microsoft.com/office/excel/2006/main">
          <x14:cfRule type="expression" priority="1" id="{F51A5065-7348-4418-8791-EE5945A7A2D2}">
            <xm:f>(AND(H20&lt;&gt;"",ISERROR(VLOOKUP(H20,system!$E:$E,1,FALSE))))</xm:f>
            <x14:dxf>
              <fill>
                <patternFill>
                  <bgColor rgb="FFFF0000"/>
                </patternFill>
              </fill>
            </x14:dxf>
          </x14:cfRule>
          <xm:sqref>I20:I27</xm:sqref>
        </x14:conditionalFormatting>
      </x14:conditionalFormatting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A1:U32"/>
  <sheetViews>
    <sheetView showGridLines="0" zoomScaleNormal="100" workbookViewId="0">
      <pane ySplit="13" topLeftCell="A14" activePane="bottomLeft" state="frozen"/>
      <selection activeCell="D13" sqref="D13"/>
      <selection pane="bottomLeft"/>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7" t="s">
        <v>27</v>
      </c>
      <c r="P1" s="248"/>
      <c r="Q1" s="248"/>
      <c r="R1" s="248"/>
      <c r="S1" s="248"/>
      <c r="T1" s="248"/>
      <c r="U1" s="249"/>
    </row>
    <row r="2" spans="1:21" ht="14.45" customHeight="1">
      <c r="A2" s="39"/>
      <c r="B2" s="100" t="s">
        <v>64</v>
      </c>
      <c r="C2" s="5"/>
      <c r="D2" s="5"/>
      <c r="E2" s="5"/>
      <c r="F2" s="5"/>
      <c r="G2" s="6"/>
      <c r="H2" s="7"/>
      <c r="I2" s="8"/>
      <c r="J2" s="250"/>
      <c r="K2" s="251"/>
      <c r="L2" s="250"/>
      <c r="M2" s="251"/>
      <c r="N2" s="52"/>
      <c r="O2" s="252" t="s">
        <v>815</v>
      </c>
      <c r="P2" s="253"/>
      <c r="Q2" s="253"/>
      <c r="R2" s="253"/>
      <c r="S2" s="253"/>
      <c r="T2" s="253"/>
      <c r="U2" s="254"/>
    </row>
    <row r="3" spans="1:21" ht="14.25" customHeight="1">
      <c r="A3" s="40"/>
      <c r="B3" s="35"/>
      <c r="C3" s="5"/>
      <c r="D3" s="5"/>
      <c r="E3" s="5"/>
      <c r="F3" s="5"/>
      <c r="G3" s="9"/>
      <c r="H3" s="10"/>
      <c r="I3" s="176" t="s">
        <v>1032</v>
      </c>
      <c r="J3" s="255" t="s">
        <v>1032</v>
      </c>
      <c r="K3" s="256"/>
      <c r="L3" s="255" t="s">
        <v>1032</v>
      </c>
      <c r="M3" s="256"/>
      <c r="N3" s="52"/>
      <c r="O3" s="257"/>
      <c r="P3" s="258"/>
      <c r="Q3" s="258"/>
      <c r="R3" s="258"/>
      <c r="S3" s="258"/>
      <c r="T3" s="258"/>
      <c r="U3" s="259"/>
    </row>
    <row r="4" spans="1:21" ht="14.45" customHeight="1">
      <c r="A4" s="41"/>
      <c r="B4" s="36" t="s">
        <v>3</v>
      </c>
      <c r="C4" s="5"/>
      <c r="D4" s="5"/>
      <c r="E4" s="5"/>
      <c r="F4" s="5"/>
      <c r="G4" s="6"/>
      <c r="H4" s="10"/>
      <c r="I4" s="177" t="s">
        <v>1035</v>
      </c>
      <c r="J4" s="240" t="s">
        <v>1034</v>
      </c>
      <c r="K4" s="241"/>
      <c r="L4" s="240" t="s">
        <v>1033</v>
      </c>
      <c r="M4" s="241"/>
      <c r="N4" s="52"/>
      <c r="O4" s="210"/>
      <c r="P4" s="211"/>
      <c r="Q4" s="211"/>
      <c r="R4" s="211"/>
      <c r="S4" s="211"/>
      <c r="T4" s="211"/>
      <c r="U4" s="212"/>
    </row>
    <row r="5" spans="1:21" ht="14.45" customHeight="1" thickBot="1">
      <c r="A5" s="42"/>
      <c r="B5" s="11"/>
      <c r="C5" s="11"/>
      <c r="D5" s="11"/>
      <c r="E5" s="11"/>
      <c r="F5" s="11"/>
      <c r="G5" s="12"/>
      <c r="H5" s="13"/>
      <c r="I5" s="14"/>
      <c r="J5" s="242"/>
      <c r="K5" s="243"/>
      <c r="L5" s="244"/>
      <c r="M5" s="245"/>
      <c r="N5" s="53"/>
      <c r="O5" s="246"/>
      <c r="P5" s="211"/>
      <c r="Q5" s="211"/>
      <c r="R5" s="211"/>
      <c r="S5" s="211"/>
      <c r="T5" s="211"/>
      <c r="U5" s="212"/>
    </row>
    <row r="6" spans="1:21" ht="14.45" customHeight="1">
      <c r="A6" s="43"/>
      <c r="B6" s="101" t="s">
        <v>4</v>
      </c>
      <c r="C6" s="20"/>
      <c r="D6" s="21"/>
      <c r="E6" s="222" t="s">
        <v>65</v>
      </c>
      <c r="F6" s="223"/>
      <c r="G6" s="223"/>
      <c r="H6" s="224"/>
      <c r="I6" s="60" t="s">
        <v>26</v>
      </c>
      <c r="J6" s="26"/>
      <c r="K6" s="225" t="s">
        <v>33</v>
      </c>
      <c r="L6" s="226"/>
      <c r="M6" s="227"/>
      <c r="N6" s="91" t="s">
        <v>5</v>
      </c>
      <c r="O6" s="210"/>
      <c r="P6" s="211"/>
      <c r="Q6" s="211"/>
      <c r="R6" s="211"/>
      <c r="S6" s="211"/>
      <c r="T6" s="211"/>
      <c r="U6" s="212"/>
    </row>
    <row r="7" spans="1:21" ht="15.75" customHeight="1">
      <c r="A7" s="44"/>
      <c r="B7" s="102" t="s">
        <v>6</v>
      </c>
      <c r="C7" s="22"/>
      <c r="D7" s="23"/>
      <c r="E7" s="228" t="s">
        <v>162</v>
      </c>
      <c r="F7" s="229"/>
      <c r="G7" s="229"/>
      <c r="H7" s="230"/>
      <c r="I7" s="61" t="s">
        <v>28</v>
      </c>
      <c r="J7" s="27"/>
      <c r="K7" s="231" t="s">
        <v>34</v>
      </c>
      <c r="L7" s="232"/>
      <c r="M7" s="233"/>
      <c r="N7" s="92">
        <f>COUNTIF(H14:H14,"LONG")+COUNTIF(H14:H14,"LONG RAW")</f>
        <v>0</v>
      </c>
      <c r="O7" s="210"/>
      <c r="P7" s="211"/>
      <c r="Q7" s="211"/>
      <c r="R7" s="211"/>
      <c r="S7" s="211"/>
      <c r="T7" s="211"/>
      <c r="U7" s="212"/>
    </row>
    <row r="8" spans="1:21" ht="14.45" customHeight="1">
      <c r="A8" s="45"/>
      <c r="B8" s="22" t="s">
        <v>7</v>
      </c>
      <c r="C8" s="22"/>
      <c r="D8" s="23"/>
      <c r="E8" s="228" t="s">
        <v>812</v>
      </c>
      <c r="F8" s="229"/>
      <c r="G8" s="229"/>
      <c r="H8" s="230"/>
      <c r="I8" s="62"/>
      <c r="J8" s="27"/>
      <c r="K8" s="234"/>
      <c r="L8" s="235"/>
      <c r="M8" s="236"/>
      <c r="N8" s="92"/>
      <c r="O8" s="210"/>
      <c r="P8" s="211"/>
      <c r="Q8" s="211"/>
      <c r="R8" s="211"/>
      <c r="S8" s="211"/>
      <c r="T8" s="211"/>
      <c r="U8" s="212"/>
    </row>
    <row r="9" spans="1:21" ht="14.45" customHeight="1">
      <c r="A9" s="45"/>
      <c r="B9" s="22" t="s">
        <v>8</v>
      </c>
      <c r="C9" s="22"/>
      <c r="D9" s="23"/>
      <c r="E9" s="237" t="s">
        <v>68</v>
      </c>
      <c r="F9" s="238"/>
      <c r="G9" s="238"/>
      <c r="H9" s="239"/>
      <c r="I9" s="61" t="s">
        <v>9</v>
      </c>
      <c r="J9" s="27"/>
      <c r="K9" s="86"/>
      <c r="L9" s="88">
        <f>SUM(N14:N33)</f>
        <v>146</v>
      </c>
      <c r="M9" s="82"/>
      <c r="N9" s="93">
        <f>SUMIF(M14:M14,"■",N14:N14)</f>
        <v>0</v>
      </c>
      <c r="O9" s="210"/>
      <c r="P9" s="211"/>
      <c r="Q9" s="211"/>
      <c r="R9" s="211"/>
      <c r="S9" s="211"/>
      <c r="T9" s="211"/>
      <c r="U9" s="212"/>
    </row>
    <row r="10" spans="1:21" ht="14.45" customHeight="1">
      <c r="A10" s="45"/>
      <c r="B10" s="22" t="s">
        <v>10</v>
      </c>
      <c r="C10" s="22"/>
      <c r="D10" s="23"/>
      <c r="E10" s="219" t="s">
        <v>68</v>
      </c>
      <c r="F10" s="220"/>
      <c r="G10" s="220"/>
      <c r="H10" s="221"/>
      <c r="I10" s="61" t="s">
        <v>11</v>
      </c>
      <c r="J10" s="27"/>
      <c r="K10" s="86"/>
      <c r="L10" s="89">
        <f>E11*L9/1000</f>
        <v>0</v>
      </c>
      <c r="M10" s="82"/>
      <c r="N10" s="55"/>
      <c r="O10" s="210"/>
      <c r="P10" s="211"/>
      <c r="Q10" s="211"/>
      <c r="R10" s="211"/>
      <c r="S10" s="211"/>
      <c r="T10" s="211"/>
      <c r="U10" s="212"/>
    </row>
    <row r="11" spans="1:21" ht="17.25" customHeight="1" thickBot="1">
      <c r="A11" s="46"/>
      <c r="B11" s="24" t="s">
        <v>29</v>
      </c>
      <c r="C11" s="24"/>
      <c r="D11" s="25"/>
      <c r="E11" s="207"/>
      <c r="F11" s="208"/>
      <c r="G11" s="208"/>
      <c r="H11" s="209"/>
      <c r="I11" s="103" t="s">
        <v>12</v>
      </c>
      <c r="J11" s="104"/>
      <c r="K11" s="87"/>
      <c r="L11" s="90"/>
      <c r="M11" s="83"/>
      <c r="N11" s="56"/>
      <c r="O11" s="210"/>
      <c r="P11" s="211"/>
      <c r="Q11" s="211"/>
      <c r="R11" s="211"/>
      <c r="S11" s="211"/>
      <c r="T11" s="211"/>
      <c r="U11" s="212"/>
    </row>
    <row r="12" spans="1:21" ht="15.75" customHeight="1" thickBot="1">
      <c r="A12" s="64"/>
      <c r="B12" s="65"/>
      <c r="C12" s="30"/>
      <c r="D12" s="30"/>
      <c r="E12" s="31"/>
      <c r="F12" s="32"/>
      <c r="G12" s="29"/>
      <c r="H12" s="28"/>
      <c r="I12" s="29"/>
      <c r="J12" s="30" t="s">
        <v>13</v>
      </c>
      <c r="K12" s="31"/>
      <c r="L12" s="66"/>
      <c r="M12" s="48"/>
      <c r="N12" s="57">
        <f>COUNTA(H14:H14)</f>
        <v>1</v>
      </c>
      <c r="O12" s="213"/>
      <c r="P12" s="214"/>
      <c r="Q12" s="214"/>
      <c r="R12" s="214"/>
      <c r="S12" s="214"/>
      <c r="T12" s="214"/>
      <c r="U12" s="21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16" t="s">
        <v>32</v>
      </c>
      <c r="Q13" s="217"/>
      <c r="R13" s="217"/>
      <c r="S13" s="217"/>
      <c r="T13" s="217"/>
      <c r="U13" s="218"/>
    </row>
    <row r="14" spans="1:21" ht="15.75" customHeight="1">
      <c r="A14" s="85" t="s">
        <v>188</v>
      </c>
      <c r="B14" s="37">
        <f t="shared" ref="B14:B24" si="0">ROW()-13</f>
        <v>1</v>
      </c>
      <c r="C14" s="145" t="s">
        <v>186</v>
      </c>
      <c r="D14" s="80"/>
      <c r="E14" s="81"/>
      <c r="F14" s="146" t="s">
        <v>1029</v>
      </c>
      <c r="G14" s="17"/>
      <c r="H14" s="18" t="s">
        <v>49</v>
      </c>
      <c r="I14" s="59"/>
      <c r="J14" s="19">
        <v>1</v>
      </c>
      <c r="K14" s="19"/>
      <c r="L14" s="50" t="s">
        <v>187</v>
      </c>
      <c r="M14" s="73" t="s">
        <v>21</v>
      </c>
      <c r="N14" s="54">
        <f t="shared" ref="N14:N31" si="1">IF(H14="NUMBER",IF(J14&gt;0,INT((J14+1)/2+0.9),0),IF(H14="DATE",7,IF(OR(H14="LONG",H14="LONG RAW"),100000,J14)))</f>
        <v>1</v>
      </c>
      <c r="O14" s="167"/>
      <c r="P14" s="203" t="s">
        <v>174</v>
      </c>
      <c r="Q14" s="204"/>
      <c r="R14" s="204"/>
      <c r="S14" s="204"/>
      <c r="T14" s="204"/>
      <c r="U14" s="205"/>
    </row>
    <row r="15" spans="1:21" ht="15.75" customHeight="1">
      <c r="A15" s="85" t="s">
        <v>188</v>
      </c>
      <c r="B15" s="37">
        <f t="shared" si="0"/>
        <v>2</v>
      </c>
      <c r="C15" s="145" t="s">
        <v>210</v>
      </c>
      <c r="D15" s="80"/>
      <c r="E15" s="81"/>
      <c r="F15" s="146" t="s">
        <v>211</v>
      </c>
      <c r="G15" s="17"/>
      <c r="H15" s="18" t="s">
        <v>49</v>
      </c>
      <c r="I15" s="59"/>
      <c r="J15" s="19">
        <v>4</v>
      </c>
      <c r="K15" s="19"/>
      <c r="L15" s="50" t="s">
        <v>187</v>
      </c>
      <c r="M15" s="73" t="s">
        <v>21</v>
      </c>
      <c r="N15" s="54">
        <f t="shared" si="1"/>
        <v>4</v>
      </c>
      <c r="O15" s="167"/>
      <c r="P15" s="203"/>
      <c r="Q15" s="204"/>
      <c r="R15" s="204"/>
      <c r="S15" s="204"/>
      <c r="T15" s="204"/>
      <c r="U15" s="205"/>
    </row>
    <row r="16" spans="1:21" ht="15.75" customHeight="1">
      <c r="A16" s="85"/>
      <c r="B16" s="37">
        <f t="shared" si="0"/>
        <v>3</v>
      </c>
      <c r="C16" s="145" t="s">
        <v>816</v>
      </c>
      <c r="D16" s="80"/>
      <c r="E16" s="81"/>
      <c r="F16" s="146" t="s">
        <v>817</v>
      </c>
      <c r="G16" s="17"/>
      <c r="H16" s="18" t="s">
        <v>51</v>
      </c>
      <c r="I16" s="59"/>
      <c r="J16" s="19">
        <v>20</v>
      </c>
      <c r="K16" s="19"/>
      <c r="L16" s="50" t="s">
        <v>187</v>
      </c>
      <c r="M16" s="73" t="s">
        <v>21</v>
      </c>
      <c r="N16" s="54">
        <f t="shared" si="1"/>
        <v>20</v>
      </c>
      <c r="O16" s="167"/>
      <c r="P16" s="203"/>
      <c r="Q16" s="204"/>
      <c r="R16" s="204"/>
      <c r="S16" s="204"/>
      <c r="T16" s="204"/>
      <c r="U16" s="205"/>
    </row>
    <row r="17" spans="1:21" ht="15.75" customHeight="1">
      <c r="A17" s="85"/>
      <c r="B17" s="37">
        <f t="shared" si="0"/>
        <v>4</v>
      </c>
      <c r="C17" s="145" t="s">
        <v>818</v>
      </c>
      <c r="D17" s="80"/>
      <c r="E17" s="81"/>
      <c r="F17" s="146" t="s">
        <v>819</v>
      </c>
      <c r="G17" s="17"/>
      <c r="H17" s="18" t="s">
        <v>49</v>
      </c>
      <c r="I17" s="59"/>
      <c r="J17" s="19">
        <v>1</v>
      </c>
      <c r="K17" s="19"/>
      <c r="L17" s="50" t="s">
        <v>187</v>
      </c>
      <c r="M17" s="73" t="s">
        <v>21</v>
      </c>
      <c r="N17" s="54">
        <f t="shared" si="1"/>
        <v>1</v>
      </c>
      <c r="O17" s="167"/>
      <c r="P17" s="203"/>
      <c r="Q17" s="204"/>
      <c r="R17" s="204"/>
      <c r="S17" s="204"/>
      <c r="T17" s="204"/>
      <c r="U17" s="205"/>
    </row>
    <row r="18" spans="1:21" ht="15.75" customHeight="1">
      <c r="A18" s="85"/>
      <c r="B18" s="37">
        <f t="shared" si="0"/>
        <v>5</v>
      </c>
      <c r="C18" s="145" t="s">
        <v>191</v>
      </c>
      <c r="D18" s="80"/>
      <c r="E18" s="81"/>
      <c r="F18" s="146" t="s">
        <v>192</v>
      </c>
      <c r="G18" s="17"/>
      <c r="H18" s="18" t="s">
        <v>49</v>
      </c>
      <c r="I18" s="59"/>
      <c r="J18" s="19">
        <v>2</v>
      </c>
      <c r="K18" s="19"/>
      <c r="L18" s="50"/>
      <c r="M18" s="73" t="s">
        <v>21</v>
      </c>
      <c r="N18" s="54">
        <f t="shared" si="1"/>
        <v>2</v>
      </c>
      <c r="O18" s="167"/>
      <c r="P18" s="203" t="s">
        <v>165</v>
      </c>
      <c r="Q18" s="204"/>
      <c r="R18" s="204"/>
      <c r="S18" s="204"/>
      <c r="T18" s="204"/>
      <c r="U18" s="205"/>
    </row>
    <row r="19" spans="1:21" ht="15.75" customHeight="1">
      <c r="A19" s="85"/>
      <c r="B19" s="37">
        <f t="shared" si="0"/>
        <v>6</v>
      </c>
      <c r="C19" s="145" t="s">
        <v>377</v>
      </c>
      <c r="D19" s="80"/>
      <c r="E19" s="81"/>
      <c r="F19" s="146" t="s">
        <v>378</v>
      </c>
      <c r="G19" s="17"/>
      <c r="H19" s="18" t="s">
        <v>51</v>
      </c>
      <c r="I19" s="59"/>
      <c r="J19" s="19">
        <v>10</v>
      </c>
      <c r="K19" s="19"/>
      <c r="L19" s="50" t="s">
        <v>187</v>
      </c>
      <c r="M19" s="73" t="s">
        <v>21</v>
      </c>
      <c r="N19" s="54">
        <f t="shared" si="1"/>
        <v>10</v>
      </c>
      <c r="O19" s="167"/>
      <c r="P19" s="203" t="s">
        <v>165</v>
      </c>
      <c r="Q19" s="204"/>
      <c r="R19" s="204"/>
      <c r="S19" s="204"/>
      <c r="T19" s="204"/>
      <c r="U19" s="205"/>
    </row>
    <row r="20" spans="1:21" ht="15.75" customHeight="1">
      <c r="A20" s="85"/>
      <c r="B20" s="37">
        <f t="shared" si="0"/>
        <v>7</v>
      </c>
      <c r="C20" s="145" t="s">
        <v>820</v>
      </c>
      <c r="D20" s="80"/>
      <c r="E20" s="81"/>
      <c r="F20" s="146" t="s">
        <v>821</v>
      </c>
      <c r="G20" s="17"/>
      <c r="H20" s="18" t="s">
        <v>51</v>
      </c>
      <c r="I20" s="59"/>
      <c r="J20" s="19">
        <v>4</v>
      </c>
      <c r="K20" s="19"/>
      <c r="L20" s="50"/>
      <c r="M20" s="73" t="s">
        <v>21</v>
      </c>
      <c r="N20" s="54">
        <f t="shared" si="1"/>
        <v>4</v>
      </c>
      <c r="O20" s="167"/>
      <c r="P20" s="203" t="s">
        <v>200</v>
      </c>
      <c r="Q20" s="204"/>
      <c r="R20" s="204"/>
      <c r="S20" s="204"/>
      <c r="T20" s="204"/>
      <c r="U20" s="205"/>
    </row>
    <row r="21" spans="1:21" ht="15.75" customHeight="1">
      <c r="A21" s="85"/>
      <c r="B21" s="37">
        <f t="shared" si="0"/>
        <v>8</v>
      </c>
      <c r="C21" s="145" t="s">
        <v>807</v>
      </c>
      <c r="D21" s="80"/>
      <c r="E21" s="81"/>
      <c r="F21" s="146" t="s">
        <v>808</v>
      </c>
      <c r="G21" s="17"/>
      <c r="H21" s="18" t="s">
        <v>209</v>
      </c>
      <c r="I21" s="59"/>
      <c r="J21" s="19"/>
      <c r="K21" s="19"/>
      <c r="L21" s="50"/>
      <c r="M21" s="73" t="s">
        <v>21</v>
      </c>
      <c r="N21" s="54">
        <f t="shared" si="1"/>
        <v>0</v>
      </c>
      <c r="O21" s="167"/>
      <c r="P21" s="203"/>
      <c r="Q21" s="204"/>
      <c r="R21" s="204"/>
      <c r="S21" s="204"/>
      <c r="T21" s="204"/>
      <c r="U21" s="205"/>
    </row>
    <row r="22" spans="1:21" ht="27.6" customHeight="1">
      <c r="A22" s="85"/>
      <c r="B22" s="37">
        <f t="shared" si="0"/>
        <v>9</v>
      </c>
      <c r="C22" s="145" t="s">
        <v>822</v>
      </c>
      <c r="D22" s="80"/>
      <c r="E22" s="81"/>
      <c r="F22" s="146" t="s">
        <v>823</v>
      </c>
      <c r="G22" s="17"/>
      <c r="H22" s="18" t="s">
        <v>49</v>
      </c>
      <c r="I22" s="59"/>
      <c r="J22" s="19">
        <v>1</v>
      </c>
      <c r="K22" s="19"/>
      <c r="L22" s="50"/>
      <c r="M22" s="73" t="s">
        <v>21</v>
      </c>
      <c r="N22" s="54">
        <f t="shared" si="1"/>
        <v>1</v>
      </c>
      <c r="O22" s="167"/>
      <c r="P22" s="206" t="s">
        <v>824</v>
      </c>
      <c r="Q22" s="204"/>
      <c r="R22" s="204"/>
      <c r="S22" s="204"/>
      <c r="T22" s="204"/>
      <c r="U22" s="205"/>
    </row>
    <row r="23" spans="1:21" ht="27.6" customHeight="1">
      <c r="A23" s="85"/>
      <c r="B23" s="37">
        <f t="shared" si="0"/>
        <v>10</v>
      </c>
      <c r="C23" s="145" t="s">
        <v>225</v>
      </c>
      <c r="D23" s="80"/>
      <c r="E23" s="81"/>
      <c r="F23" s="146" t="s">
        <v>226</v>
      </c>
      <c r="G23" s="17"/>
      <c r="H23" s="18" t="s">
        <v>49</v>
      </c>
      <c r="I23" s="59"/>
      <c r="J23" s="19">
        <v>1</v>
      </c>
      <c r="K23" s="19"/>
      <c r="L23" s="50"/>
      <c r="M23" s="73" t="s">
        <v>21</v>
      </c>
      <c r="N23" s="54">
        <f t="shared" si="1"/>
        <v>1</v>
      </c>
      <c r="O23" s="167"/>
      <c r="P23" s="206" t="s">
        <v>227</v>
      </c>
      <c r="Q23" s="204"/>
      <c r="R23" s="204"/>
      <c r="S23" s="204"/>
      <c r="T23" s="204"/>
      <c r="U23" s="205"/>
    </row>
    <row r="24" spans="1:21" ht="15.75" customHeight="1">
      <c r="A24" s="85"/>
      <c r="B24" s="37">
        <f t="shared" si="0"/>
        <v>11</v>
      </c>
      <c r="C24" s="145" t="s">
        <v>293</v>
      </c>
      <c r="D24" s="80"/>
      <c r="E24" s="81"/>
      <c r="F24" s="146" t="s">
        <v>294</v>
      </c>
      <c r="G24" s="17"/>
      <c r="H24" s="18" t="s">
        <v>51</v>
      </c>
      <c r="I24" s="59"/>
      <c r="J24" s="19">
        <v>50</v>
      </c>
      <c r="K24" s="19"/>
      <c r="L24" s="50"/>
      <c r="M24" s="73" t="s">
        <v>21</v>
      </c>
      <c r="N24" s="54">
        <f t="shared" si="1"/>
        <v>50</v>
      </c>
      <c r="O24" s="167"/>
      <c r="P24" s="203"/>
      <c r="Q24" s="204"/>
      <c r="R24" s="204"/>
      <c r="S24" s="204"/>
      <c r="T24" s="204"/>
      <c r="U24" s="205"/>
    </row>
    <row r="25" spans="1:21" ht="15.75">
      <c r="A25" s="85"/>
      <c r="B25" s="37">
        <f t="shared" ref="B25:B31" si="2">ROW()-13</f>
        <v>12</v>
      </c>
      <c r="C25" s="107" t="s">
        <v>36</v>
      </c>
      <c r="D25" s="107"/>
      <c r="E25" s="108"/>
      <c r="F25" s="109" t="s">
        <v>78</v>
      </c>
      <c r="G25" s="110"/>
      <c r="H25" s="18" t="s">
        <v>51</v>
      </c>
      <c r="I25" s="59"/>
      <c r="J25" s="113">
        <v>12</v>
      </c>
      <c r="K25" s="113"/>
      <c r="L25" s="114"/>
      <c r="M25" s="115" t="s">
        <v>35</v>
      </c>
      <c r="N25" s="116">
        <f t="shared" si="1"/>
        <v>12</v>
      </c>
      <c r="O25" s="168"/>
      <c r="P25" s="200"/>
      <c r="Q25" s="201"/>
      <c r="R25" s="201"/>
      <c r="S25" s="201"/>
      <c r="T25" s="201"/>
      <c r="U25" s="202"/>
    </row>
    <row r="26" spans="1:21" ht="15.75">
      <c r="A26" s="85"/>
      <c r="B26" s="37">
        <f t="shared" si="2"/>
        <v>13</v>
      </c>
      <c r="C26" s="107" t="s">
        <v>37</v>
      </c>
      <c r="D26" s="107"/>
      <c r="E26" s="108"/>
      <c r="F26" s="109" t="s">
        <v>43</v>
      </c>
      <c r="G26" s="110"/>
      <c r="H26" s="18" t="s">
        <v>51</v>
      </c>
      <c r="I26" s="59"/>
      <c r="J26" s="113">
        <v>10</v>
      </c>
      <c r="K26" s="113"/>
      <c r="L26" s="114"/>
      <c r="M26" s="115" t="s">
        <v>21</v>
      </c>
      <c r="N26" s="116">
        <f t="shared" si="1"/>
        <v>10</v>
      </c>
      <c r="O26" s="168"/>
      <c r="P26" s="200"/>
      <c r="Q26" s="201"/>
      <c r="R26" s="201"/>
      <c r="S26" s="201"/>
      <c r="T26" s="201"/>
      <c r="U26" s="202"/>
    </row>
    <row r="27" spans="1:21" ht="15.75">
      <c r="A27" s="85"/>
      <c r="B27" s="37">
        <f t="shared" si="2"/>
        <v>14</v>
      </c>
      <c r="C27" s="107" t="s">
        <v>38</v>
      </c>
      <c r="D27" s="107"/>
      <c r="E27" s="108"/>
      <c r="F27" s="109" t="s">
        <v>80</v>
      </c>
      <c r="G27" s="110"/>
      <c r="H27" s="18" t="s">
        <v>86</v>
      </c>
      <c r="I27" s="59"/>
      <c r="J27" s="113"/>
      <c r="K27" s="113"/>
      <c r="L27" s="114"/>
      <c r="M27" s="115" t="s">
        <v>21</v>
      </c>
      <c r="N27" s="116">
        <f t="shared" si="1"/>
        <v>0</v>
      </c>
      <c r="O27" s="168"/>
      <c r="P27" s="200"/>
      <c r="Q27" s="201"/>
      <c r="R27" s="201"/>
      <c r="S27" s="201"/>
      <c r="T27" s="201"/>
      <c r="U27" s="202"/>
    </row>
    <row r="28" spans="1:21" ht="15.75">
      <c r="A28" s="85"/>
      <c r="B28" s="37">
        <f t="shared" si="2"/>
        <v>15</v>
      </c>
      <c r="C28" s="107" t="s">
        <v>39</v>
      </c>
      <c r="D28" s="107"/>
      <c r="E28" s="108"/>
      <c r="F28" s="109" t="s">
        <v>79</v>
      </c>
      <c r="G28" s="110"/>
      <c r="H28" s="18" t="s">
        <v>51</v>
      </c>
      <c r="I28" s="59"/>
      <c r="J28" s="113">
        <v>12</v>
      </c>
      <c r="K28" s="113"/>
      <c r="L28" s="114"/>
      <c r="M28" s="115" t="s">
        <v>35</v>
      </c>
      <c r="N28" s="116">
        <f t="shared" si="1"/>
        <v>12</v>
      </c>
      <c r="O28" s="168"/>
      <c r="P28" s="200"/>
      <c r="Q28" s="201"/>
      <c r="R28" s="201"/>
      <c r="S28" s="201"/>
      <c r="T28" s="201"/>
      <c r="U28" s="202"/>
    </row>
    <row r="29" spans="1:21" ht="15.75">
      <c r="A29" s="85"/>
      <c r="B29" s="37">
        <f t="shared" si="2"/>
        <v>16</v>
      </c>
      <c r="C29" s="107" t="s">
        <v>40</v>
      </c>
      <c r="D29" s="107"/>
      <c r="E29" s="108"/>
      <c r="F29" s="109" t="s">
        <v>44</v>
      </c>
      <c r="G29" s="110"/>
      <c r="H29" s="18" t="s">
        <v>51</v>
      </c>
      <c r="I29" s="59"/>
      <c r="J29" s="113">
        <v>10</v>
      </c>
      <c r="K29" s="113"/>
      <c r="L29" s="114"/>
      <c r="M29" s="115" t="s">
        <v>21</v>
      </c>
      <c r="N29" s="116">
        <f t="shared" si="1"/>
        <v>10</v>
      </c>
      <c r="O29" s="168"/>
      <c r="P29" s="200"/>
      <c r="Q29" s="201"/>
      <c r="R29" s="201"/>
      <c r="S29" s="201"/>
      <c r="T29" s="201"/>
      <c r="U29" s="202"/>
    </row>
    <row r="30" spans="1:21" ht="15.75">
      <c r="A30" s="85"/>
      <c r="B30" s="37">
        <f t="shared" si="2"/>
        <v>17</v>
      </c>
      <c r="C30" s="107" t="s">
        <v>41</v>
      </c>
      <c r="D30" s="107"/>
      <c r="E30" s="108"/>
      <c r="F30" s="109" t="s">
        <v>81</v>
      </c>
      <c r="G30" s="110"/>
      <c r="H30" s="18" t="s">
        <v>86</v>
      </c>
      <c r="I30" s="59"/>
      <c r="J30" s="113"/>
      <c r="K30" s="113"/>
      <c r="L30" s="114"/>
      <c r="M30" s="115" t="s">
        <v>21</v>
      </c>
      <c r="N30" s="116">
        <f t="shared" si="1"/>
        <v>0</v>
      </c>
      <c r="O30" s="168"/>
      <c r="P30" s="200"/>
      <c r="Q30" s="201"/>
      <c r="R30" s="201"/>
      <c r="S30" s="201"/>
      <c r="T30" s="201"/>
      <c r="U30" s="202"/>
    </row>
    <row r="31" spans="1:21" ht="15.75">
      <c r="A31" s="85"/>
      <c r="B31" s="37">
        <f t="shared" si="2"/>
        <v>18</v>
      </c>
      <c r="C31" s="80" t="s">
        <v>46</v>
      </c>
      <c r="D31" s="80"/>
      <c r="E31" s="81"/>
      <c r="F31" s="84" t="s">
        <v>71</v>
      </c>
      <c r="G31" s="17"/>
      <c r="H31" s="18" t="s">
        <v>62</v>
      </c>
      <c r="I31" s="59"/>
      <c r="J31" s="19">
        <v>8</v>
      </c>
      <c r="K31" s="19"/>
      <c r="L31" s="50" t="s">
        <v>47</v>
      </c>
      <c r="M31" s="73" t="s">
        <v>35</v>
      </c>
      <c r="N31" s="54">
        <f t="shared" si="1"/>
        <v>8</v>
      </c>
      <c r="O31" s="167">
        <v>0</v>
      </c>
      <c r="P31" s="203" t="s">
        <v>48</v>
      </c>
      <c r="Q31" s="204"/>
      <c r="R31" s="204"/>
      <c r="S31" s="204"/>
      <c r="T31" s="204"/>
      <c r="U31" s="205"/>
    </row>
    <row r="32" spans="1:21" ht="16.5" thickBot="1">
      <c r="A32" s="118"/>
      <c r="B32" s="119"/>
      <c r="C32" s="120"/>
      <c r="D32" s="120"/>
      <c r="E32" s="121"/>
      <c r="F32" s="129"/>
      <c r="G32" s="122"/>
      <c r="H32" s="147"/>
      <c r="I32" s="148"/>
      <c r="J32" s="125"/>
      <c r="K32" s="125"/>
      <c r="L32" s="126"/>
      <c r="M32" s="126"/>
      <c r="N32" s="127"/>
      <c r="O32" s="169"/>
      <c r="P32" s="197"/>
      <c r="Q32" s="198"/>
      <c r="R32" s="198"/>
      <c r="S32" s="198"/>
      <c r="T32" s="198"/>
      <c r="U32" s="199"/>
    </row>
  </sheetData>
  <mergeCells count="49">
    <mergeCell ref="O1:U1"/>
    <mergeCell ref="J2:K2"/>
    <mergeCell ref="L2:M2"/>
    <mergeCell ref="O2:U2"/>
    <mergeCell ref="J3:K3"/>
    <mergeCell ref="L3:M3"/>
    <mergeCell ref="O3:U3"/>
    <mergeCell ref="J4:K4"/>
    <mergeCell ref="L4:M4"/>
    <mergeCell ref="O4:U4"/>
    <mergeCell ref="J5:K5"/>
    <mergeCell ref="L5:M5"/>
    <mergeCell ref="O5:U5"/>
    <mergeCell ref="E6:H6"/>
    <mergeCell ref="K6:M6"/>
    <mergeCell ref="O6:U6"/>
    <mergeCell ref="E7:H7"/>
    <mergeCell ref="K7:M7"/>
    <mergeCell ref="O7:U7"/>
    <mergeCell ref="P15:U15"/>
    <mergeCell ref="E8:H8"/>
    <mergeCell ref="K8:M8"/>
    <mergeCell ref="O8:U8"/>
    <mergeCell ref="E9:H9"/>
    <mergeCell ref="O9:U9"/>
    <mergeCell ref="E10:H10"/>
    <mergeCell ref="O10:U10"/>
    <mergeCell ref="E11:H11"/>
    <mergeCell ref="O11:U11"/>
    <mergeCell ref="O12:U12"/>
    <mergeCell ref="P13:U13"/>
    <mergeCell ref="P14:U14"/>
    <mergeCell ref="P27:U27"/>
    <mergeCell ref="P16:U16"/>
    <mergeCell ref="P17:U17"/>
    <mergeCell ref="P18:U18"/>
    <mergeCell ref="P19:U19"/>
    <mergeCell ref="P20:U20"/>
    <mergeCell ref="P21:U21"/>
    <mergeCell ref="P22:U22"/>
    <mergeCell ref="P23:U23"/>
    <mergeCell ref="P24:U24"/>
    <mergeCell ref="P25:U25"/>
    <mergeCell ref="P26:U26"/>
    <mergeCell ref="P28:U28"/>
    <mergeCell ref="P29:U29"/>
    <mergeCell ref="P30:U30"/>
    <mergeCell ref="P31:U31"/>
    <mergeCell ref="P32:U32"/>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5057"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45058"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45059"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45060"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45061"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45062"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D7F7FCE5-65CC-4526-91D7-EF2678136AE8}">
            <xm:f>(AND(H14&lt;&gt;"",ISERROR(VLOOKUP(H14,system!$E:$E,1,FALSE))))</xm:f>
            <x14:dxf>
              <fill>
                <patternFill patternType="solid">
                  <bgColor rgb="FFFF0000"/>
                </patternFill>
              </fill>
            </x14:dxf>
          </x14:cfRule>
          <xm:sqref>H14:H24</xm:sqref>
        </x14:conditionalFormatting>
        <x14:conditionalFormatting xmlns:xm="http://schemas.microsoft.com/office/excel/2006/main">
          <x14:cfRule type="expression" priority="3" id="{ACFADB9D-4A0B-412D-BE80-9F1B6E6C0C40}">
            <xm:f>(AND(H14&lt;&gt;"",ISERROR(VLOOKUP(H14,system!$E:$E,1,FALSE))))</xm:f>
            <x14:dxf>
              <fill>
                <patternFill>
                  <bgColor rgb="FFFF0000"/>
                </patternFill>
              </fill>
            </x14:dxf>
          </x14:cfRule>
          <xm:sqref>I14:I24</xm:sqref>
        </x14:conditionalFormatting>
        <x14:conditionalFormatting xmlns:xm="http://schemas.microsoft.com/office/excel/2006/main">
          <x14:cfRule type="expression" priority="2" id="{EA696DBA-730E-4DD6-B9BA-8CE6E9160401}">
            <xm:f>(AND(H25&lt;&gt;"",ISERROR(VLOOKUP(H25,system!$E:$E,1,FALSE))))</xm:f>
            <x14:dxf>
              <fill>
                <patternFill patternType="solid">
                  <bgColor rgb="FFFF0000"/>
                </patternFill>
              </fill>
            </x14:dxf>
          </x14:cfRule>
          <xm:sqref>H25:H32</xm:sqref>
        </x14:conditionalFormatting>
        <x14:conditionalFormatting xmlns:xm="http://schemas.microsoft.com/office/excel/2006/main">
          <x14:cfRule type="expression" priority="1" id="{30877842-2A53-4AAA-8D2F-D7F12EFB8CCE}">
            <xm:f>(AND(H25&lt;&gt;"",ISERROR(VLOOKUP(H25,system!$E:$E,1,FALSE))))</xm:f>
            <x14:dxf>
              <fill>
                <patternFill>
                  <bgColor rgb="FFFF0000"/>
                </patternFill>
              </fill>
            </x14:dxf>
          </x14:cfRule>
          <xm:sqref>I25:I32</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A1:U26"/>
  <sheetViews>
    <sheetView showGridLines="0" zoomScaleNormal="100" workbookViewId="0">
      <pane ySplit="13" topLeftCell="A14" activePane="bottomLeft" state="frozen"/>
      <selection activeCell="D13" sqref="D13"/>
      <selection pane="bottomLeft" activeCell="H14" sqref="H14:I14"/>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7" t="s">
        <v>27</v>
      </c>
      <c r="P1" s="248"/>
      <c r="Q1" s="248"/>
      <c r="R1" s="248"/>
      <c r="S1" s="248"/>
      <c r="T1" s="248"/>
      <c r="U1" s="249"/>
    </row>
    <row r="2" spans="1:21" ht="14.45" customHeight="1">
      <c r="A2" s="39"/>
      <c r="B2" s="100" t="s">
        <v>64</v>
      </c>
      <c r="C2" s="5"/>
      <c r="D2" s="5"/>
      <c r="E2" s="5"/>
      <c r="F2" s="5"/>
      <c r="G2" s="6"/>
      <c r="H2" s="7"/>
      <c r="I2" s="8"/>
      <c r="J2" s="250"/>
      <c r="K2" s="251"/>
      <c r="L2" s="250"/>
      <c r="M2" s="251"/>
      <c r="N2" s="52"/>
      <c r="O2" s="252" t="s">
        <v>828</v>
      </c>
      <c r="P2" s="253"/>
      <c r="Q2" s="253"/>
      <c r="R2" s="253"/>
      <c r="S2" s="253"/>
      <c r="T2" s="253"/>
      <c r="U2" s="254"/>
    </row>
    <row r="3" spans="1:21" ht="14.25" customHeight="1">
      <c r="A3" s="40"/>
      <c r="B3" s="35"/>
      <c r="C3" s="5"/>
      <c r="D3" s="5"/>
      <c r="E3" s="5"/>
      <c r="F3" s="5"/>
      <c r="G3" s="9"/>
      <c r="H3" s="10"/>
      <c r="I3" s="176" t="s">
        <v>1032</v>
      </c>
      <c r="J3" s="255" t="s">
        <v>1032</v>
      </c>
      <c r="K3" s="256"/>
      <c r="L3" s="255" t="s">
        <v>1032</v>
      </c>
      <c r="M3" s="256"/>
      <c r="N3" s="52"/>
      <c r="O3" s="257"/>
      <c r="P3" s="258"/>
      <c r="Q3" s="258"/>
      <c r="R3" s="258"/>
      <c r="S3" s="258"/>
      <c r="T3" s="258"/>
      <c r="U3" s="259"/>
    </row>
    <row r="4" spans="1:21" ht="14.45" customHeight="1">
      <c r="A4" s="41"/>
      <c r="B4" s="36" t="s">
        <v>3</v>
      </c>
      <c r="C4" s="5"/>
      <c r="D4" s="5"/>
      <c r="E4" s="5"/>
      <c r="F4" s="5"/>
      <c r="G4" s="6"/>
      <c r="H4" s="10"/>
      <c r="I4" s="177" t="s">
        <v>1035</v>
      </c>
      <c r="J4" s="240" t="s">
        <v>1034</v>
      </c>
      <c r="K4" s="241"/>
      <c r="L4" s="240" t="s">
        <v>1033</v>
      </c>
      <c r="M4" s="241"/>
      <c r="N4" s="52"/>
      <c r="O4" s="210"/>
      <c r="P4" s="211"/>
      <c r="Q4" s="211"/>
      <c r="R4" s="211"/>
      <c r="S4" s="211"/>
      <c r="T4" s="211"/>
      <c r="U4" s="212"/>
    </row>
    <row r="5" spans="1:21" ht="14.45" customHeight="1" thickBot="1">
      <c r="A5" s="42"/>
      <c r="B5" s="11"/>
      <c r="C5" s="11"/>
      <c r="D5" s="11"/>
      <c r="E5" s="11"/>
      <c r="F5" s="11"/>
      <c r="G5" s="12"/>
      <c r="H5" s="13"/>
      <c r="I5" s="14"/>
      <c r="J5" s="242"/>
      <c r="K5" s="243"/>
      <c r="L5" s="244"/>
      <c r="M5" s="245"/>
      <c r="N5" s="53"/>
      <c r="O5" s="246"/>
      <c r="P5" s="211"/>
      <c r="Q5" s="211"/>
      <c r="R5" s="211"/>
      <c r="S5" s="211"/>
      <c r="T5" s="211"/>
      <c r="U5" s="212"/>
    </row>
    <row r="6" spans="1:21" ht="14.45" customHeight="1">
      <c r="A6" s="43"/>
      <c r="B6" s="101" t="s">
        <v>4</v>
      </c>
      <c r="C6" s="20"/>
      <c r="D6" s="21"/>
      <c r="E6" s="222" t="s">
        <v>65</v>
      </c>
      <c r="F6" s="223"/>
      <c r="G6" s="223"/>
      <c r="H6" s="224"/>
      <c r="I6" s="60" t="s">
        <v>26</v>
      </c>
      <c r="J6" s="26"/>
      <c r="K6" s="225" t="s">
        <v>33</v>
      </c>
      <c r="L6" s="226"/>
      <c r="M6" s="227"/>
      <c r="N6" s="91" t="s">
        <v>5</v>
      </c>
      <c r="O6" s="210"/>
      <c r="P6" s="211"/>
      <c r="Q6" s="211"/>
      <c r="R6" s="211"/>
      <c r="S6" s="211"/>
      <c r="T6" s="211"/>
      <c r="U6" s="212"/>
    </row>
    <row r="7" spans="1:21" ht="15.75" customHeight="1">
      <c r="A7" s="44"/>
      <c r="B7" s="102" t="s">
        <v>6</v>
      </c>
      <c r="C7" s="22"/>
      <c r="D7" s="23"/>
      <c r="E7" s="228" t="s">
        <v>163</v>
      </c>
      <c r="F7" s="229"/>
      <c r="G7" s="229"/>
      <c r="H7" s="230"/>
      <c r="I7" s="61" t="s">
        <v>28</v>
      </c>
      <c r="J7" s="27"/>
      <c r="K7" s="231" t="s">
        <v>34</v>
      </c>
      <c r="L7" s="232"/>
      <c r="M7" s="233"/>
      <c r="N7" s="92">
        <f>COUNTIF(H14:H14,"LONG")+COUNTIF(H14:H14,"LONG RAW")</f>
        <v>0</v>
      </c>
      <c r="O7" s="210"/>
      <c r="P7" s="211"/>
      <c r="Q7" s="211"/>
      <c r="R7" s="211"/>
      <c r="S7" s="211"/>
      <c r="T7" s="211"/>
      <c r="U7" s="212"/>
    </row>
    <row r="8" spans="1:21" ht="14.45" customHeight="1">
      <c r="A8" s="45"/>
      <c r="B8" s="22" t="s">
        <v>7</v>
      </c>
      <c r="C8" s="22"/>
      <c r="D8" s="23"/>
      <c r="E8" s="228" t="s">
        <v>825</v>
      </c>
      <c r="F8" s="229"/>
      <c r="G8" s="229"/>
      <c r="H8" s="230"/>
      <c r="I8" s="62"/>
      <c r="J8" s="27"/>
      <c r="K8" s="234"/>
      <c r="L8" s="235"/>
      <c r="M8" s="236"/>
      <c r="N8" s="92"/>
      <c r="O8" s="210"/>
      <c r="P8" s="211"/>
      <c r="Q8" s="211"/>
      <c r="R8" s="211"/>
      <c r="S8" s="211"/>
      <c r="T8" s="211"/>
      <c r="U8" s="212"/>
    </row>
    <row r="9" spans="1:21" ht="14.45" customHeight="1">
      <c r="A9" s="45"/>
      <c r="B9" s="22" t="s">
        <v>8</v>
      </c>
      <c r="C9" s="22"/>
      <c r="D9" s="23"/>
      <c r="E9" s="237" t="s">
        <v>68</v>
      </c>
      <c r="F9" s="238"/>
      <c r="G9" s="238"/>
      <c r="H9" s="239"/>
      <c r="I9" s="61" t="s">
        <v>9</v>
      </c>
      <c r="J9" s="27"/>
      <c r="K9" s="86"/>
      <c r="L9" s="88">
        <f>SUM(N14:N27)</f>
        <v>126</v>
      </c>
      <c r="M9" s="82"/>
      <c r="N9" s="93">
        <f>SUMIF(M14:M14,"■",N14:N14)</f>
        <v>0</v>
      </c>
      <c r="O9" s="210"/>
      <c r="P9" s="211"/>
      <c r="Q9" s="211"/>
      <c r="R9" s="211"/>
      <c r="S9" s="211"/>
      <c r="T9" s="211"/>
      <c r="U9" s="212"/>
    </row>
    <row r="10" spans="1:21" ht="14.45" customHeight="1">
      <c r="A10" s="45"/>
      <c r="B10" s="22" t="s">
        <v>10</v>
      </c>
      <c r="C10" s="22"/>
      <c r="D10" s="23"/>
      <c r="E10" s="219" t="s">
        <v>68</v>
      </c>
      <c r="F10" s="220"/>
      <c r="G10" s="220"/>
      <c r="H10" s="221"/>
      <c r="I10" s="61" t="s">
        <v>11</v>
      </c>
      <c r="J10" s="27"/>
      <c r="K10" s="86"/>
      <c r="L10" s="89">
        <f>E11*L9/1000</f>
        <v>0</v>
      </c>
      <c r="M10" s="82"/>
      <c r="N10" s="55"/>
      <c r="O10" s="210"/>
      <c r="P10" s="211"/>
      <c r="Q10" s="211"/>
      <c r="R10" s="211"/>
      <c r="S10" s="211"/>
      <c r="T10" s="211"/>
      <c r="U10" s="212"/>
    </row>
    <row r="11" spans="1:21" ht="17.25" customHeight="1" thickBot="1">
      <c r="A11" s="46"/>
      <c r="B11" s="24" t="s">
        <v>29</v>
      </c>
      <c r="C11" s="24"/>
      <c r="D11" s="25"/>
      <c r="E11" s="207"/>
      <c r="F11" s="208"/>
      <c r="G11" s="208"/>
      <c r="H11" s="209"/>
      <c r="I11" s="103" t="s">
        <v>12</v>
      </c>
      <c r="J11" s="104"/>
      <c r="K11" s="87"/>
      <c r="L11" s="90"/>
      <c r="M11" s="83"/>
      <c r="N11" s="56"/>
      <c r="O11" s="210"/>
      <c r="P11" s="211"/>
      <c r="Q11" s="211"/>
      <c r="R11" s="211"/>
      <c r="S11" s="211"/>
      <c r="T11" s="211"/>
      <c r="U11" s="212"/>
    </row>
    <row r="12" spans="1:21" ht="15.75" customHeight="1" thickBot="1">
      <c r="A12" s="64"/>
      <c r="B12" s="65"/>
      <c r="C12" s="30"/>
      <c r="D12" s="30"/>
      <c r="E12" s="31"/>
      <c r="F12" s="32"/>
      <c r="G12" s="29"/>
      <c r="H12" s="28"/>
      <c r="I12" s="29"/>
      <c r="J12" s="30" t="s">
        <v>13</v>
      </c>
      <c r="K12" s="31"/>
      <c r="L12" s="66"/>
      <c r="M12" s="48"/>
      <c r="N12" s="57">
        <f>COUNTA(H14:H14)</f>
        <v>1</v>
      </c>
      <c r="O12" s="213"/>
      <c r="P12" s="214"/>
      <c r="Q12" s="214"/>
      <c r="R12" s="214"/>
      <c r="S12" s="214"/>
      <c r="T12" s="214"/>
      <c r="U12" s="21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16" t="s">
        <v>32</v>
      </c>
      <c r="Q13" s="217"/>
      <c r="R13" s="217"/>
      <c r="S13" s="217"/>
      <c r="T13" s="217"/>
      <c r="U13" s="218"/>
    </row>
    <row r="14" spans="1:21" ht="15.75" customHeight="1">
      <c r="A14" s="85" t="s">
        <v>188</v>
      </c>
      <c r="B14" s="37">
        <f>ROW()-13</f>
        <v>1</v>
      </c>
      <c r="C14" s="145" t="s">
        <v>191</v>
      </c>
      <c r="D14" s="80"/>
      <c r="E14" s="81"/>
      <c r="F14" s="146" t="s">
        <v>192</v>
      </c>
      <c r="G14" s="17"/>
      <c r="H14" s="265" t="s">
        <v>51</v>
      </c>
      <c r="I14" s="266"/>
      <c r="J14" s="19">
        <v>2</v>
      </c>
      <c r="K14" s="19"/>
      <c r="L14" s="50" t="s">
        <v>187</v>
      </c>
      <c r="M14" s="73" t="s">
        <v>21</v>
      </c>
      <c r="N14" s="54">
        <v>2</v>
      </c>
      <c r="O14" s="167"/>
      <c r="P14" s="203"/>
      <c r="Q14" s="204"/>
      <c r="R14" s="204"/>
      <c r="S14" s="204"/>
      <c r="T14" s="204"/>
      <c r="U14" s="205"/>
    </row>
    <row r="15" spans="1:21" ht="15.75" customHeight="1">
      <c r="A15" s="85"/>
      <c r="B15" s="37">
        <f>ROW()-13</f>
        <v>2</v>
      </c>
      <c r="C15" s="145" t="s">
        <v>829</v>
      </c>
      <c r="D15" s="80"/>
      <c r="E15" s="81"/>
      <c r="F15" s="146" t="s">
        <v>830</v>
      </c>
      <c r="G15" s="17"/>
      <c r="H15" s="18" t="s">
        <v>51</v>
      </c>
      <c r="I15" s="59"/>
      <c r="J15" s="19">
        <v>20</v>
      </c>
      <c r="K15" s="19"/>
      <c r="L15" s="50" t="s">
        <v>187</v>
      </c>
      <c r="M15" s="73" t="s">
        <v>21</v>
      </c>
      <c r="N15" s="54">
        <f t="shared" ref="N15:N25" si="0">IF(H15="NUMBER",IF(J15&gt;0,INT((J15+1)/2+0.9),0),IF(H15="DATE",7,IF(OR(H15="LONG",H15="LONG RAW"),100000,J15)))</f>
        <v>20</v>
      </c>
      <c r="O15" s="167"/>
      <c r="P15" s="203"/>
      <c r="Q15" s="204"/>
      <c r="R15" s="204"/>
      <c r="S15" s="204"/>
      <c r="T15" s="204"/>
      <c r="U15" s="205"/>
    </row>
    <row r="16" spans="1:21" ht="27.6" customHeight="1">
      <c r="A16" s="85"/>
      <c r="B16" s="37">
        <f>ROW()-13</f>
        <v>3</v>
      </c>
      <c r="C16" s="145" t="s">
        <v>831</v>
      </c>
      <c r="D16" s="80"/>
      <c r="E16" s="81"/>
      <c r="F16" s="146" t="s">
        <v>832</v>
      </c>
      <c r="G16" s="17"/>
      <c r="H16" s="18" t="s">
        <v>49</v>
      </c>
      <c r="I16" s="59"/>
      <c r="J16" s="19">
        <v>1</v>
      </c>
      <c r="K16" s="19"/>
      <c r="L16" s="50" t="s">
        <v>187</v>
      </c>
      <c r="M16" s="73" t="s">
        <v>21</v>
      </c>
      <c r="N16" s="54">
        <f t="shared" si="0"/>
        <v>1</v>
      </c>
      <c r="O16" s="167"/>
      <c r="P16" s="206" t="s">
        <v>833</v>
      </c>
      <c r="Q16" s="204"/>
      <c r="R16" s="204"/>
      <c r="S16" s="204"/>
      <c r="T16" s="204"/>
      <c r="U16" s="205"/>
    </row>
    <row r="17" spans="1:21" ht="27.6" customHeight="1">
      <c r="A17" s="85"/>
      <c r="B17" s="37">
        <f>ROW()-13</f>
        <v>4</v>
      </c>
      <c r="C17" s="145" t="s">
        <v>225</v>
      </c>
      <c r="D17" s="80"/>
      <c r="E17" s="81"/>
      <c r="F17" s="146" t="s">
        <v>226</v>
      </c>
      <c r="G17" s="17"/>
      <c r="H17" s="18" t="s">
        <v>49</v>
      </c>
      <c r="I17" s="59"/>
      <c r="J17" s="19">
        <v>1</v>
      </c>
      <c r="K17" s="19"/>
      <c r="L17" s="50"/>
      <c r="M17" s="73" t="s">
        <v>21</v>
      </c>
      <c r="N17" s="54">
        <f t="shared" si="0"/>
        <v>1</v>
      </c>
      <c r="O17" s="167"/>
      <c r="P17" s="206" t="s">
        <v>227</v>
      </c>
      <c r="Q17" s="204"/>
      <c r="R17" s="204"/>
      <c r="S17" s="204"/>
      <c r="T17" s="204"/>
      <c r="U17" s="205"/>
    </row>
    <row r="18" spans="1:21" ht="15.75" customHeight="1">
      <c r="A18" s="85"/>
      <c r="B18" s="37">
        <f>ROW()-13</f>
        <v>5</v>
      </c>
      <c r="C18" s="145" t="s">
        <v>293</v>
      </c>
      <c r="D18" s="80"/>
      <c r="E18" s="81"/>
      <c r="F18" s="146" t="s">
        <v>294</v>
      </c>
      <c r="G18" s="17"/>
      <c r="H18" s="18" t="s">
        <v>51</v>
      </c>
      <c r="I18" s="59"/>
      <c r="J18" s="19">
        <v>50</v>
      </c>
      <c r="K18" s="19"/>
      <c r="L18" s="50"/>
      <c r="M18" s="73" t="s">
        <v>21</v>
      </c>
      <c r="N18" s="54">
        <f t="shared" si="0"/>
        <v>50</v>
      </c>
      <c r="O18" s="167"/>
      <c r="P18" s="203"/>
      <c r="Q18" s="204"/>
      <c r="R18" s="204"/>
      <c r="S18" s="204"/>
      <c r="T18" s="204"/>
      <c r="U18" s="205"/>
    </row>
    <row r="19" spans="1:21" ht="15.75">
      <c r="A19" s="85"/>
      <c r="B19" s="37">
        <f t="shared" ref="B19:B25" si="1">ROW()-13</f>
        <v>6</v>
      </c>
      <c r="C19" s="107" t="s">
        <v>36</v>
      </c>
      <c r="D19" s="107"/>
      <c r="E19" s="108"/>
      <c r="F19" s="109" t="s">
        <v>78</v>
      </c>
      <c r="G19" s="110"/>
      <c r="H19" s="18" t="s">
        <v>51</v>
      </c>
      <c r="I19" s="59"/>
      <c r="J19" s="113">
        <v>12</v>
      </c>
      <c r="K19" s="113"/>
      <c r="L19" s="114"/>
      <c r="M19" s="115" t="s">
        <v>35</v>
      </c>
      <c r="N19" s="116">
        <f t="shared" si="0"/>
        <v>12</v>
      </c>
      <c r="O19" s="168"/>
      <c r="P19" s="200"/>
      <c r="Q19" s="201"/>
      <c r="R19" s="201"/>
      <c r="S19" s="201"/>
      <c r="T19" s="201"/>
      <c r="U19" s="202"/>
    </row>
    <row r="20" spans="1:21" ht="15.75">
      <c r="A20" s="85"/>
      <c r="B20" s="37">
        <f t="shared" si="1"/>
        <v>7</v>
      </c>
      <c r="C20" s="107" t="s">
        <v>37</v>
      </c>
      <c r="D20" s="107"/>
      <c r="E20" s="108"/>
      <c r="F20" s="109" t="s">
        <v>43</v>
      </c>
      <c r="G20" s="110"/>
      <c r="H20" s="18" t="s">
        <v>51</v>
      </c>
      <c r="I20" s="59"/>
      <c r="J20" s="113">
        <v>10</v>
      </c>
      <c r="K20" s="113"/>
      <c r="L20" s="114"/>
      <c r="M20" s="115" t="s">
        <v>21</v>
      </c>
      <c r="N20" s="116">
        <f t="shared" si="0"/>
        <v>10</v>
      </c>
      <c r="O20" s="168"/>
      <c r="P20" s="200"/>
      <c r="Q20" s="201"/>
      <c r="R20" s="201"/>
      <c r="S20" s="201"/>
      <c r="T20" s="201"/>
      <c r="U20" s="202"/>
    </row>
    <row r="21" spans="1:21" ht="15.75">
      <c r="A21" s="85"/>
      <c r="B21" s="37">
        <f t="shared" si="1"/>
        <v>8</v>
      </c>
      <c r="C21" s="107" t="s">
        <v>38</v>
      </c>
      <c r="D21" s="107"/>
      <c r="E21" s="108"/>
      <c r="F21" s="109" t="s">
        <v>80</v>
      </c>
      <c r="G21" s="110"/>
      <c r="H21" s="18" t="s">
        <v>86</v>
      </c>
      <c r="I21" s="59"/>
      <c r="J21" s="113"/>
      <c r="K21" s="113"/>
      <c r="L21" s="114"/>
      <c r="M21" s="115" t="s">
        <v>21</v>
      </c>
      <c r="N21" s="116">
        <f t="shared" si="0"/>
        <v>0</v>
      </c>
      <c r="O21" s="168"/>
      <c r="P21" s="200"/>
      <c r="Q21" s="201"/>
      <c r="R21" s="201"/>
      <c r="S21" s="201"/>
      <c r="T21" s="201"/>
      <c r="U21" s="202"/>
    </row>
    <row r="22" spans="1:21" ht="15.75">
      <c r="A22" s="85"/>
      <c r="B22" s="37">
        <f t="shared" si="1"/>
        <v>9</v>
      </c>
      <c r="C22" s="107" t="s">
        <v>39</v>
      </c>
      <c r="D22" s="107"/>
      <c r="E22" s="108"/>
      <c r="F22" s="109" t="s">
        <v>79</v>
      </c>
      <c r="G22" s="110"/>
      <c r="H22" s="18" t="s">
        <v>51</v>
      </c>
      <c r="I22" s="59"/>
      <c r="J22" s="113">
        <v>12</v>
      </c>
      <c r="K22" s="113"/>
      <c r="L22" s="114"/>
      <c r="M22" s="115" t="s">
        <v>35</v>
      </c>
      <c r="N22" s="116">
        <f t="shared" si="0"/>
        <v>12</v>
      </c>
      <c r="O22" s="168"/>
      <c r="P22" s="200"/>
      <c r="Q22" s="201"/>
      <c r="R22" s="201"/>
      <c r="S22" s="201"/>
      <c r="T22" s="201"/>
      <c r="U22" s="202"/>
    </row>
    <row r="23" spans="1:21" ht="15.75">
      <c r="A23" s="85"/>
      <c r="B23" s="37">
        <f t="shared" si="1"/>
        <v>10</v>
      </c>
      <c r="C23" s="107" t="s">
        <v>40</v>
      </c>
      <c r="D23" s="107"/>
      <c r="E23" s="108"/>
      <c r="F23" s="109" t="s">
        <v>44</v>
      </c>
      <c r="G23" s="110"/>
      <c r="H23" s="18" t="s">
        <v>51</v>
      </c>
      <c r="I23" s="59"/>
      <c r="J23" s="113">
        <v>10</v>
      </c>
      <c r="K23" s="113"/>
      <c r="L23" s="114"/>
      <c r="M23" s="115" t="s">
        <v>21</v>
      </c>
      <c r="N23" s="116">
        <f t="shared" si="0"/>
        <v>10</v>
      </c>
      <c r="O23" s="168"/>
      <c r="P23" s="200"/>
      <c r="Q23" s="201"/>
      <c r="R23" s="201"/>
      <c r="S23" s="201"/>
      <c r="T23" s="201"/>
      <c r="U23" s="202"/>
    </row>
    <row r="24" spans="1:21" ht="15.75">
      <c r="A24" s="85"/>
      <c r="B24" s="37">
        <f t="shared" si="1"/>
        <v>11</v>
      </c>
      <c r="C24" s="107" t="s">
        <v>41</v>
      </c>
      <c r="D24" s="107"/>
      <c r="E24" s="108"/>
      <c r="F24" s="109" t="s">
        <v>81</v>
      </c>
      <c r="G24" s="110"/>
      <c r="H24" s="18" t="s">
        <v>86</v>
      </c>
      <c r="I24" s="59"/>
      <c r="J24" s="113"/>
      <c r="K24" s="113"/>
      <c r="L24" s="114"/>
      <c r="M24" s="115" t="s">
        <v>21</v>
      </c>
      <c r="N24" s="116">
        <f t="shared" si="0"/>
        <v>0</v>
      </c>
      <c r="O24" s="168"/>
      <c r="P24" s="200"/>
      <c r="Q24" s="201"/>
      <c r="R24" s="201"/>
      <c r="S24" s="201"/>
      <c r="T24" s="201"/>
      <c r="U24" s="202"/>
    </row>
    <row r="25" spans="1:21" ht="15.75">
      <c r="A25" s="85"/>
      <c r="B25" s="37">
        <f t="shared" si="1"/>
        <v>12</v>
      </c>
      <c r="C25" s="80" t="s">
        <v>46</v>
      </c>
      <c r="D25" s="80"/>
      <c r="E25" s="81"/>
      <c r="F25" s="84" t="s">
        <v>71</v>
      </c>
      <c r="G25" s="17"/>
      <c r="H25" s="18" t="s">
        <v>62</v>
      </c>
      <c r="I25" s="59"/>
      <c r="J25" s="19">
        <v>8</v>
      </c>
      <c r="K25" s="19"/>
      <c r="L25" s="50" t="s">
        <v>47</v>
      </c>
      <c r="M25" s="73" t="s">
        <v>35</v>
      </c>
      <c r="N25" s="54">
        <f t="shared" si="0"/>
        <v>8</v>
      </c>
      <c r="O25" s="167">
        <v>0</v>
      </c>
      <c r="P25" s="203" t="s">
        <v>48</v>
      </c>
      <c r="Q25" s="204"/>
      <c r="R25" s="204"/>
      <c r="S25" s="204"/>
      <c r="T25" s="204"/>
      <c r="U25" s="205"/>
    </row>
    <row r="26" spans="1:21" ht="16.5" thickBot="1">
      <c r="A26" s="118"/>
      <c r="B26" s="119"/>
      <c r="C26" s="120"/>
      <c r="D26" s="120"/>
      <c r="E26" s="121"/>
      <c r="F26" s="129"/>
      <c r="G26" s="122"/>
      <c r="H26" s="147"/>
      <c r="I26" s="148"/>
      <c r="J26" s="125"/>
      <c r="K26" s="125"/>
      <c r="L26" s="126"/>
      <c r="M26" s="126"/>
      <c r="N26" s="127"/>
      <c r="O26" s="169"/>
      <c r="P26" s="197"/>
      <c r="Q26" s="198"/>
      <c r="R26" s="198"/>
      <c r="S26" s="198"/>
      <c r="T26" s="198"/>
      <c r="U26" s="199"/>
    </row>
  </sheetData>
  <mergeCells count="44">
    <mergeCell ref="O1:U1"/>
    <mergeCell ref="J2:K2"/>
    <mergeCell ref="L2:M2"/>
    <mergeCell ref="O2:U2"/>
    <mergeCell ref="J3:K3"/>
    <mergeCell ref="L3:M3"/>
    <mergeCell ref="O3:U3"/>
    <mergeCell ref="J4:K4"/>
    <mergeCell ref="L4:M4"/>
    <mergeCell ref="O4:U4"/>
    <mergeCell ref="J5:K5"/>
    <mergeCell ref="L5:M5"/>
    <mergeCell ref="O5:U5"/>
    <mergeCell ref="E10:H10"/>
    <mergeCell ref="O10:U10"/>
    <mergeCell ref="E6:H6"/>
    <mergeCell ref="K6:M6"/>
    <mergeCell ref="O6:U6"/>
    <mergeCell ref="E7:H7"/>
    <mergeCell ref="K7:M7"/>
    <mergeCell ref="O7:U7"/>
    <mergeCell ref="E8:H8"/>
    <mergeCell ref="K8:M8"/>
    <mergeCell ref="O8:U8"/>
    <mergeCell ref="E9:H9"/>
    <mergeCell ref="O9:U9"/>
    <mergeCell ref="P21:U21"/>
    <mergeCell ref="E11:H11"/>
    <mergeCell ref="O11:U11"/>
    <mergeCell ref="O12:U12"/>
    <mergeCell ref="P13:U13"/>
    <mergeCell ref="P14:U14"/>
    <mergeCell ref="P15:U15"/>
    <mergeCell ref="P16:U16"/>
    <mergeCell ref="P17:U17"/>
    <mergeCell ref="P18:U18"/>
    <mergeCell ref="P19:U19"/>
    <mergeCell ref="P20:U20"/>
    <mergeCell ref="H14:I14"/>
    <mergeCell ref="P22:U22"/>
    <mergeCell ref="P23:U23"/>
    <mergeCell ref="P24:U24"/>
    <mergeCell ref="P25:U25"/>
    <mergeCell ref="P26:U26"/>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6081"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46082"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46083"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46084"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46085"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46086"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41D9B604-C3DB-4EDA-BC94-BADB622E5A3E}">
            <xm:f>(AND(H14&lt;&gt;"",ISERROR(VLOOKUP(H14,system!$E:$E,1,FALSE))))</xm:f>
            <x14:dxf>
              <fill>
                <patternFill patternType="solid">
                  <bgColor rgb="FFFF0000"/>
                </patternFill>
              </fill>
            </x14:dxf>
          </x14:cfRule>
          <xm:sqref>H14:H18</xm:sqref>
        </x14:conditionalFormatting>
        <x14:conditionalFormatting xmlns:xm="http://schemas.microsoft.com/office/excel/2006/main">
          <x14:cfRule type="expression" priority="3" id="{EC05853B-BEAD-43CC-BD43-50E01A2E9904}">
            <xm:f>(AND(H15&lt;&gt;"",ISERROR(VLOOKUP(H15,system!$E:$E,1,FALSE))))</xm:f>
            <x14:dxf>
              <fill>
                <patternFill>
                  <bgColor rgb="FFFF0000"/>
                </patternFill>
              </fill>
            </x14:dxf>
          </x14:cfRule>
          <xm:sqref>I15:I18</xm:sqref>
        </x14:conditionalFormatting>
        <x14:conditionalFormatting xmlns:xm="http://schemas.microsoft.com/office/excel/2006/main">
          <x14:cfRule type="expression" priority="2" id="{26EA1BCA-E07B-4ADB-B342-148C15C9F28E}">
            <xm:f>(AND(H19&lt;&gt;"",ISERROR(VLOOKUP(H19,system!$E:$E,1,FALSE))))</xm:f>
            <x14:dxf>
              <fill>
                <patternFill patternType="solid">
                  <bgColor rgb="FFFF0000"/>
                </patternFill>
              </fill>
            </x14:dxf>
          </x14:cfRule>
          <xm:sqref>H19:H26</xm:sqref>
        </x14:conditionalFormatting>
        <x14:conditionalFormatting xmlns:xm="http://schemas.microsoft.com/office/excel/2006/main">
          <x14:cfRule type="expression" priority="1" id="{DC9569C0-E7A8-4C06-94A8-EC78E1C5EE7B}">
            <xm:f>(AND(H19&lt;&gt;"",ISERROR(VLOOKUP(H19,system!$E:$E,1,FALSE))))</xm:f>
            <x14:dxf>
              <fill>
                <patternFill>
                  <bgColor rgb="FFFF0000"/>
                </patternFill>
              </fill>
            </x14:dxf>
          </x14:cfRule>
          <xm:sqref>I19:I26</xm:sqref>
        </x14:conditionalFormatting>
      </x14:conditionalFormatting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A1:U27"/>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7" t="s">
        <v>27</v>
      </c>
      <c r="P1" s="248"/>
      <c r="Q1" s="248"/>
      <c r="R1" s="248"/>
      <c r="S1" s="248"/>
      <c r="T1" s="248"/>
      <c r="U1" s="249"/>
    </row>
    <row r="2" spans="1:21" ht="14.45" customHeight="1">
      <c r="A2" s="39"/>
      <c r="B2" s="100" t="s">
        <v>64</v>
      </c>
      <c r="C2" s="5"/>
      <c r="D2" s="5"/>
      <c r="E2" s="5"/>
      <c r="F2" s="5"/>
      <c r="G2" s="6"/>
      <c r="H2" s="7"/>
      <c r="I2" s="8"/>
      <c r="J2" s="250"/>
      <c r="K2" s="251"/>
      <c r="L2" s="250"/>
      <c r="M2" s="251"/>
      <c r="N2" s="52"/>
      <c r="O2" s="252" t="s">
        <v>837</v>
      </c>
      <c r="P2" s="253"/>
      <c r="Q2" s="253"/>
      <c r="R2" s="253"/>
      <c r="S2" s="253"/>
      <c r="T2" s="253"/>
      <c r="U2" s="254"/>
    </row>
    <row r="3" spans="1:21" ht="14.25" customHeight="1">
      <c r="A3" s="40"/>
      <c r="B3" s="35"/>
      <c r="C3" s="5"/>
      <c r="D3" s="5"/>
      <c r="E3" s="5"/>
      <c r="F3" s="5"/>
      <c r="G3" s="9"/>
      <c r="H3" s="10"/>
      <c r="I3" s="176" t="s">
        <v>1032</v>
      </c>
      <c r="J3" s="255" t="s">
        <v>1032</v>
      </c>
      <c r="K3" s="256"/>
      <c r="L3" s="255" t="s">
        <v>1032</v>
      </c>
      <c r="M3" s="256"/>
      <c r="N3" s="52"/>
      <c r="O3" s="257"/>
      <c r="P3" s="258"/>
      <c r="Q3" s="258"/>
      <c r="R3" s="258"/>
      <c r="S3" s="258"/>
      <c r="T3" s="258"/>
      <c r="U3" s="259"/>
    </row>
    <row r="4" spans="1:21" ht="14.45" customHeight="1">
      <c r="A4" s="41"/>
      <c r="B4" s="36" t="s">
        <v>3</v>
      </c>
      <c r="C4" s="5"/>
      <c r="D4" s="5"/>
      <c r="E4" s="5"/>
      <c r="F4" s="5"/>
      <c r="G4" s="6"/>
      <c r="H4" s="10"/>
      <c r="I4" s="177" t="s">
        <v>1035</v>
      </c>
      <c r="J4" s="240" t="s">
        <v>1034</v>
      </c>
      <c r="K4" s="241"/>
      <c r="L4" s="240" t="s">
        <v>1033</v>
      </c>
      <c r="M4" s="241"/>
      <c r="N4" s="52"/>
      <c r="O4" s="210"/>
      <c r="P4" s="211"/>
      <c r="Q4" s="211"/>
      <c r="R4" s="211"/>
      <c r="S4" s="211"/>
      <c r="T4" s="211"/>
      <c r="U4" s="212"/>
    </row>
    <row r="5" spans="1:21" ht="14.45" customHeight="1" thickBot="1">
      <c r="A5" s="42"/>
      <c r="B5" s="11"/>
      <c r="C5" s="11"/>
      <c r="D5" s="11"/>
      <c r="E5" s="11"/>
      <c r="F5" s="11"/>
      <c r="G5" s="12"/>
      <c r="H5" s="13"/>
      <c r="I5" s="14"/>
      <c r="J5" s="242"/>
      <c r="K5" s="243"/>
      <c r="L5" s="244"/>
      <c r="M5" s="245"/>
      <c r="N5" s="53"/>
      <c r="O5" s="246"/>
      <c r="P5" s="211"/>
      <c r="Q5" s="211"/>
      <c r="R5" s="211"/>
      <c r="S5" s="211"/>
      <c r="T5" s="211"/>
      <c r="U5" s="212"/>
    </row>
    <row r="6" spans="1:21" ht="14.45" customHeight="1">
      <c r="A6" s="43"/>
      <c r="B6" s="101" t="s">
        <v>4</v>
      </c>
      <c r="C6" s="20"/>
      <c r="D6" s="21"/>
      <c r="E6" s="222" t="s">
        <v>65</v>
      </c>
      <c r="F6" s="223"/>
      <c r="G6" s="223"/>
      <c r="H6" s="224"/>
      <c r="I6" s="60" t="s">
        <v>26</v>
      </c>
      <c r="J6" s="26"/>
      <c r="K6" s="225" t="s">
        <v>33</v>
      </c>
      <c r="L6" s="226"/>
      <c r="M6" s="227"/>
      <c r="N6" s="91" t="s">
        <v>5</v>
      </c>
      <c r="O6" s="210"/>
      <c r="P6" s="211"/>
      <c r="Q6" s="211"/>
      <c r="R6" s="211"/>
      <c r="S6" s="211"/>
      <c r="T6" s="211"/>
      <c r="U6" s="212"/>
    </row>
    <row r="7" spans="1:21" ht="15.75" customHeight="1">
      <c r="A7" s="44"/>
      <c r="B7" s="102" t="s">
        <v>6</v>
      </c>
      <c r="C7" s="22"/>
      <c r="D7" s="23"/>
      <c r="E7" s="228" t="s">
        <v>164</v>
      </c>
      <c r="F7" s="229"/>
      <c r="G7" s="229"/>
      <c r="H7" s="230"/>
      <c r="I7" s="61" t="s">
        <v>28</v>
      </c>
      <c r="J7" s="27"/>
      <c r="K7" s="231" t="s">
        <v>34</v>
      </c>
      <c r="L7" s="232"/>
      <c r="M7" s="233"/>
      <c r="N7" s="92">
        <f>COUNTIF(H14:H14,"LONG")+COUNTIF(H14:H14,"LONG RAW")</f>
        <v>0</v>
      </c>
      <c r="O7" s="210"/>
      <c r="P7" s="211"/>
      <c r="Q7" s="211"/>
      <c r="R7" s="211"/>
      <c r="S7" s="211"/>
      <c r="T7" s="211"/>
      <c r="U7" s="212"/>
    </row>
    <row r="8" spans="1:21" ht="14.45" customHeight="1">
      <c r="A8" s="45"/>
      <c r="B8" s="22" t="s">
        <v>7</v>
      </c>
      <c r="C8" s="22"/>
      <c r="D8" s="23"/>
      <c r="E8" s="228" t="s">
        <v>834</v>
      </c>
      <c r="F8" s="229"/>
      <c r="G8" s="229"/>
      <c r="H8" s="230"/>
      <c r="I8" s="62"/>
      <c r="J8" s="27"/>
      <c r="K8" s="234"/>
      <c r="L8" s="235"/>
      <c r="M8" s="236"/>
      <c r="N8" s="92"/>
      <c r="O8" s="210"/>
      <c r="P8" s="211"/>
      <c r="Q8" s="211"/>
      <c r="R8" s="211"/>
      <c r="S8" s="211"/>
      <c r="T8" s="211"/>
      <c r="U8" s="212"/>
    </row>
    <row r="9" spans="1:21" ht="14.45" customHeight="1">
      <c r="A9" s="45"/>
      <c r="B9" s="22" t="s">
        <v>8</v>
      </c>
      <c r="C9" s="22"/>
      <c r="D9" s="23"/>
      <c r="E9" s="237" t="s">
        <v>68</v>
      </c>
      <c r="F9" s="238"/>
      <c r="G9" s="238"/>
      <c r="H9" s="239"/>
      <c r="I9" s="61" t="s">
        <v>9</v>
      </c>
      <c r="J9" s="27"/>
      <c r="K9" s="86"/>
      <c r="L9" s="88">
        <f>SUM(N14:N28)</f>
        <v>137</v>
      </c>
      <c r="M9" s="82"/>
      <c r="N9" s="93">
        <f>SUMIF(M14:M14,"■",N14:N14)</f>
        <v>0</v>
      </c>
      <c r="O9" s="210"/>
      <c r="P9" s="211"/>
      <c r="Q9" s="211"/>
      <c r="R9" s="211"/>
      <c r="S9" s="211"/>
      <c r="T9" s="211"/>
      <c r="U9" s="212"/>
    </row>
    <row r="10" spans="1:21" ht="14.45" customHeight="1">
      <c r="A10" s="45"/>
      <c r="B10" s="22" t="s">
        <v>10</v>
      </c>
      <c r="C10" s="22"/>
      <c r="D10" s="23"/>
      <c r="E10" s="219" t="s">
        <v>68</v>
      </c>
      <c r="F10" s="220"/>
      <c r="G10" s="220"/>
      <c r="H10" s="221"/>
      <c r="I10" s="61" t="s">
        <v>11</v>
      </c>
      <c r="J10" s="27"/>
      <c r="K10" s="86"/>
      <c r="L10" s="89">
        <f>E11*L9/1000</f>
        <v>0</v>
      </c>
      <c r="M10" s="82"/>
      <c r="N10" s="55"/>
      <c r="O10" s="210"/>
      <c r="P10" s="211"/>
      <c r="Q10" s="211"/>
      <c r="R10" s="211"/>
      <c r="S10" s="211"/>
      <c r="T10" s="211"/>
      <c r="U10" s="212"/>
    </row>
    <row r="11" spans="1:21" ht="17.25" customHeight="1" thickBot="1">
      <c r="A11" s="46"/>
      <c r="B11" s="24" t="s">
        <v>29</v>
      </c>
      <c r="C11" s="24"/>
      <c r="D11" s="25"/>
      <c r="E11" s="207"/>
      <c r="F11" s="208"/>
      <c r="G11" s="208"/>
      <c r="H11" s="209"/>
      <c r="I11" s="103" t="s">
        <v>12</v>
      </c>
      <c r="J11" s="104"/>
      <c r="K11" s="87"/>
      <c r="L11" s="90"/>
      <c r="M11" s="83"/>
      <c r="N11" s="56"/>
      <c r="O11" s="210"/>
      <c r="P11" s="211"/>
      <c r="Q11" s="211"/>
      <c r="R11" s="211"/>
      <c r="S11" s="211"/>
      <c r="T11" s="211"/>
      <c r="U11" s="212"/>
    </row>
    <row r="12" spans="1:21" ht="15.75" customHeight="1" thickBot="1">
      <c r="A12" s="64"/>
      <c r="B12" s="65"/>
      <c r="C12" s="30"/>
      <c r="D12" s="30"/>
      <c r="E12" s="31"/>
      <c r="F12" s="32"/>
      <c r="G12" s="29"/>
      <c r="H12" s="28"/>
      <c r="I12" s="29"/>
      <c r="J12" s="30" t="s">
        <v>13</v>
      </c>
      <c r="K12" s="31"/>
      <c r="L12" s="66"/>
      <c r="M12" s="48"/>
      <c r="N12" s="57">
        <f>COUNTA(H14:H14)</f>
        <v>1</v>
      </c>
      <c r="O12" s="213"/>
      <c r="P12" s="214"/>
      <c r="Q12" s="214"/>
      <c r="R12" s="214"/>
      <c r="S12" s="214"/>
      <c r="T12" s="214"/>
      <c r="U12" s="21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16" t="s">
        <v>32</v>
      </c>
      <c r="Q13" s="217"/>
      <c r="R13" s="217"/>
      <c r="S13" s="217"/>
      <c r="T13" s="217"/>
      <c r="U13" s="218"/>
    </row>
    <row r="14" spans="1:21" ht="15.75" customHeight="1">
      <c r="A14" s="85" t="s">
        <v>188</v>
      </c>
      <c r="B14" s="37">
        <f t="shared" ref="B14:B19" si="0">ROW()-13</f>
        <v>1</v>
      </c>
      <c r="C14" s="145" t="s">
        <v>377</v>
      </c>
      <c r="D14" s="80"/>
      <c r="E14" s="81"/>
      <c r="F14" s="146" t="s">
        <v>378</v>
      </c>
      <c r="G14" s="17"/>
      <c r="H14" s="18" t="s">
        <v>51</v>
      </c>
      <c r="I14" s="59"/>
      <c r="J14" s="19">
        <v>10</v>
      </c>
      <c r="K14" s="19"/>
      <c r="L14" s="50" t="s">
        <v>187</v>
      </c>
      <c r="M14" s="73" t="s">
        <v>21</v>
      </c>
      <c r="N14" s="54">
        <f t="shared" ref="N14:N26" si="1">IF(H14="NUMBER",IF(J14&gt;0,INT((J14+1)/2+0.9),0),IF(H14="DATE",7,IF(OR(H14="LONG",H14="LONG RAW"),100000,J14)))</f>
        <v>10</v>
      </c>
      <c r="O14" s="167"/>
      <c r="P14" s="203"/>
      <c r="Q14" s="204"/>
      <c r="R14" s="204"/>
      <c r="S14" s="204"/>
      <c r="T14" s="204"/>
      <c r="U14" s="205"/>
    </row>
    <row r="15" spans="1:21" ht="15.75" customHeight="1">
      <c r="A15" s="85"/>
      <c r="B15" s="37">
        <f t="shared" si="0"/>
        <v>2</v>
      </c>
      <c r="C15" s="145" t="s">
        <v>838</v>
      </c>
      <c r="D15" s="80"/>
      <c r="E15" s="81"/>
      <c r="F15" s="146" t="s">
        <v>839</v>
      </c>
      <c r="G15" s="17"/>
      <c r="H15" s="18" t="s">
        <v>51</v>
      </c>
      <c r="I15" s="59"/>
      <c r="J15" s="19">
        <v>20</v>
      </c>
      <c r="K15" s="19"/>
      <c r="L15" s="50" t="s">
        <v>187</v>
      </c>
      <c r="M15" s="73" t="s">
        <v>21</v>
      </c>
      <c r="N15" s="54">
        <f t="shared" si="1"/>
        <v>20</v>
      </c>
      <c r="O15" s="167"/>
      <c r="P15" s="203"/>
      <c r="Q15" s="204"/>
      <c r="R15" s="204"/>
      <c r="S15" s="204"/>
      <c r="T15" s="204"/>
      <c r="U15" s="205"/>
    </row>
    <row r="16" spans="1:21" ht="15.75" customHeight="1">
      <c r="A16" s="85"/>
      <c r="B16" s="37">
        <f t="shared" si="0"/>
        <v>3</v>
      </c>
      <c r="C16" s="145" t="s">
        <v>354</v>
      </c>
      <c r="D16" s="80"/>
      <c r="E16" s="81"/>
      <c r="F16" s="146" t="s">
        <v>355</v>
      </c>
      <c r="G16" s="17"/>
      <c r="H16" s="18" t="s">
        <v>51</v>
      </c>
      <c r="I16" s="59"/>
      <c r="J16" s="19">
        <v>4</v>
      </c>
      <c r="K16" s="19"/>
      <c r="L16" s="50" t="s">
        <v>187</v>
      </c>
      <c r="M16" s="73" t="s">
        <v>21</v>
      </c>
      <c r="N16" s="54">
        <f t="shared" si="1"/>
        <v>4</v>
      </c>
      <c r="O16" s="167"/>
      <c r="P16" s="203" t="s">
        <v>840</v>
      </c>
      <c r="Q16" s="204"/>
      <c r="R16" s="204"/>
      <c r="S16" s="204"/>
      <c r="T16" s="204"/>
      <c r="U16" s="205"/>
    </row>
    <row r="17" spans="1:21" ht="15.75" customHeight="1">
      <c r="A17" s="85"/>
      <c r="B17" s="37">
        <f t="shared" si="0"/>
        <v>4</v>
      </c>
      <c r="C17" s="145" t="s">
        <v>807</v>
      </c>
      <c r="D17" s="80"/>
      <c r="E17" s="81"/>
      <c r="F17" s="146" t="s">
        <v>808</v>
      </c>
      <c r="G17" s="17"/>
      <c r="H17" s="18" t="s">
        <v>209</v>
      </c>
      <c r="I17" s="59"/>
      <c r="J17" s="19"/>
      <c r="K17" s="19"/>
      <c r="L17" s="50" t="s">
        <v>187</v>
      </c>
      <c r="M17" s="73" t="s">
        <v>21</v>
      </c>
      <c r="N17" s="54">
        <f t="shared" si="1"/>
        <v>0</v>
      </c>
      <c r="O17" s="167"/>
      <c r="P17" s="203" t="s">
        <v>841</v>
      </c>
      <c r="Q17" s="204"/>
      <c r="R17" s="204"/>
      <c r="S17" s="204"/>
      <c r="T17" s="204"/>
      <c r="U17" s="205"/>
    </row>
    <row r="18" spans="1:21" ht="27.6" customHeight="1">
      <c r="A18" s="85"/>
      <c r="B18" s="37">
        <f t="shared" si="0"/>
        <v>5</v>
      </c>
      <c r="C18" s="145" t="s">
        <v>225</v>
      </c>
      <c r="D18" s="80"/>
      <c r="E18" s="81"/>
      <c r="F18" s="146" t="s">
        <v>226</v>
      </c>
      <c r="G18" s="17"/>
      <c r="H18" s="18" t="s">
        <v>49</v>
      </c>
      <c r="I18" s="59"/>
      <c r="J18" s="19">
        <v>1</v>
      </c>
      <c r="K18" s="19"/>
      <c r="L18" s="50"/>
      <c r="M18" s="73" t="s">
        <v>21</v>
      </c>
      <c r="N18" s="54">
        <f t="shared" si="1"/>
        <v>1</v>
      </c>
      <c r="O18" s="167"/>
      <c r="P18" s="206" t="s">
        <v>227</v>
      </c>
      <c r="Q18" s="204"/>
      <c r="R18" s="204"/>
      <c r="S18" s="204"/>
      <c r="T18" s="204"/>
      <c r="U18" s="205"/>
    </row>
    <row r="19" spans="1:21" ht="15.75" customHeight="1">
      <c r="A19" s="85"/>
      <c r="B19" s="37">
        <f t="shared" si="0"/>
        <v>6</v>
      </c>
      <c r="C19" s="145" t="s">
        <v>293</v>
      </c>
      <c r="D19" s="80"/>
      <c r="E19" s="81"/>
      <c r="F19" s="146" t="s">
        <v>294</v>
      </c>
      <c r="G19" s="17"/>
      <c r="H19" s="18" t="s">
        <v>51</v>
      </c>
      <c r="I19" s="59"/>
      <c r="J19" s="19">
        <v>50</v>
      </c>
      <c r="K19" s="19"/>
      <c r="L19" s="50"/>
      <c r="M19" s="73" t="s">
        <v>21</v>
      </c>
      <c r="N19" s="54">
        <f t="shared" si="1"/>
        <v>50</v>
      </c>
      <c r="O19" s="167"/>
      <c r="P19" s="203"/>
      <c r="Q19" s="204"/>
      <c r="R19" s="204"/>
      <c r="S19" s="204"/>
      <c r="T19" s="204"/>
      <c r="U19" s="205"/>
    </row>
    <row r="20" spans="1:21" ht="15.75">
      <c r="A20" s="85"/>
      <c r="B20" s="37">
        <f t="shared" ref="B20:B26" si="2">ROW()-13</f>
        <v>7</v>
      </c>
      <c r="C20" s="107" t="s">
        <v>36</v>
      </c>
      <c r="D20" s="107"/>
      <c r="E20" s="108"/>
      <c r="F20" s="109" t="s">
        <v>78</v>
      </c>
      <c r="G20" s="110"/>
      <c r="H20" s="18" t="s">
        <v>51</v>
      </c>
      <c r="I20" s="59"/>
      <c r="J20" s="113">
        <v>12</v>
      </c>
      <c r="K20" s="113"/>
      <c r="L20" s="114"/>
      <c r="M20" s="115" t="s">
        <v>35</v>
      </c>
      <c r="N20" s="116">
        <f t="shared" si="1"/>
        <v>12</v>
      </c>
      <c r="O20" s="168"/>
      <c r="P20" s="200"/>
      <c r="Q20" s="201"/>
      <c r="R20" s="201"/>
      <c r="S20" s="201"/>
      <c r="T20" s="201"/>
      <c r="U20" s="202"/>
    </row>
    <row r="21" spans="1:21" ht="15.75">
      <c r="A21" s="85"/>
      <c r="B21" s="37">
        <f t="shared" si="2"/>
        <v>8</v>
      </c>
      <c r="C21" s="107" t="s">
        <v>37</v>
      </c>
      <c r="D21" s="107"/>
      <c r="E21" s="108"/>
      <c r="F21" s="109" t="s">
        <v>43</v>
      </c>
      <c r="G21" s="110"/>
      <c r="H21" s="18" t="s">
        <v>51</v>
      </c>
      <c r="I21" s="59"/>
      <c r="J21" s="113">
        <v>10</v>
      </c>
      <c r="K21" s="113"/>
      <c r="L21" s="114"/>
      <c r="M21" s="115" t="s">
        <v>21</v>
      </c>
      <c r="N21" s="116">
        <f t="shared" si="1"/>
        <v>10</v>
      </c>
      <c r="O21" s="168"/>
      <c r="P21" s="200"/>
      <c r="Q21" s="201"/>
      <c r="R21" s="201"/>
      <c r="S21" s="201"/>
      <c r="T21" s="201"/>
      <c r="U21" s="202"/>
    </row>
    <row r="22" spans="1:21" ht="15.75">
      <c r="A22" s="85"/>
      <c r="B22" s="37">
        <f t="shared" si="2"/>
        <v>9</v>
      </c>
      <c r="C22" s="107" t="s">
        <v>38</v>
      </c>
      <c r="D22" s="107"/>
      <c r="E22" s="108"/>
      <c r="F22" s="109" t="s">
        <v>80</v>
      </c>
      <c r="G22" s="110"/>
      <c r="H22" s="18" t="s">
        <v>86</v>
      </c>
      <c r="I22" s="59"/>
      <c r="J22" s="113"/>
      <c r="K22" s="113"/>
      <c r="L22" s="114"/>
      <c r="M22" s="115" t="s">
        <v>21</v>
      </c>
      <c r="N22" s="116">
        <f t="shared" si="1"/>
        <v>0</v>
      </c>
      <c r="O22" s="168"/>
      <c r="P22" s="200"/>
      <c r="Q22" s="201"/>
      <c r="R22" s="201"/>
      <c r="S22" s="201"/>
      <c r="T22" s="201"/>
      <c r="U22" s="202"/>
    </row>
    <row r="23" spans="1:21" ht="15.75">
      <c r="A23" s="85"/>
      <c r="B23" s="37">
        <f t="shared" si="2"/>
        <v>10</v>
      </c>
      <c r="C23" s="107" t="s">
        <v>39</v>
      </c>
      <c r="D23" s="107"/>
      <c r="E23" s="108"/>
      <c r="F23" s="109" t="s">
        <v>79</v>
      </c>
      <c r="G23" s="110"/>
      <c r="H23" s="18" t="s">
        <v>51</v>
      </c>
      <c r="I23" s="59"/>
      <c r="J23" s="113">
        <v>12</v>
      </c>
      <c r="K23" s="113"/>
      <c r="L23" s="114"/>
      <c r="M23" s="115" t="s">
        <v>35</v>
      </c>
      <c r="N23" s="116">
        <f t="shared" si="1"/>
        <v>12</v>
      </c>
      <c r="O23" s="168"/>
      <c r="P23" s="200"/>
      <c r="Q23" s="201"/>
      <c r="R23" s="201"/>
      <c r="S23" s="201"/>
      <c r="T23" s="201"/>
      <c r="U23" s="202"/>
    </row>
    <row r="24" spans="1:21" ht="15.75">
      <c r="A24" s="85"/>
      <c r="B24" s="37">
        <f t="shared" si="2"/>
        <v>11</v>
      </c>
      <c r="C24" s="107" t="s">
        <v>40</v>
      </c>
      <c r="D24" s="107"/>
      <c r="E24" s="108"/>
      <c r="F24" s="109" t="s">
        <v>44</v>
      </c>
      <c r="G24" s="110"/>
      <c r="H24" s="18" t="s">
        <v>51</v>
      </c>
      <c r="I24" s="59"/>
      <c r="J24" s="113">
        <v>10</v>
      </c>
      <c r="K24" s="113"/>
      <c r="L24" s="114"/>
      <c r="M24" s="115" t="s">
        <v>21</v>
      </c>
      <c r="N24" s="116">
        <f t="shared" si="1"/>
        <v>10</v>
      </c>
      <c r="O24" s="168"/>
      <c r="P24" s="200"/>
      <c r="Q24" s="201"/>
      <c r="R24" s="201"/>
      <c r="S24" s="201"/>
      <c r="T24" s="201"/>
      <c r="U24" s="202"/>
    </row>
    <row r="25" spans="1:21" ht="15.75">
      <c r="A25" s="85"/>
      <c r="B25" s="37">
        <f t="shared" si="2"/>
        <v>12</v>
      </c>
      <c r="C25" s="107" t="s">
        <v>41</v>
      </c>
      <c r="D25" s="107"/>
      <c r="E25" s="108"/>
      <c r="F25" s="109" t="s">
        <v>81</v>
      </c>
      <c r="G25" s="110"/>
      <c r="H25" s="18" t="s">
        <v>86</v>
      </c>
      <c r="I25" s="59"/>
      <c r="J25" s="113"/>
      <c r="K25" s="113"/>
      <c r="L25" s="114"/>
      <c r="M25" s="115" t="s">
        <v>21</v>
      </c>
      <c r="N25" s="116">
        <f t="shared" si="1"/>
        <v>0</v>
      </c>
      <c r="O25" s="168"/>
      <c r="P25" s="200"/>
      <c r="Q25" s="201"/>
      <c r="R25" s="201"/>
      <c r="S25" s="201"/>
      <c r="T25" s="201"/>
      <c r="U25" s="202"/>
    </row>
    <row r="26" spans="1:21" ht="15.75">
      <c r="A26" s="85"/>
      <c r="B26" s="37">
        <f t="shared" si="2"/>
        <v>13</v>
      </c>
      <c r="C26" s="80" t="s">
        <v>46</v>
      </c>
      <c r="D26" s="80"/>
      <c r="E26" s="81"/>
      <c r="F26" s="84" t="s">
        <v>71</v>
      </c>
      <c r="G26" s="17"/>
      <c r="H26" s="18" t="s">
        <v>62</v>
      </c>
      <c r="I26" s="59"/>
      <c r="J26" s="19">
        <v>8</v>
      </c>
      <c r="K26" s="19"/>
      <c r="L26" s="50" t="s">
        <v>47</v>
      </c>
      <c r="M26" s="73" t="s">
        <v>35</v>
      </c>
      <c r="N26" s="54">
        <f t="shared" si="1"/>
        <v>8</v>
      </c>
      <c r="O26" s="167">
        <v>0</v>
      </c>
      <c r="P26" s="203" t="s">
        <v>48</v>
      </c>
      <c r="Q26" s="204"/>
      <c r="R26" s="204"/>
      <c r="S26" s="204"/>
      <c r="T26" s="204"/>
      <c r="U26" s="205"/>
    </row>
    <row r="27" spans="1:21" ht="16.5" thickBot="1">
      <c r="A27" s="118"/>
      <c r="B27" s="119"/>
      <c r="C27" s="120"/>
      <c r="D27" s="120"/>
      <c r="E27" s="121"/>
      <c r="F27" s="129"/>
      <c r="G27" s="122"/>
      <c r="H27" s="147"/>
      <c r="I27" s="148"/>
      <c r="J27" s="125"/>
      <c r="K27" s="125"/>
      <c r="L27" s="126"/>
      <c r="M27" s="126"/>
      <c r="N27" s="127"/>
      <c r="O27" s="169"/>
      <c r="P27" s="197"/>
      <c r="Q27" s="198"/>
      <c r="R27" s="198"/>
      <c r="S27" s="198"/>
      <c r="T27" s="198"/>
      <c r="U27" s="199"/>
    </row>
  </sheetData>
  <mergeCells count="44">
    <mergeCell ref="O1:U1"/>
    <mergeCell ref="J2:K2"/>
    <mergeCell ref="L2:M2"/>
    <mergeCell ref="O2:U2"/>
    <mergeCell ref="J3:K3"/>
    <mergeCell ref="L3:M3"/>
    <mergeCell ref="O3:U3"/>
    <mergeCell ref="J4:K4"/>
    <mergeCell ref="L4:M4"/>
    <mergeCell ref="O4:U4"/>
    <mergeCell ref="J5:K5"/>
    <mergeCell ref="L5:M5"/>
    <mergeCell ref="O5:U5"/>
    <mergeCell ref="E6:H6"/>
    <mergeCell ref="K6:M6"/>
    <mergeCell ref="O6:U6"/>
    <mergeCell ref="E7:H7"/>
    <mergeCell ref="K7:M7"/>
    <mergeCell ref="O7:U7"/>
    <mergeCell ref="P15:U15"/>
    <mergeCell ref="E8:H8"/>
    <mergeCell ref="K8:M8"/>
    <mergeCell ref="O8:U8"/>
    <mergeCell ref="E9:H9"/>
    <mergeCell ref="O9:U9"/>
    <mergeCell ref="E10:H10"/>
    <mergeCell ref="O10:U10"/>
    <mergeCell ref="E11:H11"/>
    <mergeCell ref="O11:U11"/>
    <mergeCell ref="O12:U12"/>
    <mergeCell ref="P13:U13"/>
    <mergeCell ref="P14:U14"/>
    <mergeCell ref="P27:U27"/>
    <mergeCell ref="P16:U16"/>
    <mergeCell ref="P17:U17"/>
    <mergeCell ref="P18:U18"/>
    <mergeCell ref="P19:U19"/>
    <mergeCell ref="P20:U20"/>
    <mergeCell ref="P21:U21"/>
    <mergeCell ref="P22:U22"/>
    <mergeCell ref="P23:U23"/>
    <mergeCell ref="P24:U24"/>
    <mergeCell ref="P25:U25"/>
    <mergeCell ref="P26:U26"/>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05"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47106"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47107"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47108"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47109"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47110"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AD00380F-42F8-43DC-BF79-02E6753AC282}">
            <xm:f>(AND(H14&lt;&gt;"",ISERROR(VLOOKUP(H14,system!$E:$E,1,FALSE))))</xm:f>
            <x14:dxf>
              <fill>
                <patternFill patternType="solid">
                  <bgColor rgb="FFFF0000"/>
                </patternFill>
              </fill>
            </x14:dxf>
          </x14:cfRule>
          <xm:sqref>H14:H19</xm:sqref>
        </x14:conditionalFormatting>
        <x14:conditionalFormatting xmlns:xm="http://schemas.microsoft.com/office/excel/2006/main">
          <x14:cfRule type="expression" priority="3" id="{DC942EB4-1F3A-4185-8500-65A4642F9D6E}">
            <xm:f>(AND(H14&lt;&gt;"",ISERROR(VLOOKUP(H14,system!$E:$E,1,FALSE))))</xm:f>
            <x14:dxf>
              <fill>
                <patternFill>
                  <bgColor rgb="FFFF0000"/>
                </patternFill>
              </fill>
            </x14:dxf>
          </x14:cfRule>
          <xm:sqref>I14:I19</xm:sqref>
        </x14:conditionalFormatting>
        <x14:conditionalFormatting xmlns:xm="http://schemas.microsoft.com/office/excel/2006/main">
          <x14:cfRule type="expression" priority="2" id="{E0514E42-3FD1-4DF3-AAF8-07D39014ABC4}">
            <xm:f>(AND(H20&lt;&gt;"",ISERROR(VLOOKUP(H20,system!$E:$E,1,FALSE))))</xm:f>
            <x14:dxf>
              <fill>
                <patternFill patternType="solid">
                  <bgColor rgb="FFFF0000"/>
                </patternFill>
              </fill>
            </x14:dxf>
          </x14:cfRule>
          <xm:sqref>H20:H27</xm:sqref>
        </x14:conditionalFormatting>
        <x14:conditionalFormatting xmlns:xm="http://schemas.microsoft.com/office/excel/2006/main">
          <x14:cfRule type="expression" priority="1" id="{DF5C82DB-D1E5-48F8-9CE3-751F648DFFA3}">
            <xm:f>(AND(H20&lt;&gt;"",ISERROR(VLOOKUP(H20,system!$E:$E,1,FALSE))))</xm:f>
            <x14:dxf>
              <fill>
                <patternFill>
                  <bgColor rgb="FFFF0000"/>
                </patternFill>
              </fill>
            </x14:dxf>
          </x14:cfRule>
          <xm:sqref>I20:I27</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A1:U26"/>
  <sheetViews>
    <sheetView showGridLines="0" zoomScaleNormal="100" workbookViewId="0">
      <pane ySplit="13" topLeftCell="A14" activePane="bottomLeft" state="frozen"/>
      <selection activeCell="D13" sqref="D13"/>
      <selection pane="bottomLeft"/>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7" t="s">
        <v>27</v>
      </c>
      <c r="P1" s="248"/>
      <c r="Q1" s="248"/>
      <c r="R1" s="248"/>
      <c r="S1" s="248"/>
      <c r="T1" s="248"/>
      <c r="U1" s="249"/>
    </row>
    <row r="2" spans="1:21" ht="14.45" customHeight="1">
      <c r="A2" s="39"/>
      <c r="B2" s="100" t="s">
        <v>64</v>
      </c>
      <c r="C2" s="5"/>
      <c r="D2" s="5"/>
      <c r="E2" s="5"/>
      <c r="F2" s="5"/>
      <c r="G2" s="6"/>
      <c r="H2" s="7"/>
      <c r="I2" s="8"/>
      <c r="J2" s="250"/>
      <c r="K2" s="251"/>
      <c r="L2" s="250"/>
      <c r="M2" s="251"/>
      <c r="N2" s="52"/>
      <c r="O2" s="252" t="s">
        <v>1063</v>
      </c>
      <c r="P2" s="253"/>
      <c r="Q2" s="253"/>
      <c r="R2" s="253"/>
      <c r="S2" s="253"/>
      <c r="T2" s="253"/>
      <c r="U2" s="254"/>
    </row>
    <row r="3" spans="1:21" ht="14.25" customHeight="1">
      <c r="A3" s="40"/>
      <c r="B3" s="35"/>
      <c r="C3" s="5"/>
      <c r="D3" s="5"/>
      <c r="E3" s="5"/>
      <c r="F3" s="5"/>
      <c r="G3" s="9"/>
      <c r="H3" s="10"/>
      <c r="I3" s="176" t="s">
        <v>1032</v>
      </c>
      <c r="J3" s="255" t="s">
        <v>1032</v>
      </c>
      <c r="K3" s="256"/>
      <c r="L3" s="255" t="s">
        <v>1032</v>
      </c>
      <c r="M3" s="256"/>
      <c r="N3" s="52"/>
      <c r="O3" s="257"/>
      <c r="P3" s="258"/>
      <c r="Q3" s="258"/>
      <c r="R3" s="258"/>
      <c r="S3" s="258"/>
      <c r="T3" s="258"/>
      <c r="U3" s="259"/>
    </row>
    <row r="4" spans="1:21" ht="14.45" customHeight="1">
      <c r="A4" s="41"/>
      <c r="B4" s="36" t="s">
        <v>3</v>
      </c>
      <c r="C4" s="5"/>
      <c r="D4" s="5"/>
      <c r="E4" s="5"/>
      <c r="F4" s="5"/>
      <c r="G4" s="6"/>
      <c r="H4" s="10"/>
      <c r="I4" s="177" t="s">
        <v>1035</v>
      </c>
      <c r="J4" s="240" t="s">
        <v>1034</v>
      </c>
      <c r="K4" s="241"/>
      <c r="L4" s="240" t="s">
        <v>1033</v>
      </c>
      <c r="M4" s="241"/>
      <c r="N4" s="52"/>
      <c r="O4" s="210"/>
      <c r="P4" s="211"/>
      <c r="Q4" s="211"/>
      <c r="R4" s="211"/>
      <c r="S4" s="211"/>
      <c r="T4" s="211"/>
      <c r="U4" s="212"/>
    </row>
    <row r="5" spans="1:21" ht="14.45" customHeight="1" thickBot="1">
      <c r="A5" s="42"/>
      <c r="B5" s="11"/>
      <c r="C5" s="11"/>
      <c r="D5" s="11"/>
      <c r="E5" s="11"/>
      <c r="F5" s="11"/>
      <c r="G5" s="12"/>
      <c r="H5" s="13"/>
      <c r="I5" s="14"/>
      <c r="J5" s="242"/>
      <c r="K5" s="243"/>
      <c r="L5" s="244"/>
      <c r="M5" s="245"/>
      <c r="N5" s="53"/>
      <c r="O5" s="246"/>
      <c r="P5" s="211"/>
      <c r="Q5" s="211"/>
      <c r="R5" s="211"/>
      <c r="S5" s="211"/>
      <c r="T5" s="211"/>
      <c r="U5" s="212"/>
    </row>
    <row r="6" spans="1:21" ht="14.45" customHeight="1">
      <c r="A6" s="43"/>
      <c r="B6" s="101" t="s">
        <v>4</v>
      </c>
      <c r="C6" s="20"/>
      <c r="D6" s="21"/>
      <c r="E6" s="222" t="s">
        <v>65</v>
      </c>
      <c r="F6" s="223"/>
      <c r="G6" s="223"/>
      <c r="H6" s="224"/>
      <c r="I6" s="60" t="s">
        <v>26</v>
      </c>
      <c r="J6" s="26"/>
      <c r="K6" s="225" t="s">
        <v>33</v>
      </c>
      <c r="L6" s="226"/>
      <c r="M6" s="227"/>
      <c r="N6" s="91" t="s">
        <v>5</v>
      </c>
      <c r="O6" s="210"/>
      <c r="P6" s="211"/>
      <c r="Q6" s="211"/>
      <c r="R6" s="211"/>
      <c r="S6" s="211"/>
      <c r="T6" s="211"/>
      <c r="U6" s="212"/>
    </row>
    <row r="7" spans="1:21" ht="15.75" customHeight="1">
      <c r="A7" s="44"/>
      <c r="B7" s="102" t="s">
        <v>6</v>
      </c>
      <c r="C7" s="22"/>
      <c r="D7" s="23"/>
      <c r="E7" s="228" t="s">
        <v>165</v>
      </c>
      <c r="F7" s="229"/>
      <c r="G7" s="229"/>
      <c r="H7" s="230"/>
      <c r="I7" s="61" t="s">
        <v>28</v>
      </c>
      <c r="J7" s="27"/>
      <c r="K7" s="231" t="s">
        <v>34</v>
      </c>
      <c r="L7" s="232"/>
      <c r="M7" s="233"/>
      <c r="N7" s="92">
        <f>COUNTIF(H14:H14,"LONG")+COUNTIF(H14:H14,"LONG RAW")</f>
        <v>0</v>
      </c>
      <c r="O7" s="210"/>
      <c r="P7" s="211"/>
      <c r="Q7" s="211"/>
      <c r="R7" s="211"/>
      <c r="S7" s="211"/>
      <c r="T7" s="211"/>
      <c r="U7" s="212"/>
    </row>
    <row r="8" spans="1:21" ht="14.45" customHeight="1">
      <c r="A8" s="45"/>
      <c r="B8" s="22" t="s">
        <v>7</v>
      </c>
      <c r="C8" s="22"/>
      <c r="D8" s="23"/>
      <c r="E8" s="228" t="s">
        <v>842</v>
      </c>
      <c r="F8" s="229"/>
      <c r="G8" s="229"/>
      <c r="H8" s="230"/>
      <c r="I8" s="62"/>
      <c r="J8" s="27"/>
      <c r="K8" s="234"/>
      <c r="L8" s="235"/>
      <c r="M8" s="236"/>
      <c r="N8" s="92"/>
      <c r="O8" s="210"/>
      <c r="P8" s="211"/>
      <c r="Q8" s="211"/>
      <c r="R8" s="211"/>
      <c r="S8" s="211"/>
      <c r="T8" s="211"/>
      <c r="U8" s="212"/>
    </row>
    <row r="9" spans="1:21" ht="14.45" customHeight="1">
      <c r="A9" s="45"/>
      <c r="B9" s="22" t="s">
        <v>8</v>
      </c>
      <c r="C9" s="22"/>
      <c r="D9" s="23"/>
      <c r="E9" s="237" t="s">
        <v>68</v>
      </c>
      <c r="F9" s="238"/>
      <c r="G9" s="238"/>
      <c r="H9" s="239"/>
      <c r="I9" s="61" t="s">
        <v>9</v>
      </c>
      <c r="J9" s="27"/>
      <c r="K9" s="86"/>
      <c r="L9" s="88">
        <f>SUM(N14:N27)</f>
        <v>115</v>
      </c>
      <c r="M9" s="82"/>
      <c r="N9" s="93">
        <f>SUMIF(M14:M14,"■",N14:N14)</f>
        <v>0</v>
      </c>
      <c r="O9" s="210"/>
      <c r="P9" s="211"/>
      <c r="Q9" s="211"/>
      <c r="R9" s="211"/>
      <c r="S9" s="211"/>
      <c r="T9" s="211"/>
      <c r="U9" s="212"/>
    </row>
    <row r="10" spans="1:21" ht="14.45" customHeight="1">
      <c r="A10" s="45"/>
      <c r="B10" s="22" t="s">
        <v>10</v>
      </c>
      <c r="C10" s="22"/>
      <c r="D10" s="23"/>
      <c r="E10" s="219" t="s">
        <v>68</v>
      </c>
      <c r="F10" s="220"/>
      <c r="G10" s="220"/>
      <c r="H10" s="221"/>
      <c r="I10" s="61" t="s">
        <v>11</v>
      </c>
      <c r="J10" s="27"/>
      <c r="K10" s="86"/>
      <c r="L10" s="89">
        <f>E11*L9/1000</f>
        <v>0</v>
      </c>
      <c r="M10" s="82"/>
      <c r="N10" s="55"/>
      <c r="O10" s="210"/>
      <c r="P10" s="211"/>
      <c r="Q10" s="211"/>
      <c r="R10" s="211"/>
      <c r="S10" s="211"/>
      <c r="T10" s="211"/>
      <c r="U10" s="212"/>
    </row>
    <row r="11" spans="1:21" ht="17.25" customHeight="1" thickBot="1">
      <c r="A11" s="46"/>
      <c r="B11" s="24" t="s">
        <v>29</v>
      </c>
      <c r="C11" s="24"/>
      <c r="D11" s="25"/>
      <c r="E11" s="207"/>
      <c r="F11" s="208"/>
      <c r="G11" s="208"/>
      <c r="H11" s="209"/>
      <c r="I11" s="103" t="s">
        <v>12</v>
      </c>
      <c r="J11" s="104"/>
      <c r="K11" s="87"/>
      <c r="L11" s="90"/>
      <c r="M11" s="83"/>
      <c r="N11" s="56"/>
      <c r="O11" s="210"/>
      <c r="P11" s="211"/>
      <c r="Q11" s="211"/>
      <c r="R11" s="211"/>
      <c r="S11" s="211"/>
      <c r="T11" s="211"/>
      <c r="U11" s="212"/>
    </row>
    <row r="12" spans="1:21" ht="15.75" customHeight="1" thickBot="1">
      <c r="A12" s="64"/>
      <c r="B12" s="65"/>
      <c r="C12" s="30"/>
      <c r="D12" s="30"/>
      <c r="E12" s="31"/>
      <c r="F12" s="32"/>
      <c r="G12" s="29"/>
      <c r="H12" s="28"/>
      <c r="I12" s="29"/>
      <c r="J12" s="30" t="s">
        <v>13</v>
      </c>
      <c r="K12" s="31"/>
      <c r="L12" s="66"/>
      <c r="M12" s="48"/>
      <c r="N12" s="57">
        <f>COUNTA(H14:H14)</f>
        <v>1</v>
      </c>
      <c r="O12" s="213"/>
      <c r="P12" s="214"/>
      <c r="Q12" s="214"/>
      <c r="R12" s="214"/>
      <c r="S12" s="214"/>
      <c r="T12" s="214"/>
      <c r="U12" s="21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16" t="s">
        <v>32</v>
      </c>
      <c r="Q13" s="217"/>
      <c r="R13" s="217"/>
      <c r="S13" s="217"/>
      <c r="T13" s="217"/>
      <c r="U13" s="218"/>
    </row>
    <row r="14" spans="1:21" ht="15.75" customHeight="1">
      <c r="A14" s="85" t="s">
        <v>188</v>
      </c>
      <c r="B14" s="37">
        <f>ROW()-13</f>
        <v>1</v>
      </c>
      <c r="C14" s="145" t="s">
        <v>191</v>
      </c>
      <c r="D14" s="80"/>
      <c r="E14" s="81"/>
      <c r="F14" s="146" t="s">
        <v>192</v>
      </c>
      <c r="G14" s="17"/>
      <c r="H14" s="18" t="s">
        <v>51</v>
      </c>
      <c r="I14" s="59"/>
      <c r="J14" s="19">
        <v>2</v>
      </c>
      <c r="K14" s="19"/>
      <c r="L14" s="50" t="s">
        <v>187</v>
      </c>
      <c r="M14" s="73" t="s">
        <v>21</v>
      </c>
      <c r="N14" s="54">
        <f t="shared" ref="N14:N25" si="0">IF(H14="NUMBER",IF(J14&gt;0,INT((J14+1)/2+0.9),0),IF(H14="DATE",7,IF(OR(H14="LONG",H14="LONG RAW"),100000,J14)))</f>
        <v>2</v>
      </c>
      <c r="O14" s="167"/>
      <c r="P14" s="203" t="s">
        <v>163</v>
      </c>
      <c r="Q14" s="204"/>
      <c r="R14" s="204"/>
      <c r="S14" s="204"/>
      <c r="T14" s="204"/>
      <c r="U14" s="205"/>
    </row>
    <row r="15" spans="1:21" ht="15.75" customHeight="1">
      <c r="A15" s="85" t="s">
        <v>188</v>
      </c>
      <c r="B15" s="37">
        <f>ROW()-13</f>
        <v>2</v>
      </c>
      <c r="C15" s="145" t="s">
        <v>377</v>
      </c>
      <c r="D15" s="80"/>
      <c r="E15" s="81"/>
      <c r="F15" s="146" t="s">
        <v>378</v>
      </c>
      <c r="G15" s="17"/>
      <c r="H15" s="18" t="s">
        <v>51</v>
      </c>
      <c r="I15" s="59"/>
      <c r="J15" s="19">
        <v>10</v>
      </c>
      <c r="K15" s="19"/>
      <c r="L15" s="50" t="s">
        <v>187</v>
      </c>
      <c r="M15" s="73" t="s">
        <v>21</v>
      </c>
      <c r="N15" s="54">
        <f t="shared" si="0"/>
        <v>10</v>
      </c>
      <c r="O15" s="167"/>
      <c r="P15" s="203" t="s">
        <v>164</v>
      </c>
      <c r="Q15" s="204"/>
      <c r="R15" s="204"/>
      <c r="S15" s="204"/>
      <c r="T15" s="204"/>
      <c r="U15" s="205"/>
    </row>
    <row r="16" spans="1:21" ht="15.75" customHeight="1">
      <c r="A16" s="85"/>
      <c r="B16" s="37">
        <f>ROW()-13</f>
        <v>3</v>
      </c>
      <c r="C16" s="145" t="s">
        <v>807</v>
      </c>
      <c r="D16" s="80"/>
      <c r="E16" s="81"/>
      <c r="F16" s="146" t="s">
        <v>808</v>
      </c>
      <c r="G16" s="17"/>
      <c r="H16" s="18" t="s">
        <v>209</v>
      </c>
      <c r="I16" s="59"/>
      <c r="J16" s="19"/>
      <c r="K16" s="19"/>
      <c r="L16" s="50" t="s">
        <v>187</v>
      </c>
      <c r="M16" s="73" t="s">
        <v>21</v>
      </c>
      <c r="N16" s="54">
        <f t="shared" si="0"/>
        <v>0</v>
      </c>
      <c r="O16" s="167"/>
      <c r="P16" s="203" t="s">
        <v>841</v>
      </c>
      <c r="Q16" s="204"/>
      <c r="R16" s="204"/>
      <c r="S16" s="204"/>
      <c r="T16" s="204"/>
      <c r="U16" s="205"/>
    </row>
    <row r="17" spans="1:21" ht="27.6" customHeight="1">
      <c r="A17" s="85"/>
      <c r="B17" s="37">
        <f>ROW()-13</f>
        <v>4</v>
      </c>
      <c r="C17" s="145" t="s">
        <v>225</v>
      </c>
      <c r="D17" s="80"/>
      <c r="E17" s="81"/>
      <c r="F17" s="146" t="s">
        <v>226</v>
      </c>
      <c r="G17" s="17"/>
      <c r="H17" s="18" t="s">
        <v>49</v>
      </c>
      <c r="I17" s="59"/>
      <c r="J17" s="19">
        <v>1</v>
      </c>
      <c r="K17" s="19"/>
      <c r="L17" s="50"/>
      <c r="M17" s="73" t="s">
        <v>21</v>
      </c>
      <c r="N17" s="54">
        <f t="shared" si="0"/>
        <v>1</v>
      </c>
      <c r="O17" s="167"/>
      <c r="P17" s="206" t="s">
        <v>227</v>
      </c>
      <c r="Q17" s="204"/>
      <c r="R17" s="204"/>
      <c r="S17" s="204"/>
      <c r="T17" s="204"/>
      <c r="U17" s="205"/>
    </row>
    <row r="18" spans="1:21" ht="15.75" customHeight="1">
      <c r="A18" s="85"/>
      <c r="B18" s="37">
        <f>ROW()-13</f>
        <v>5</v>
      </c>
      <c r="C18" s="145" t="s">
        <v>293</v>
      </c>
      <c r="D18" s="80"/>
      <c r="E18" s="81"/>
      <c r="F18" s="146" t="s">
        <v>294</v>
      </c>
      <c r="G18" s="17"/>
      <c r="H18" s="18" t="s">
        <v>51</v>
      </c>
      <c r="I18" s="59"/>
      <c r="J18" s="19">
        <v>50</v>
      </c>
      <c r="K18" s="19"/>
      <c r="L18" s="50"/>
      <c r="M18" s="73" t="s">
        <v>21</v>
      </c>
      <c r="N18" s="54">
        <f t="shared" si="0"/>
        <v>50</v>
      </c>
      <c r="O18" s="167"/>
      <c r="P18" s="203"/>
      <c r="Q18" s="204"/>
      <c r="R18" s="204"/>
      <c r="S18" s="204"/>
      <c r="T18" s="204"/>
      <c r="U18" s="205"/>
    </row>
    <row r="19" spans="1:21" ht="15.75">
      <c r="A19" s="85"/>
      <c r="B19" s="37">
        <f t="shared" ref="B19:B25" si="1">ROW()-13</f>
        <v>6</v>
      </c>
      <c r="C19" s="107" t="s">
        <v>36</v>
      </c>
      <c r="D19" s="107"/>
      <c r="E19" s="108"/>
      <c r="F19" s="109" t="s">
        <v>78</v>
      </c>
      <c r="G19" s="110"/>
      <c r="H19" s="18" t="s">
        <v>51</v>
      </c>
      <c r="I19" s="59"/>
      <c r="J19" s="113">
        <v>12</v>
      </c>
      <c r="K19" s="113"/>
      <c r="L19" s="114"/>
      <c r="M19" s="115" t="s">
        <v>35</v>
      </c>
      <c r="N19" s="116">
        <f t="shared" si="0"/>
        <v>12</v>
      </c>
      <c r="O19" s="168"/>
      <c r="P19" s="200"/>
      <c r="Q19" s="201"/>
      <c r="R19" s="201"/>
      <c r="S19" s="201"/>
      <c r="T19" s="201"/>
      <c r="U19" s="202"/>
    </row>
    <row r="20" spans="1:21" ht="15.75">
      <c r="A20" s="85"/>
      <c r="B20" s="37">
        <f t="shared" si="1"/>
        <v>7</v>
      </c>
      <c r="C20" s="107" t="s">
        <v>37</v>
      </c>
      <c r="D20" s="107"/>
      <c r="E20" s="108"/>
      <c r="F20" s="109" t="s">
        <v>43</v>
      </c>
      <c r="G20" s="110"/>
      <c r="H20" s="18" t="s">
        <v>51</v>
      </c>
      <c r="I20" s="59"/>
      <c r="J20" s="113">
        <v>10</v>
      </c>
      <c r="K20" s="113"/>
      <c r="L20" s="114"/>
      <c r="M20" s="115" t="s">
        <v>21</v>
      </c>
      <c r="N20" s="116">
        <f t="shared" si="0"/>
        <v>10</v>
      </c>
      <c r="O20" s="168"/>
      <c r="P20" s="200"/>
      <c r="Q20" s="201"/>
      <c r="R20" s="201"/>
      <c r="S20" s="201"/>
      <c r="T20" s="201"/>
      <c r="U20" s="202"/>
    </row>
    <row r="21" spans="1:21" ht="15.75">
      <c r="A21" s="85"/>
      <c r="B21" s="37">
        <f t="shared" si="1"/>
        <v>8</v>
      </c>
      <c r="C21" s="107" t="s">
        <v>38</v>
      </c>
      <c r="D21" s="107"/>
      <c r="E21" s="108"/>
      <c r="F21" s="109" t="s">
        <v>80</v>
      </c>
      <c r="G21" s="110"/>
      <c r="H21" s="18" t="s">
        <v>86</v>
      </c>
      <c r="I21" s="59"/>
      <c r="J21" s="113"/>
      <c r="K21" s="113"/>
      <c r="L21" s="114"/>
      <c r="M21" s="115" t="s">
        <v>21</v>
      </c>
      <c r="N21" s="116">
        <f t="shared" si="0"/>
        <v>0</v>
      </c>
      <c r="O21" s="168"/>
      <c r="P21" s="200"/>
      <c r="Q21" s="201"/>
      <c r="R21" s="201"/>
      <c r="S21" s="201"/>
      <c r="T21" s="201"/>
      <c r="U21" s="202"/>
    </row>
    <row r="22" spans="1:21" ht="15.75">
      <c r="A22" s="85"/>
      <c r="B22" s="37">
        <f t="shared" si="1"/>
        <v>9</v>
      </c>
      <c r="C22" s="107" t="s">
        <v>39</v>
      </c>
      <c r="D22" s="107"/>
      <c r="E22" s="108"/>
      <c r="F22" s="109" t="s">
        <v>79</v>
      </c>
      <c r="G22" s="110"/>
      <c r="H22" s="18" t="s">
        <v>51</v>
      </c>
      <c r="I22" s="59"/>
      <c r="J22" s="113">
        <v>12</v>
      </c>
      <c r="K22" s="113"/>
      <c r="L22" s="114"/>
      <c r="M22" s="115" t="s">
        <v>35</v>
      </c>
      <c r="N22" s="116">
        <f t="shared" si="0"/>
        <v>12</v>
      </c>
      <c r="O22" s="168"/>
      <c r="P22" s="200"/>
      <c r="Q22" s="201"/>
      <c r="R22" s="201"/>
      <c r="S22" s="201"/>
      <c r="T22" s="201"/>
      <c r="U22" s="202"/>
    </row>
    <row r="23" spans="1:21" ht="15.75">
      <c r="A23" s="85"/>
      <c r="B23" s="37">
        <f t="shared" si="1"/>
        <v>10</v>
      </c>
      <c r="C23" s="107" t="s">
        <v>40</v>
      </c>
      <c r="D23" s="107"/>
      <c r="E23" s="108"/>
      <c r="F23" s="109" t="s">
        <v>44</v>
      </c>
      <c r="G23" s="110"/>
      <c r="H23" s="18" t="s">
        <v>51</v>
      </c>
      <c r="I23" s="59"/>
      <c r="J23" s="113">
        <v>10</v>
      </c>
      <c r="K23" s="113"/>
      <c r="L23" s="114"/>
      <c r="M23" s="115" t="s">
        <v>21</v>
      </c>
      <c r="N23" s="116">
        <f t="shared" si="0"/>
        <v>10</v>
      </c>
      <c r="O23" s="168"/>
      <c r="P23" s="200"/>
      <c r="Q23" s="201"/>
      <c r="R23" s="201"/>
      <c r="S23" s="201"/>
      <c r="T23" s="201"/>
      <c r="U23" s="202"/>
    </row>
    <row r="24" spans="1:21" ht="15.75">
      <c r="A24" s="85"/>
      <c r="B24" s="37">
        <f t="shared" si="1"/>
        <v>11</v>
      </c>
      <c r="C24" s="107" t="s">
        <v>41</v>
      </c>
      <c r="D24" s="107"/>
      <c r="E24" s="108"/>
      <c r="F24" s="109" t="s">
        <v>81</v>
      </c>
      <c r="G24" s="110"/>
      <c r="H24" s="18" t="s">
        <v>86</v>
      </c>
      <c r="I24" s="59"/>
      <c r="J24" s="113"/>
      <c r="K24" s="113"/>
      <c r="L24" s="114"/>
      <c r="M24" s="115" t="s">
        <v>21</v>
      </c>
      <c r="N24" s="116">
        <f t="shared" si="0"/>
        <v>0</v>
      </c>
      <c r="O24" s="168"/>
      <c r="P24" s="200"/>
      <c r="Q24" s="201"/>
      <c r="R24" s="201"/>
      <c r="S24" s="201"/>
      <c r="T24" s="201"/>
      <c r="U24" s="202"/>
    </row>
    <row r="25" spans="1:21" ht="15.75">
      <c r="A25" s="85"/>
      <c r="B25" s="37">
        <f t="shared" si="1"/>
        <v>12</v>
      </c>
      <c r="C25" s="80" t="s">
        <v>46</v>
      </c>
      <c r="D25" s="80"/>
      <c r="E25" s="81"/>
      <c r="F25" s="84" t="s">
        <v>71</v>
      </c>
      <c r="G25" s="17"/>
      <c r="H25" s="18" t="s">
        <v>62</v>
      </c>
      <c r="I25" s="59"/>
      <c r="J25" s="19">
        <v>8</v>
      </c>
      <c r="K25" s="19"/>
      <c r="L25" s="50" t="s">
        <v>47</v>
      </c>
      <c r="M25" s="73" t="s">
        <v>35</v>
      </c>
      <c r="N25" s="54">
        <f t="shared" si="0"/>
        <v>8</v>
      </c>
      <c r="O25" s="167">
        <v>0</v>
      </c>
      <c r="P25" s="203" t="s">
        <v>48</v>
      </c>
      <c r="Q25" s="204"/>
      <c r="R25" s="204"/>
      <c r="S25" s="204"/>
      <c r="T25" s="204"/>
      <c r="U25" s="205"/>
    </row>
    <row r="26" spans="1:21" ht="16.5" thickBot="1">
      <c r="A26" s="118"/>
      <c r="B26" s="119"/>
      <c r="C26" s="120"/>
      <c r="D26" s="120"/>
      <c r="E26" s="121"/>
      <c r="F26" s="129"/>
      <c r="G26" s="122"/>
      <c r="H26" s="147"/>
      <c r="I26" s="148"/>
      <c r="J26" s="125"/>
      <c r="K26" s="125"/>
      <c r="L26" s="126"/>
      <c r="M26" s="126"/>
      <c r="N26" s="127"/>
      <c r="O26" s="169"/>
      <c r="P26" s="197"/>
      <c r="Q26" s="198"/>
      <c r="R26" s="198"/>
      <c r="S26" s="198"/>
      <c r="T26" s="198"/>
      <c r="U26" s="199"/>
    </row>
  </sheetData>
  <mergeCells count="43">
    <mergeCell ref="O1:U1"/>
    <mergeCell ref="J2:K2"/>
    <mergeCell ref="L2:M2"/>
    <mergeCell ref="O2:U2"/>
    <mergeCell ref="J3:K3"/>
    <mergeCell ref="L3:M3"/>
    <mergeCell ref="O3:U3"/>
    <mergeCell ref="J4:K4"/>
    <mergeCell ref="L4:M4"/>
    <mergeCell ref="O4:U4"/>
    <mergeCell ref="J5:K5"/>
    <mergeCell ref="L5:M5"/>
    <mergeCell ref="O5:U5"/>
    <mergeCell ref="E10:H10"/>
    <mergeCell ref="O10:U10"/>
    <mergeCell ref="E6:H6"/>
    <mergeCell ref="K6:M6"/>
    <mergeCell ref="O6:U6"/>
    <mergeCell ref="E7:H7"/>
    <mergeCell ref="K7:M7"/>
    <mergeCell ref="O7:U7"/>
    <mergeCell ref="E8:H8"/>
    <mergeCell ref="K8:M8"/>
    <mergeCell ref="O8:U8"/>
    <mergeCell ref="E9:H9"/>
    <mergeCell ref="O9:U9"/>
    <mergeCell ref="P21:U21"/>
    <mergeCell ref="E11:H11"/>
    <mergeCell ref="O11:U11"/>
    <mergeCell ref="O12:U12"/>
    <mergeCell ref="P13:U13"/>
    <mergeCell ref="P14:U14"/>
    <mergeCell ref="P15:U15"/>
    <mergeCell ref="P16:U16"/>
    <mergeCell ref="P17:U17"/>
    <mergeCell ref="P18:U18"/>
    <mergeCell ref="P19:U19"/>
    <mergeCell ref="P20:U20"/>
    <mergeCell ref="P22:U22"/>
    <mergeCell ref="P23:U23"/>
    <mergeCell ref="P24:U24"/>
    <mergeCell ref="P25:U25"/>
    <mergeCell ref="P26:U26"/>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8129"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48130"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48131"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48132"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48133"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48134"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539F9115-1D03-4125-8968-A65C4234000D}">
            <xm:f>(AND(H14&lt;&gt;"",ISERROR(VLOOKUP(H14,system!$E:$E,1,FALSE))))</xm:f>
            <x14:dxf>
              <fill>
                <patternFill patternType="solid">
                  <bgColor rgb="FFFF0000"/>
                </patternFill>
              </fill>
            </x14:dxf>
          </x14:cfRule>
          <xm:sqref>H14:H18</xm:sqref>
        </x14:conditionalFormatting>
        <x14:conditionalFormatting xmlns:xm="http://schemas.microsoft.com/office/excel/2006/main">
          <x14:cfRule type="expression" priority="3" id="{E37A5D0D-95E0-46DF-9A61-EB9842FB66DC}">
            <xm:f>(AND(H14&lt;&gt;"",ISERROR(VLOOKUP(H14,system!$E:$E,1,FALSE))))</xm:f>
            <x14:dxf>
              <fill>
                <patternFill>
                  <bgColor rgb="FFFF0000"/>
                </patternFill>
              </fill>
            </x14:dxf>
          </x14:cfRule>
          <xm:sqref>I14:I18</xm:sqref>
        </x14:conditionalFormatting>
        <x14:conditionalFormatting xmlns:xm="http://schemas.microsoft.com/office/excel/2006/main">
          <x14:cfRule type="expression" priority="2" id="{AD97052F-A484-4EEC-9872-3A4A5E9F1516}">
            <xm:f>(AND(H19&lt;&gt;"",ISERROR(VLOOKUP(H19,system!$E:$E,1,FALSE))))</xm:f>
            <x14:dxf>
              <fill>
                <patternFill patternType="solid">
                  <bgColor rgb="FFFF0000"/>
                </patternFill>
              </fill>
            </x14:dxf>
          </x14:cfRule>
          <xm:sqref>H19:H26</xm:sqref>
        </x14:conditionalFormatting>
        <x14:conditionalFormatting xmlns:xm="http://schemas.microsoft.com/office/excel/2006/main">
          <x14:cfRule type="expression" priority="1" id="{33A338FA-7C05-4EA8-B2D0-A51ED14757CB}">
            <xm:f>(AND(H19&lt;&gt;"",ISERROR(VLOOKUP(H19,system!$E:$E,1,FALSE))))</xm:f>
            <x14:dxf>
              <fill>
                <patternFill>
                  <bgColor rgb="FFFF0000"/>
                </patternFill>
              </fill>
            </x14:dxf>
          </x14:cfRule>
          <xm:sqref>I19:I26</xm:sqref>
        </x14:conditionalFormatting>
      </x14:conditionalFormatting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A1:U37"/>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7" t="s">
        <v>27</v>
      </c>
      <c r="P1" s="248"/>
      <c r="Q1" s="248"/>
      <c r="R1" s="248"/>
      <c r="S1" s="248"/>
      <c r="T1" s="248"/>
      <c r="U1" s="249"/>
    </row>
    <row r="2" spans="1:21" ht="14.45" customHeight="1">
      <c r="A2" s="39"/>
      <c r="B2" s="100" t="s">
        <v>64</v>
      </c>
      <c r="C2" s="5"/>
      <c r="D2" s="5"/>
      <c r="E2" s="5"/>
      <c r="F2" s="5"/>
      <c r="G2" s="6"/>
      <c r="H2" s="7"/>
      <c r="I2" s="8"/>
      <c r="J2" s="250"/>
      <c r="K2" s="251"/>
      <c r="L2" s="250"/>
      <c r="M2" s="251"/>
      <c r="N2" s="52"/>
      <c r="O2" s="252" t="s">
        <v>848</v>
      </c>
      <c r="P2" s="253"/>
      <c r="Q2" s="253"/>
      <c r="R2" s="253"/>
      <c r="S2" s="253"/>
      <c r="T2" s="253"/>
      <c r="U2" s="254"/>
    </row>
    <row r="3" spans="1:21" ht="14.25" customHeight="1">
      <c r="A3" s="40"/>
      <c r="B3" s="35"/>
      <c r="C3" s="5"/>
      <c r="D3" s="5"/>
      <c r="E3" s="5"/>
      <c r="F3" s="5"/>
      <c r="G3" s="9"/>
      <c r="H3" s="10"/>
      <c r="I3" s="176" t="s">
        <v>1032</v>
      </c>
      <c r="J3" s="255" t="s">
        <v>1032</v>
      </c>
      <c r="K3" s="256"/>
      <c r="L3" s="255" t="s">
        <v>1032</v>
      </c>
      <c r="M3" s="256"/>
      <c r="N3" s="52"/>
      <c r="O3" s="257"/>
      <c r="P3" s="258"/>
      <c r="Q3" s="258"/>
      <c r="R3" s="258"/>
      <c r="S3" s="258"/>
      <c r="T3" s="258"/>
      <c r="U3" s="259"/>
    </row>
    <row r="4" spans="1:21" ht="14.45" customHeight="1">
      <c r="A4" s="41"/>
      <c r="B4" s="36" t="s">
        <v>3</v>
      </c>
      <c r="C4" s="5"/>
      <c r="D4" s="5"/>
      <c r="E4" s="5"/>
      <c r="F4" s="5"/>
      <c r="G4" s="6"/>
      <c r="H4" s="10"/>
      <c r="I4" s="177" t="s">
        <v>1035</v>
      </c>
      <c r="J4" s="240" t="s">
        <v>1034</v>
      </c>
      <c r="K4" s="241"/>
      <c r="L4" s="240" t="s">
        <v>1033</v>
      </c>
      <c r="M4" s="241"/>
      <c r="N4" s="52"/>
      <c r="O4" s="210"/>
      <c r="P4" s="211"/>
      <c r="Q4" s="211"/>
      <c r="R4" s="211"/>
      <c r="S4" s="211"/>
      <c r="T4" s="211"/>
      <c r="U4" s="212"/>
    </row>
    <row r="5" spans="1:21" ht="14.45" customHeight="1" thickBot="1">
      <c r="A5" s="42"/>
      <c r="B5" s="11"/>
      <c r="C5" s="11"/>
      <c r="D5" s="11"/>
      <c r="E5" s="11"/>
      <c r="F5" s="11"/>
      <c r="G5" s="12"/>
      <c r="H5" s="13"/>
      <c r="I5" s="14"/>
      <c r="J5" s="242"/>
      <c r="K5" s="243"/>
      <c r="L5" s="244"/>
      <c r="M5" s="245"/>
      <c r="N5" s="53"/>
      <c r="O5" s="246"/>
      <c r="P5" s="211"/>
      <c r="Q5" s="211"/>
      <c r="R5" s="211"/>
      <c r="S5" s="211"/>
      <c r="T5" s="211"/>
      <c r="U5" s="212"/>
    </row>
    <row r="6" spans="1:21" ht="14.45" customHeight="1">
      <c r="A6" s="43"/>
      <c r="B6" s="101" t="s">
        <v>4</v>
      </c>
      <c r="C6" s="20"/>
      <c r="D6" s="21"/>
      <c r="E6" s="222" t="s">
        <v>65</v>
      </c>
      <c r="F6" s="223"/>
      <c r="G6" s="223"/>
      <c r="H6" s="224"/>
      <c r="I6" s="60" t="s">
        <v>26</v>
      </c>
      <c r="J6" s="26"/>
      <c r="K6" s="225" t="s">
        <v>33</v>
      </c>
      <c r="L6" s="226"/>
      <c r="M6" s="227"/>
      <c r="N6" s="91" t="s">
        <v>5</v>
      </c>
      <c r="O6" s="210"/>
      <c r="P6" s="211"/>
      <c r="Q6" s="211"/>
      <c r="R6" s="211"/>
      <c r="S6" s="211"/>
      <c r="T6" s="211"/>
      <c r="U6" s="212"/>
    </row>
    <row r="7" spans="1:21" ht="15.75" customHeight="1">
      <c r="A7" s="44"/>
      <c r="B7" s="102" t="s">
        <v>6</v>
      </c>
      <c r="C7" s="22"/>
      <c r="D7" s="23"/>
      <c r="E7" s="228" t="s">
        <v>167</v>
      </c>
      <c r="F7" s="229"/>
      <c r="G7" s="229"/>
      <c r="H7" s="230"/>
      <c r="I7" s="61" t="s">
        <v>28</v>
      </c>
      <c r="J7" s="27"/>
      <c r="K7" s="231" t="s">
        <v>34</v>
      </c>
      <c r="L7" s="232"/>
      <c r="M7" s="233"/>
      <c r="N7" s="92">
        <f>COUNTIF(H14:H14,"LONG")+COUNTIF(H14:H14,"LONG RAW")</f>
        <v>0</v>
      </c>
      <c r="O7" s="210"/>
      <c r="P7" s="211"/>
      <c r="Q7" s="211"/>
      <c r="R7" s="211"/>
      <c r="S7" s="211"/>
      <c r="T7" s="211"/>
      <c r="U7" s="212"/>
    </row>
    <row r="8" spans="1:21" ht="14.45" customHeight="1">
      <c r="A8" s="45"/>
      <c r="B8" s="22" t="s">
        <v>7</v>
      </c>
      <c r="C8" s="22"/>
      <c r="D8" s="23"/>
      <c r="E8" s="228" t="s">
        <v>845</v>
      </c>
      <c r="F8" s="229"/>
      <c r="G8" s="229"/>
      <c r="H8" s="230"/>
      <c r="I8" s="62"/>
      <c r="J8" s="27"/>
      <c r="K8" s="234"/>
      <c r="L8" s="235"/>
      <c r="M8" s="236"/>
      <c r="N8" s="92"/>
      <c r="O8" s="210"/>
      <c r="P8" s="211"/>
      <c r="Q8" s="211"/>
      <c r="R8" s="211"/>
      <c r="S8" s="211"/>
      <c r="T8" s="211"/>
      <c r="U8" s="212"/>
    </row>
    <row r="9" spans="1:21" ht="14.45" customHeight="1">
      <c r="A9" s="45"/>
      <c r="B9" s="22" t="s">
        <v>8</v>
      </c>
      <c r="C9" s="22"/>
      <c r="D9" s="23"/>
      <c r="E9" s="237" t="s">
        <v>68</v>
      </c>
      <c r="F9" s="238"/>
      <c r="G9" s="238"/>
      <c r="H9" s="239"/>
      <c r="I9" s="61" t="s">
        <v>9</v>
      </c>
      <c r="J9" s="27"/>
      <c r="K9" s="86"/>
      <c r="L9" s="88">
        <f>SUM(N14:N38)</f>
        <v>164</v>
      </c>
      <c r="M9" s="82"/>
      <c r="N9" s="93">
        <f>SUMIF(M14:M14,"■",N14:N14)</f>
        <v>0</v>
      </c>
      <c r="O9" s="210"/>
      <c r="P9" s="211"/>
      <c r="Q9" s="211"/>
      <c r="R9" s="211"/>
      <c r="S9" s="211"/>
      <c r="T9" s="211"/>
      <c r="U9" s="212"/>
    </row>
    <row r="10" spans="1:21" ht="14.45" customHeight="1">
      <c r="A10" s="45"/>
      <c r="B10" s="22" t="s">
        <v>10</v>
      </c>
      <c r="C10" s="22"/>
      <c r="D10" s="23"/>
      <c r="E10" s="219" t="s">
        <v>68</v>
      </c>
      <c r="F10" s="220"/>
      <c r="G10" s="220"/>
      <c r="H10" s="221"/>
      <c r="I10" s="61" t="s">
        <v>11</v>
      </c>
      <c r="J10" s="27"/>
      <c r="K10" s="86"/>
      <c r="L10" s="89">
        <f>E11*L9/1000</f>
        <v>0</v>
      </c>
      <c r="M10" s="82"/>
      <c r="N10" s="55"/>
      <c r="O10" s="210"/>
      <c r="P10" s="211"/>
      <c r="Q10" s="211"/>
      <c r="R10" s="211"/>
      <c r="S10" s="211"/>
      <c r="T10" s="211"/>
      <c r="U10" s="212"/>
    </row>
    <row r="11" spans="1:21" ht="17.25" customHeight="1" thickBot="1">
      <c r="A11" s="46"/>
      <c r="B11" s="24" t="s">
        <v>29</v>
      </c>
      <c r="C11" s="24"/>
      <c r="D11" s="25"/>
      <c r="E11" s="207"/>
      <c r="F11" s="208"/>
      <c r="G11" s="208"/>
      <c r="H11" s="209"/>
      <c r="I11" s="103" t="s">
        <v>12</v>
      </c>
      <c r="J11" s="104"/>
      <c r="K11" s="87"/>
      <c r="L11" s="90"/>
      <c r="M11" s="83"/>
      <c r="N11" s="56"/>
      <c r="O11" s="210"/>
      <c r="P11" s="211"/>
      <c r="Q11" s="211"/>
      <c r="R11" s="211"/>
      <c r="S11" s="211"/>
      <c r="T11" s="211"/>
      <c r="U11" s="212"/>
    </row>
    <row r="12" spans="1:21" ht="15.75" customHeight="1" thickBot="1">
      <c r="A12" s="64"/>
      <c r="B12" s="65"/>
      <c r="C12" s="30"/>
      <c r="D12" s="30"/>
      <c r="E12" s="31"/>
      <c r="F12" s="32"/>
      <c r="G12" s="29"/>
      <c r="H12" s="28"/>
      <c r="I12" s="29"/>
      <c r="J12" s="30" t="s">
        <v>13</v>
      </c>
      <c r="K12" s="31"/>
      <c r="L12" s="66"/>
      <c r="M12" s="48"/>
      <c r="N12" s="57">
        <f>COUNTA(H14:H14)</f>
        <v>1</v>
      </c>
      <c r="O12" s="213"/>
      <c r="P12" s="214"/>
      <c r="Q12" s="214"/>
      <c r="R12" s="214"/>
      <c r="S12" s="214"/>
      <c r="T12" s="214"/>
      <c r="U12" s="21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16" t="s">
        <v>32</v>
      </c>
      <c r="Q13" s="217"/>
      <c r="R13" s="217"/>
      <c r="S13" s="217"/>
      <c r="T13" s="217"/>
      <c r="U13" s="218"/>
    </row>
    <row r="14" spans="1:21" ht="15.75" customHeight="1">
      <c r="A14" s="85" t="s">
        <v>188</v>
      </c>
      <c r="B14" s="37">
        <f t="shared" ref="B14:B29" si="0">ROW()-13</f>
        <v>1</v>
      </c>
      <c r="C14" s="145" t="s">
        <v>195</v>
      </c>
      <c r="D14" s="80"/>
      <c r="E14" s="81"/>
      <c r="F14" s="146" t="s">
        <v>1058</v>
      </c>
      <c r="G14" s="17"/>
      <c r="H14" s="18" t="s">
        <v>49</v>
      </c>
      <c r="I14" s="59"/>
      <c r="J14" s="19">
        <v>1</v>
      </c>
      <c r="K14" s="19"/>
      <c r="L14" s="50" t="s">
        <v>187</v>
      </c>
      <c r="M14" s="73" t="s">
        <v>21</v>
      </c>
      <c r="N14" s="54">
        <f t="shared" ref="N14:N36" si="1">IF(H14="NUMBER",IF(J14&gt;0,INT((J14+1)/2+0.9),0),IF(H14="DATE",7,IF(OR(H14="LONG",H14="LONG RAW"),100000,J14)))</f>
        <v>1</v>
      </c>
      <c r="O14" s="167"/>
      <c r="P14" s="203" t="s">
        <v>849</v>
      </c>
      <c r="Q14" s="204"/>
      <c r="R14" s="204"/>
      <c r="S14" s="204"/>
      <c r="T14" s="204"/>
      <c r="U14" s="205"/>
    </row>
    <row r="15" spans="1:21" ht="15.75" customHeight="1">
      <c r="A15" s="85" t="s">
        <v>188</v>
      </c>
      <c r="B15" s="37">
        <f t="shared" si="0"/>
        <v>2</v>
      </c>
      <c r="C15" s="145" t="s">
        <v>196</v>
      </c>
      <c r="D15" s="80"/>
      <c r="E15" s="81"/>
      <c r="F15" s="146" t="s">
        <v>197</v>
      </c>
      <c r="G15" s="17"/>
      <c r="H15" s="18" t="s">
        <v>51</v>
      </c>
      <c r="I15" s="59"/>
      <c r="J15" s="19">
        <v>25</v>
      </c>
      <c r="K15" s="19"/>
      <c r="L15" s="50" t="s">
        <v>187</v>
      </c>
      <c r="M15" s="73" t="s">
        <v>21</v>
      </c>
      <c r="N15" s="54">
        <f t="shared" si="1"/>
        <v>25</v>
      </c>
      <c r="O15" s="167"/>
      <c r="P15" s="203" t="s">
        <v>849</v>
      </c>
      <c r="Q15" s="204"/>
      <c r="R15" s="204"/>
      <c r="S15" s="204"/>
      <c r="T15" s="204"/>
      <c r="U15" s="205"/>
    </row>
    <row r="16" spans="1:21" ht="15.75" customHeight="1">
      <c r="A16" s="85" t="s">
        <v>188</v>
      </c>
      <c r="B16" s="37">
        <f t="shared" si="0"/>
        <v>3</v>
      </c>
      <c r="C16" s="145" t="s">
        <v>198</v>
      </c>
      <c r="D16" s="80"/>
      <c r="E16" s="81"/>
      <c r="F16" s="146" t="s">
        <v>199</v>
      </c>
      <c r="G16" s="17"/>
      <c r="H16" s="18" t="s">
        <v>51</v>
      </c>
      <c r="I16" s="59"/>
      <c r="J16" s="19">
        <v>4</v>
      </c>
      <c r="K16" s="19"/>
      <c r="L16" s="50" t="s">
        <v>187</v>
      </c>
      <c r="M16" s="73" t="s">
        <v>21</v>
      </c>
      <c r="N16" s="54">
        <f t="shared" si="1"/>
        <v>4</v>
      </c>
      <c r="O16" s="167"/>
      <c r="P16" s="203" t="s">
        <v>849</v>
      </c>
      <c r="Q16" s="204"/>
      <c r="R16" s="204"/>
      <c r="S16" s="204"/>
      <c r="T16" s="204"/>
      <c r="U16" s="205"/>
    </row>
    <row r="17" spans="1:21" ht="86.25" customHeight="1">
      <c r="A17" s="85" t="s">
        <v>188</v>
      </c>
      <c r="B17" s="37">
        <f t="shared" si="0"/>
        <v>4</v>
      </c>
      <c r="C17" s="145" t="s">
        <v>201</v>
      </c>
      <c r="D17" s="80"/>
      <c r="E17" s="81"/>
      <c r="F17" s="146" t="s">
        <v>202</v>
      </c>
      <c r="G17" s="17"/>
      <c r="H17" s="18" t="s">
        <v>49</v>
      </c>
      <c r="I17" s="59"/>
      <c r="J17" s="19">
        <v>1</v>
      </c>
      <c r="K17" s="19"/>
      <c r="L17" s="50" t="s">
        <v>187</v>
      </c>
      <c r="M17" s="73" t="s">
        <v>21</v>
      </c>
      <c r="N17" s="54">
        <f t="shared" si="1"/>
        <v>1</v>
      </c>
      <c r="O17" s="167"/>
      <c r="P17" s="206" t="s">
        <v>850</v>
      </c>
      <c r="Q17" s="204"/>
      <c r="R17" s="204"/>
      <c r="S17" s="204"/>
      <c r="T17" s="204"/>
      <c r="U17" s="205"/>
    </row>
    <row r="18" spans="1:21" ht="39.200000000000003" customHeight="1">
      <c r="A18" s="85" t="s">
        <v>188</v>
      </c>
      <c r="B18" s="37">
        <f t="shared" si="0"/>
        <v>5</v>
      </c>
      <c r="C18" s="145" t="s">
        <v>204</v>
      </c>
      <c r="D18" s="80"/>
      <c r="E18" s="81"/>
      <c r="F18" s="146" t="s">
        <v>205</v>
      </c>
      <c r="G18" s="17"/>
      <c r="H18" s="18" t="s">
        <v>49</v>
      </c>
      <c r="I18" s="59"/>
      <c r="J18" s="19">
        <v>1</v>
      </c>
      <c r="K18" s="19"/>
      <c r="L18" s="50" t="s">
        <v>187</v>
      </c>
      <c r="M18" s="73" t="s">
        <v>21</v>
      </c>
      <c r="N18" s="54">
        <f t="shared" si="1"/>
        <v>1</v>
      </c>
      <c r="O18" s="167"/>
      <c r="P18" s="206" t="s">
        <v>851</v>
      </c>
      <c r="Q18" s="204"/>
      <c r="R18" s="204"/>
      <c r="S18" s="204"/>
      <c r="T18" s="204"/>
      <c r="U18" s="205"/>
    </row>
    <row r="19" spans="1:21" ht="15.75" customHeight="1">
      <c r="A19" s="85" t="s">
        <v>188</v>
      </c>
      <c r="B19" s="37">
        <f t="shared" si="0"/>
        <v>6</v>
      </c>
      <c r="C19" s="145" t="s">
        <v>191</v>
      </c>
      <c r="D19" s="80"/>
      <c r="E19" s="81"/>
      <c r="F19" s="146" t="s">
        <v>192</v>
      </c>
      <c r="G19" s="17"/>
      <c r="H19" s="18" t="s">
        <v>51</v>
      </c>
      <c r="I19" s="59"/>
      <c r="J19" s="19">
        <v>3</v>
      </c>
      <c r="K19" s="19"/>
      <c r="L19" s="50" t="s">
        <v>187</v>
      </c>
      <c r="M19" s="73" t="s">
        <v>21</v>
      </c>
      <c r="N19" s="54">
        <f t="shared" si="1"/>
        <v>3</v>
      </c>
      <c r="O19" s="167"/>
      <c r="P19" s="203" t="s">
        <v>165</v>
      </c>
      <c r="Q19" s="204"/>
      <c r="R19" s="204"/>
      <c r="S19" s="204"/>
      <c r="T19" s="204"/>
      <c r="U19" s="205"/>
    </row>
    <row r="20" spans="1:21" ht="15.75" customHeight="1">
      <c r="A20" s="85" t="s">
        <v>188</v>
      </c>
      <c r="B20" s="37">
        <f t="shared" si="0"/>
        <v>7</v>
      </c>
      <c r="C20" s="145" t="s">
        <v>377</v>
      </c>
      <c r="D20" s="80"/>
      <c r="E20" s="81"/>
      <c r="F20" s="146" t="s">
        <v>378</v>
      </c>
      <c r="G20" s="17"/>
      <c r="H20" s="18" t="s">
        <v>51</v>
      </c>
      <c r="I20" s="59"/>
      <c r="J20" s="19">
        <v>10</v>
      </c>
      <c r="K20" s="19"/>
      <c r="L20" s="50" t="s">
        <v>187</v>
      </c>
      <c r="M20" s="73" t="s">
        <v>21</v>
      </c>
      <c r="N20" s="54">
        <f t="shared" si="1"/>
        <v>10</v>
      </c>
      <c r="O20" s="167"/>
      <c r="P20" s="203" t="s">
        <v>165</v>
      </c>
      <c r="Q20" s="204"/>
      <c r="R20" s="204"/>
      <c r="S20" s="204"/>
      <c r="T20" s="204"/>
      <c r="U20" s="205"/>
    </row>
    <row r="21" spans="1:21" ht="15.75" customHeight="1">
      <c r="A21" s="85"/>
      <c r="B21" s="37">
        <f t="shared" si="0"/>
        <v>8</v>
      </c>
      <c r="C21" s="145" t="s">
        <v>852</v>
      </c>
      <c r="D21" s="80"/>
      <c r="E21" s="81"/>
      <c r="F21" s="146" t="s">
        <v>853</v>
      </c>
      <c r="G21" s="17"/>
      <c r="H21" s="18" t="s">
        <v>51</v>
      </c>
      <c r="I21" s="59"/>
      <c r="J21" s="19">
        <v>2</v>
      </c>
      <c r="K21" s="19"/>
      <c r="L21" s="50" t="s">
        <v>187</v>
      </c>
      <c r="M21" s="73" t="s">
        <v>21</v>
      </c>
      <c r="N21" s="54">
        <f t="shared" si="1"/>
        <v>2</v>
      </c>
      <c r="O21" s="167"/>
      <c r="P21" s="203" t="s">
        <v>165</v>
      </c>
      <c r="Q21" s="204"/>
      <c r="R21" s="204"/>
      <c r="S21" s="204"/>
      <c r="T21" s="204"/>
      <c r="U21" s="205"/>
    </row>
    <row r="22" spans="1:21" ht="15.75" customHeight="1">
      <c r="A22" s="85"/>
      <c r="B22" s="37">
        <f t="shared" si="0"/>
        <v>9</v>
      </c>
      <c r="C22" s="145" t="s">
        <v>854</v>
      </c>
      <c r="D22" s="80"/>
      <c r="E22" s="81"/>
      <c r="F22" s="146" t="s">
        <v>855</v>
      </c>
      <c r="G22" s="17"/>
      <c r="H22" s="18" t="s">
        <v>51</v>
      </c>
      <c r="I22" s="59"/>
      <c r="J22" s="19">
        <v>10</v>
      </c>
      <c r="K22" s="19"/>
      <c r="L22" s="50" t="s">
        <v>187</v>
      </c>
      <c r="M22" s="73" t="s">
        <v>21</v>
      </c>
      <c r="N22" s="54">
        <f t="shared" si="1"/>
        <v>10</v>
      </c>
      <c r="O22" s="167"/>
      <c r="P22" s="203" t="s">
        <v>165</v>
      </c>
      <c r="Q22" s="204"/>
      <c r="R22" s="204"/>
      <c r="S22" s="204"/>
      <c r="T22" s="204"/>
      <c r="U22" s="205"/>
    </row>
    <row r="23" spans="1:21" ht="15.75" customHeight="1">
      <c r="A23" s="85"/>
      <c r="B23" s="37">
        <f t="shared" si="0"/>
        <v>10</v>
      </c>
      <c r="C23" s="145" t="s">
        <v>856</v>
      </c>
      <c r="D23" s="80"/>
      <c r="E23" s="81"/>
      <c r="F23" s="146" t="s">
        <v>857</v>
      </c>
      <c r="G23" s="17"/>
      <c r="H23" s="18" t="s">
        <v>49</v>
      </c>
      <c r="I23" s="59"/>
      <c r="J23" s="19">
        <v>1</v>
      </c>
      <c r="K23" s="19"/>
      <c r="L23" s="50" t="s">
        <v>187</v>
      </c>
      <c r="M23" s="73" t="s">
        <v>21</v>
      </c>
      <c r="N23" s="54">
        <f t="shared" si="1"/>
        <v>1</v>
      </c>
      <c r="O23" s="167"/>
      <c r="P23" s="203"/>
      <c r="Q23" s="204"/>
      <c r="R23" s="204"/>
      <c r="S23" s="204"/>
      <c r="T23" s="204"/>
      <c r="U23" s="205"/>
    </row>
    <row r="24" spans="1:21" ht="15.75" customHeight="1">
      <c r="A24" s="85"/>
      <c r="B24" s="37">
        <f t="shared" si="0"/>
        <v>11</v>
      </c>
      <c r="C24" s="145" t="s">
        <v>858</v>
      </c>
      <c r="D24" s="80"/>
      <c r="E24" s="81"/>
      <c r="F24" s="146" t="s">
        <v>859</v>
      </c>
      <c r="G24" s="17"/>
      <c r="H24" s="18" t="s">
        <v>49</v>
      </c>
      <c r="I24" s="59"/>
      <c r="J24" s="19">
        <v>1</v>
      </c>
      <c r="K24" s="19"/>
      <c r="L24" s="50" t="s">
        <v>187</v>
      </c>
      <c r="M24" s="73" t="s">
        <v>21</v>
      </c>
      <c r="N24" s="54">
        <f t="shared" si="1"/>
        <v>1</v>
      </c>
      <c r="O24" s="167"/>
      <c r="P24" s="203"/>
      <c r="Q24" s="204"/>
      <c r="R24" s="204"/>
      <c r="S24" s="204"/>
      <c r="T24" s="204"/>
      <c r="U24" s="205"/>
    </row>
    <row r="25" spans="1:21" ht="27.6" customHeight="1">
      <c r="A25" s="85"/>
      <c r="B25" s="37">
        <f t="shared" si="0"/>
        <v>12</v>
      </c>
      <c r="C25" s="145" t="s">
        <v>860</v>
      </c>
      <c r="D25" s="80"/>
      <c r="E25" s="81"/>
      <c r="F25" s="146" t="s">
        <v>861</v>
      </c>
      <c r="G25" s="17"/>
      <c r="H25" s="18" t="s">
        <v>49</v>
      </c>
      <c r="I25" s="59"/>
      <c r="J25" s="19">
        <v>1</v>
      </c>
      <c r="K25" s="19"/>
      <c r="L25" s="50"/>
      <c r="M25" s="73" t="s">
        <v>21</v>
      </c>
      <c r="N25" s="54">
        <f t="shared" si="1"/>
        <v>1</v>
      </c>
      <c r="O25" s="167"/>
      <c r="P25" s="206" t="s">
        <v>862</v>
      </c>
      <c r="Q25" s="204"/>
      <c r="R25" s="204"/>
      <c r="S25" s="204"/>
      <c r="T25" s="204"/>
      <c r="U25" s="205"/>
    </row>
    <row r="26" spans="1:21" ht="39.200000000000003" customHeight="1">
      <c r="A26" s="85"/>
      <c r="B26" s="37">
        <f t="shared" si="0"/>
        <v>13</v>
      </c>
      <c r="C26" s="145" t="s">
        <v>863</v>
      </c>
      <c r="D26" s="80"/>
      <c r="E26" s="81"/>
      <c r="F26" s="146" t="s">
        <v>864</v>
      </c>
      <c r="G26" s="17"/>
      <c r="H26" s="18" t="s">
        <v>49</v>
      </c>
      <c r="I26" s="59"/>
      <c r="J26" s="19">
        <v>1</v>
      </c>
      <c r="K26" s="19"/>
      <c r="L26" s="50"/>
      <c r="M26" s="73" t="s">
        <v>21</v>
      </c>
      <c r="N26" s="54">
        <f t="shared" si="1"/>
        <v>1</v>
      </c>
      <c r="O26" s="167"/>
      <c r="P26" s="206" t="s">
        <v>865</v>
      </c>
      <c r="Q26" s="204"/>
      <c r="R26" s="204"/>
      <c r="S26" s="204"/>
      <c r="T26" s="204"/>
      <c r="U26" s="205"/>
    </row>
    <row r="27" spans="1:21" ht="39.200000000000003" customHeight="1">
      <c r="A27" s="85"/>
      <c r="B27" s="37">
        <f t="shared" si="0"/>
        <v>14</v>
      </c>
      <c r="C27" s="145" t="s">
        <v>866</v>
      </c>
      <c r="D27" s="80"/>
      <c r="E27" s="81"/>
      <c r="F27" s="146" t="s">
        <v>867</v>
      </c>
      <c r="G27" s="17"/>
      <c r="H27" s="18" t="s">
        <v>49</v>
      </c>
      <c r="I27" s="59"/>
      <c r="J27" s="19">
        <v>1</v>
      </c>
      <c r="K27" s="19"/>
      <c r="L27" s="50"/>
      <c r="M27" s="73" t="s">
        <v>21</v>
      </c>
      <c r="N27" s="54">
        <f t="shared" si="1"/>
        <v>1</v>
      </c>
      <c r="O27" s="167"/>
      <c r="P27" s="206" t="s">
        <v>868</v>
      </c>
      <c r="Q27" s="204"/>
      <c r="R27" s="204"/>
      <c r="S27" s="204"/>
      <c r="T27" s="204"/>
      <c r="U27" s="205"/>
    </row>
    <row r="28" spans="1:21" ht="27.6" customHeight="1">
      <c r="A28" s="85"/>
      <c r="B28" s="37">
        <f t="shared" si="0"/>
        <v>15</v>
      </c>
      <c r="C28" s="145" t="s">
        <v>869</v>
      </c>
      <c r="D28" s="80"/>
      <c r="E28" s="81"/>
      <c r="F28" s="146" t="s">
        <v>870</v>
      </c>
      <c r="G28" s="17"/>
      <c r="H28" s="18" t="s">
        <v>209</v>
      </c>
      <c r="I28" s="59"/>
      <c r="J28" s="19"/>
      <c r="K28" s="19"/>
      <c r="L28" s="50"/>
      <c r="M28" s="73" t="s">
        <v>21</v>
      </c>
      <c r="N28" s="54">
        <f t="shared" si="1"/>
        <v>0</v>
      </c>
      <c r="O28" s="167"/>
      <c r="P28" s="206" t="s">
        <v>871</v>
      </c>
      <c r="Q28" s="204"/>
      <c r="R28" s="204"/>
      <c r="S28" s="204"/>
      <c r="T28" s="204"/>
      <c r="U28" s="205"/>
    </row>
    <row r="29" spans="1:21" ht="15.75" customHeight="1">
      <c r="A29" s="85"/>
      <c r="B29" s="37">
        <f t="shared" si="0"/>
        <v>16</v>
      </c>
      <c r="C29" s="145" t="s">
        <v>293</v>
      </c>
      <c r="D29" s="80"/>
      <c r="E29" s="81"/>
      <c r="F29" s="146" t="s">
        <v>294</v>
      </c>
      <c r="G29" s="17"/>
      <c r="H29" s="18" t="s">
        <v>51</v>
      </c>
      <c r="I29" s="59"/>
      <c r="J29" s="19">
        <v>50</v>
      </c>
      <c r="K29" s="19"/>
      <c r="L29" s="50"/>
      <c r="M29" s="73" t="s">
        <v>21</v>
      </c>
      <c r="N29" s="54">
        <f t="shared" si="1"/>
        <v>50</v>
      </c>
      <c r="O29" s="167"/>
      <c r="P29" s="203"/>
      <c r="Q29" s="204"/>
      <c r="R29" s="204"/>
      <c r="S29" s="204"/>
      <c r="T29" s="204"/>
      <c r="U29" s="205"/>
    </row>
    <row r="30" spans="1:21" ht="15.75">
      <c r="A30" s="85"/>
      <c r="B30" s="37">
        <f t="shared" ref="B30:B36" si="2">ROW()-13</f>
        <v>17</v>
      </c>
      <c r="C30" s="107" t="s">
        <v>36</v>
      </c>
      <c r="D30" s="107"/>
      <c r="E30" s="108"/>
      <c r="F30" s="109" t="s">
        <v>78</v>
      </c>
      <c r="G30" s="110"/>
      <c r="H30" s="18" t="s">
        <v>51</v>
      </c>
      <c r="I30" s="59"/>
      <c r="J30" s="113">
        <v>12</v>
      </c>
      <c r="K30" s="113"/>
      <c r="L30" s="114"/>
      <c r="M30" s="115" t="s">
        <v>35</v>
      </c>
      <c r="N30" s="116">
        <f t="shared" si="1"/>
        <v>12</v>
      </c>
      <c r="O30" s="168"/>
      <c r="P30" s="200"/>
      <c r="Q30" s="201"/>
      <c r="R30" s="201"/>
      <c r="S30" s="201"/>
      <c r="T30" s="201"/>
      <c r="U30" s="202"/>
    </row>
    <row r="31" spans="1:21" ht="15.75">
      <c r="A31" s="85"/>
      <c r="B31" s="37">
        <f t="shared" si="2"/>
        <v>18</v>
      </c>
      <c r="C31" s="107" t="s">
        <v>37</v>
      </c>
      <c r="D31" s="107"/>
      <c r="E31" s="108"/>
      <c r="F31" s="109" t="s">
        <v>43</v>
      </c>
      <c r="G31" s="110"/>
      <c r="H31" s="18" t="s">
        <v>51</v>
      </c>
      <c r="I31" s="59"/>
      <c r="J31" s="113">
        <v>10</v>
      </c>
      <c r="K31" s="113"/>
      <c r="L31" s="114"/>
      <c r="M31" s="115" t="s">
        <v>21</v>
      </c>
      <c r="N31" s="116">
        <f t="shared" si="1"/>
        <v>10</v>
      </c>
      <c r="O31" s="168"/>
      <c r="P31" s="200"/>
      <c r="Q31" s="201"/>
      <c r="R31" s="201"/>
      <c r="S31" s="201"/>
      <c r="T31" s="201"/>
      <c r="U31" s="202"/>
    </row>
    <row r="32" spans="1:21" ht="15.75">
      <c r="A32" s="85"/>
      <c r="B32" s="37">
        <f t="shared" si="2"/>
        <v>19</v>
      </c>
      <c r="C32" s="107" t="s">
        <v>38</v>
      </c>
      <c r="D32" s="107"/>
      <c r="E32" s="108"/>
      <c r="F32" s="109" t="s">
        <v>80</v>
      </c>
      <c r="G32" s="110"/>
      <c r="H32" s="18" t="s">
        <v>86</v>
      </c>
      <c r="I32" s="59"/>
      <c r="J32" s="113"/>
      <c r="K32" s="113"/>
      <c r="L32" s="114"/>
      <c r="M32" s="115" t="s">
        <v>21</v>
      </c>
      <c r="N32" s="116">
        <f t="shared" si="1"/>
        <v>0</v>
      </c>
      <c r="O32" s="168"/>
      <c r="P32" s="200"/>
      <c r="Q32" s="201"/>
      <c r="R32" s="201"/>
      <c r="S32" s="201"/>
      <c r="T32" s="201"/>
      <c r="U32" s="202"/>
    </row>
    <row r="33" spans="1:21" ht="15.75">
      <c r="A33" s="85"/>
      <c r="B33" s="37">
        <f t="shared" si="2"/>
        <v>20</v>
      </c>
      <c r="C33" s="107" t="s">
        <v>39</v>
      </c>
      <c r="D33" s="107"/>
      <c r="E33" s="108"/>
      <c r="F33" s="109" t="s">
        <v>79</v>
      </c>
      <c r="G33" s="110"/>
      <c r="H33" s="18" t="s">
        <v>51</v>
      </c>
      <c r="I33" s="59"/>
      <c r="J33" s="113">
        <v>12</v>
      </c>
      <c r="K33" s="113"/>
      <c r="L33" s="114"/>
      <c r="M33" s="115" t="s">
        <v>35</v>
      </c>
      <c r="N33" s="116">
        <f t="shared" si="1"/>
        <v>12</v>
      </c>
      <c r="O33" s="168"/>
      <c r="P33" s="200"/>
      <c r="Q33" s="201"/>
      <c r="R33" s="201"/>
      <c r="S33" s="201"/>
      <c r="T33" s="201"/>
      <c r="U33" s="202"/>
    </row>
    <row r="34" spans="1:21" ht="15.75">
      <c r="A34" s="85"/>
      <c r="B34" s="37">
        <f t="shared" si="2"/>
        <v>21</v>
      </c>
      <c r="C34" s="107" t="s">
        <v>40</v>
      </c>
      <c r="D34" s="107"/>
      <c r="E34" s="108"/>
      <c r="F34" s="109" t="s">
        <v>44</v>
      </c>
      <c r="G34" s="110"/>
      <c r="H34" s="18" t="s">
        <v>51</v>
      </c>
      <c r="I34" s="59"/>
      <c r="J34" s="113">
        <v>10</v>
      </c>
      <c r="K34" s="113"/>
      <c r="L34" s="114"/>
      <c r="M34" s="115" t="s">
        <v>21</v>
      </c>
      <c r="N34" s="116">
        <f t="shared" si="1"/>
        <v>10</v>
      </c>
      <c r="O34" s="168"/>
      <c r="P34" s="200"/>
      <c r="Q34" s="201"/>
      <c r="R34" s="201"/>
      <c r="S34" s="201"/>
      <c r="T34" s="201"/>
      <c r="U34" s="202"/>
    </row>
    <row r="35" spans="1:21" ht="15.75">
      <c r="A35" s="85"/>
      <c r="B35" s="37">
        <f t="shared" si="2"/>
        <v>22</v>
      </c>
      <c r="C35" s="107" t="s">
        <v>41</v>
      </c>
      <c r="D35" s="107"/>
      <c r="E35" s="108"/>
      <c r="F35" s="109" t="s">
        <v>81</v>
      </c>
      <c r="G35" s="110"/>
      <c r="H35" s="18" t="s">
        <v>86</v>
      </c>
      <c r="I35" s="59"/>
      <c r="J35" s="113"/>
      <c r="K35" s="113"/>
      <c r="L35" s="114"/>
      <c r="M35" s="115" t="s">
        <v>21</v>
      </c>
      <c r="N35" s="116">
        <f t="shared" si="1"/>
        <v>0</v>
      </c>
      <c r="O35" s="168"/>
      <c r="P35" s="200"/>
      <c r="Q35" s="201"/>
      <c r="R35" s="201"/>
      <c r="S35" s="201"/>
      <c r="T35" s="201"/>
      <c r="U35" s="202"/>
    </row>
    <row r="36" spans="1:21" ht="15.75">
      <c r="A36" s="85"/>
      <c r="B36" s="37">
        <f t="shared" si="2"/>
        <v>23</v>
      </c>
      <c r="C36" s="80" t="s">
        <v>46</v>
      </c>
      <c r="D36" s="80"/>
      <c r="E36" s="81"/>
      <c r="F36" s="84" t="s">
        <v>71</v>
      </c>
      <c r="G36" s="17"/>
      <c r="H36" s="18" t="s">
        <v>62</v>
      </c>
      <c r="I36" s="59"/>
      <c r="J36" s="19">
        <v>8</v>
      </c>
      <c r="K36" s="19"/>
      <c r="L36" s="50" t="s">
        <v>47</v>
      </c>
      <c r="M36" s="73" t="s">
        <v>35</v>
      </c>
      <c r="N36" s="54">
        <f t="shared" si="1"/>
        <v>8</v>
      </c>
      <c r="O36" s="167">
        <v>0</v>
      </c>
      <c r="P36" s="203" t="s">
        <v>48</v>
      </c>
      <c r="Q36" s="204"/>
      <c r="R36" s="204"/>
      <c r="S36" s="204"/>
      <c r="T36" s="204"/>
      <c r="U36" s="205"/>
    </row>
    <row r="37" spans="1:21" ht="16.5" thickBot="1">
      <c r="A37" s="118"/>
      <c r="B37" s="119"/>
      <c r="C37" s="120"/>
      <c r="D37" s="120"/>
      <c r="E37" s="121"/>
      <c r="F37" s="129"/>
      <c r="G37" s="122"/>
      <c r="H37" s="147"/>
      <c r="I37" s="148"/>
      <c r="J37" s="125"/>
      <c r="K37" s="125"/>
      <c r="L37" s="126"/>
      <c r="M37" s="126"/>
      <c r="N37" s="127"/>
      <c r="O37" s="169"/>
      <c r="P37" s="197"/>
      <c r="Q37" s="198"/>
      <c r="R37" s="198"/>
      <c r="S37" s="198"/>
      <c r="T37" s="198"/>
      <c r="U37" s="199"/>
    </row>
  </sheetData>
  <mergeCells count="54">
    <mergeCell ref="O1:U1"/>
    <mergeCell ref="J2:K2"/>
    <mergeCell ref="L2:M2"/>
    <mergeCell ref="O2:U2"/>
    <mergeCell ref="J3:K3"/>
    <mergeCell ref="L3:M3"/>
    <mergeCell ref="O3:U3"/>
    <mergeCell ref="J4:K4"/>
    <mergeCell ref="L4:M4"/>
    <mergeCell ref="O4:U4"/>
    <mergeCell ref="J5:K5"/>
    <mergeCell ref="L5:M5"/>
    <mergeCell ref="O5:U5"/>
    <mergeCell ref="E6:H6"/>
    <mergeCell ref="K6:M6"/>
    <mergeCell ref="O6:U6"/>
    <mergeCell ref="E7:H7"/>
    <mergeCell ref="K7:M7"/>
    <mergeCell ref="O7:U7"/>
    <mergeCell ref="P15:U15"/>
    <mergeCell ref="E8:H8"/>
    <mergeCell ref="K8:M8"/>
    <mergeCell ref="O8:U8"/>
    <mergeCell ref="E9:H9"/>
    <mergeCell ref="O9:U9"/>
    <mergeCell ref="E10:H10"/>
    <mergeCell ref="O10:U10"/>
    <mergeCell ref="E11:H11"/>
    <mergeCell ref="O11:U11"/>
    <mergeCell ref="O12:U12"/>
    <mergeCell ref="P13:U13"/>
    <mergeCell ref="P14:U14"/>
    <mergeCell ref="P27:U27"/>
    <mergeCell ref="P16:U16"/>
    <mergeCell ref="P17:U17"/>
    <mergeCell ref="P18:U18"/>
    <mergeCell ref="P19:U19"/>
    <mergeCell ref="P20:U20"/>
    <mergeCell ref="P21:U21"/>
    <mergeCell ref="P22:U22"/>
    <mergeCell ref="P23:U23"/>
    <mergeCell ref="P24:U24"/>
    <mergeCell ref="P25:U25"/>
    <mergeCell ref="P26:U26"/>
    <mergeCell ref="P34:U34"/>
    <mergeCell ref="P35:U35"/>
    <mergeCell ref="P36:U36"/>
    <mergeCell ref="P37:U37"/>
    <mergeCell ref="P28:U28"/>
    <mergeCell ref="P29:U29"/>
    <mergeCell ref="P30:U30"/>
    <mergeCell ref="P31:U31"/>
    <mergeCell ref="P32:U32"/>
    <mergeCell ref="P33:U33"/>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3"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49154"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49155"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49156"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49157"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49158"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A4A70497-276F-4660-A147-EC82670FA72B}">
            <xm:f>(AND(H14&lt;&gt;"",ISERROR(VLOOKUP(H14,system!$E:$E,1,FALSE))))</xm:f>
            <x14:dxf>
              <fill>
                <patternFill patternType="solid">
                  <bgColor rgb="FFFF0000"/>
                </patternFill>
              </fill>
            </x14:dxf>
          </x14:cfRule>
          <xm:sqref>H14:H29</xm:sqref>
        </x14:conditionalFormatting>
        <x14:conditionalFormatting xmlns:xm="http://schemas.microsoft.com/office/excel/2006/main">
          <x14:cfRule type="expression" priority="3" id="{8EAA9286-DB74-4E86-B769-19D51822A2E6}">
            <xm:f>(AND(H14&lt;&gt;"",ISERROR(VLOOKUP(H14,system!$E:$E,1,FALSE))))</xm:f>
            <x14:dxf>
              <fill>
                <patternFill>
                  <bgColor rgb="FFFF0000"/>
                </patternFill>
              </fill>
            </x14:dxf>
          </x14:cfRule>
          <xm:sqref>I14:I29</xm:sqref>
        </x14:conditionalFormatting>
        <x14:conditionalFormatting xmlns:xm="http://schemas.microsoft.com/office/excel/2006/main">
          <x14:cfRule type="expression" priority="2" id="{0EF9DF86-16C3-4163-B8CD-51CDA8D2BE22}">
            <xm:f>(AND(H30&lt;&gt;"",ISERROR(VLOOKUP(H30,system!$E:$E,1,FALSE))))</xm:f>
            <x14:dxf>
              <fill>
                <patternFill patternType="solid">
                  <bgColor rgb="FFFF0000"/>
                </patternFill>
              </fill>
            </x14:dxf>
          </x14:cfRule>
          <xm:sqref>H30:H37</xm:sqref>
        </x14:conditionalFormatting>
        <x14:conditionalFormatting xmlns:xm="http://schemas.microsoft.com/office/excel/2006/main">
          <x14:cfRule type="expression" priority="1" id="{40631276-3011-4E21-BDC0-BB070CF16456}">
            <xm:f>(AND(H30&lt;&gt;"",ISERROR(VLOOKUP(H30,system!$E:$E,1,FALSE))))</xm:f>
            <x14:dxf>
              <fill>
                <patternFill>
                  <bgColor rgb="FFFF0000"/>
                </patternFill>
              </fill>
            </x14:dxf>
          </x14:cfRule>
          <xm:sqref>I30:I37</xm:sqref>
        </x14:conditionalFormatting>
      </x14:conditionalFormatting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A1:U29"/>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7" t="s">
        <v>27</v>
      </c>
      <c r="P1" s="248"/>
      <c r="Q1" s="248"/>
      <c r="R1" s="248"/>
      <c r="S1" s="248"/>
      <c r="T1" s="248"/>
      <c r="U1" s="249"/>
    </row>
    <row r="2" spans="1:21" ht="14.45" customHeight="1">
      <c r="A2" s="39"/>
      <c r="B2" s="100" t="s">
        <v>64</v>
      </c>
      <c r="C2" s="5"/>
      <c r="D2" s="5"/>
      <c r="E2" s="5"/>
      <c r="F2" s="5"/>
      <c r="G2" s="6"/>
      <c r="H2" s="7"/>
      <c r="I2" s="8"/>
      <c r="J2" s="250"/>
      <c r="K2" s="251"/>
      <c r="L2" s="250"/>
      <c r="M2" s="251"/>
      <c r="N2" s="52"/>
      <c r="O2" s="252" t="s">
        <v>875</v>
      </c>
      <c r="P2" s="253"/>
      <c r="Q2" s="253"/>
      <c r="R2" s="253"/>
      <c r="S2" s="253"/>
      <c r="T2" s="253"/>
      <c r="U2" s="254"/>
    </row>
    <row r="3" spans="1:21" ht="14.25" customHeight="1">
      <c r="A3" s="40"/>
      <c r="B3" s="35"/>
      <c r="C3" s="5"/>
      <c r="D3" s="5"/>
      <c r="E3" s="5"/>
      <c r="F3" s="5"/>
      <c r="G3" s="9"/>
      <c r="H3" s="10"/>
      <c r="I3" s="176" t="s">
        <v>1032</v>
      </c>
      <c r="J3" s="255" t="s">
        <v>1032</v>
      </c>
      <c r="K3" s="256"/>
      <c r="L3" s="255" t="s">
        <v>1032</v>
      </c>
      <c r="M3" s="256"/>
      <c r="N3" s="52"/>
      <c r="O3" s="257"/>
      <c r="P3" s="258"/>
      <c r="Q3" s="258"/>
      <c r="R3" s="258"/>
      <c r="S3" s="258"/>
      <c r="T3" s="258"/>
      <c r="U3" s="259"/>
    </row>
    <row r="4" spans="1:21" ht="14.45" customHeight="1">
      <c r="A4" s="41"/>
      <c r="B4" s="36" t="s">
        <v>3</v>
      </c>
      <c r="C4" s="5"/>
      <c r="D4" s="5"/>
      <c r="E4" s="5"/>
      <c r="F4" s="5"/>
      <c r="G4" s="6"/>
      <c r="H4" s="10"/>
      <c r="I4" s="177" t="s">
        <v>1035</v>
      </c>
      <c r="J4" s="240" t="s">
        <v>1034</v>
      </c>
      <c r="K4" s="241"/>
      <c r="L4" s="240" t="s">
        <v>1033</v>
      </c>
      <c r="M4" s="241"/>
      <c r="N4" s="52"/>
      <c r="O4" s="210"/>
      <c r="P4" s="211"/>
      <c r="Q4" s="211"/>
      <c r="R4" s="211"/>
      <c r="S4" s="211"/>
      <c r="T4" s="211"/>
      <c r="U4" s="212"/>
    </row>
    <row r="5" spans="1:21" ht="14.45" customHeight="1" thickBot="1">
      <c r="A5" s="42"/>
      <c r="B5" s="11"/>
      <c r="C5" s="11"/>
      <c r="D5" s="11"/>
      <c r="E5" s="11"/>
      <c r="F5" s="11"/>
      <c r="G5" s="12"/>
      <c r="H5" s="13"/>
      <c r="I5" s="14"/>
      <c r="J5" s="242"/>
      <c r="K5" s="243"/>
      <c r="L5" s="244"/>
      <c r="M5" s="245"/>
      <c r="N5" s="53"/>
      <c r="O5" s="246"/>
      <c r="P5" s="211"/>
      <c r="Q5" s="211"/>
      <c r="R5" s="211"/>
      <c r="S5" s="211"/>
      <c r="T5" s="211"/>
      <c r="U5" s="212"/>
    </row>
    <row r="6" spans="1:21" ht="14.45" customHeight="1">
      <c r="A6" s="43"/>
      <c r="B6" s="101" t="s">
        <v>4</v>
      </c>
      <c r="C6" s="20"/>
      <c r="D6" s="21"/>
      <c r="E6" s="222" t="s">
        <v>65</v>
      </c>
      <c r="F6" s="223"/>
      <c r="G6" s="223"/>
      <c r="H6" s="224"/>
      <c r="I6" s="60" t="s">
        <v>26</v>
      </c>
      <c r="J6" s="26"/>
      <c r="K6" s="225" t="s">
        <v>33</v>
      </c>
      <c r="L6" s="226"/>
      <c r="M6" s="227"/>
      <c r="N6" s="91" t="s">
        <v>5</v>
      </c>
      <c r="O6" s="210"/>
      <c r="P6" s="211"/>
      <c r="Q6" s="211"/>
      <c r="R6" s="211"/>
      <c r="S6" s="211"/>
      <c r="T6" s="211"/>
      <c r="U6" s="212"/>
    </row>
    <row r="7" spans="1:21" ht="15.75" customHeight="1">
      <c r="A7" s="44"/>
      <c r="B7" s="102" t="s">
        <v>6</v>
      </c>
      <c r="C7" s="22"/>
      <c r="D7" s="23"/>
      <c r="E7" s="228" t="s">
        <v>168</v>
      </c>
      <c r="F7" s="229"/>
      <c r="G7" s="229"/>
      <c r="H7" s="230"/>
      <c r="I7" s="61" t="s">
        <v>28</v>
      </c>
      <c r="J7" s="27"/>
      <c r="K7" s="231" t="s">
        <v>34</v>
      </c>
      <c r="L7" s="232"/>
      <c r="M7" s="233"/>
      <c r="N7" s="92">
        <f>COUNTIF(H14:H14,"LONG")+COUNTIF(H14:H14,"LONG RAW")</f>
        <v>0</v>
      </c>
      <c r="O7" s="210"/>
      <c r="P7" s="211"/>
      <c r="Q7" s="211"/>
      <c r="R7" s="211"/>
      <c r="S7" s="211"/>
      <c r="T7" s="211"/>
      <c r="U7" s="212"/>
    </row>
    <row r="8" spans="1:21" ht="14.45" customHeight="1">
      <c r="A8" s="45"/>
      <c r="B8" s="22" t="s">
        <v>7</v>
      </c>
      <c r="C8" s="22"/>
      <c r="D8" s="23"/>
      <c r="E8" s="228" t="s">
        <v>872</v>
      </c>
      <c r="F8" s="229"/>
      <c r="G8" s="229"/>
      <c r="H8" s="230"/>
      <c r="I8" s="62"/>
      <c r="J8" s="27"/>
      <c r="K8" s="234"/>
      <c r="L8" s="235"/>
      <c r="M8" s="236"/>
      <c r="N8" s="92"/>
      <c r="O8" s="210"/>
      <c r="P8" s="211"/>
      <c r="Q8" s="211"/>
      <c r="R8" s="211"/>
      <c r="S8" s="211"/>
      <c r="T8" s="211"/>
      <c r="U8" s="212"/>
    </row>
    <row r="9" spans="1:21" ht="14.45" customHeight="1">
      <c r="A9" s="45"/>
      <c r="B9" s="22" t="s">
        <v>8</v>
      </c>
      <c r="C9" s="22"/>
      <c r="D9" s="23"/>
      <c r="E9" s="237" t="s">
        <v>68</v>
      </c>
      <c r="F9" s="238"/>
      <c r="G9" s="238"/>
      <c r="H9" s="239"/>
      <c r="I9" s="61" t="s">
        <v>9</v>
      </c>
      <c r="J9" s="27"/>
      <c r="K9" s="86"/>
      <c r="L9" s="88">
        <f>SUM(N14:N30)</f>
        <v>138</v>
      </c>
      <c r="M9" s="82"/>
      <c r="N9" s="93">
        <f>SUMIF(M14:M14,"■",N14:N14)</f>
        <v>0</v>
      </c>
      <c r="O9" s="210"/>
      <c r="P9" s="211"/>
      <c r="Q9" s="211"/>
      <c r="R9" s="211"/>
      <c r="S9" s="211"/>
      <c r="T9" s="211"/>
      <c r="U9" s="212"/>
    </row>
    <row r="10" spans="1:21" ht="14.45" customHeight="1">
      <c r="A10" s="45"/>
      <c r="B10" s="22" t="s">
        <v>10</v>
      </c>
      <c r="C10" s="22"/>
      <c r="D10" s="23"/>
      <c r="E10" s="219" t="s">
        <v>68</v>
      </c>
      <c r="F10" s="220"/>
      <c r="G10" s="220"/>
      <c r="H10" s="221"/>
      <c r="I10" s="61" t="s">
        <v>11</v>
      </c>
      <c r="J10" s="27"/>
      <c r="K10" s="86"/>
      <c r="L10" s="89">
        <f>E11*L9/1000</f>
        <v>0</v>
      </c>
      <c r="M10" s="82"/>
      <c r="N10" s="55"/>
      <c r="O10" s="210"/>
      <c r="P10" s="211"/>
      <c r="Q10" s="211"/>
      <c r="R10" s="211"/>
      <c r="S10" s="211"/>
      <c r="T10" s="211"/>
      <c r="U10" s="212"/>
    </row>
    <row r="11" spans="1:21" ht="17.25" customHeight="1" thickBot="1">
      <c r="A11" s="46"/>
      <c r="B11" s="24" t="s">
        <v>29</v>
      </c>
      <c r="C11" s="24"/>
      <c r="D11" s="25"/>
      <c r="E11" s="207"/>
      <c r="F11" s="208"/>
      <c r="G11" s="208"/>
      <c r="H11" s="209"/>
      <c r="I11" s="103" t="s">
        <v>12</v>
      </c>
      <c r="J11" s="104"/>
      <c r="K11" s="87"/>
      <c r="L11" s="90"/>
      <c r="M11" s="83"/>
      <c r="N11" s="56"/>
      <c r="O11" s="210"/>
      <c r="P11" s="211"/>
      <c r="Q11" s="211"/>
      <c r="R11" s="211"/>
      <c r="S11" s="211"/>
      <c r="T11" s="211"/>
      <c r="U11" s="212"/>
    </row>
    <row r="12" spans="1:21" ht="15.75" customHeight="1" thickBot="1">
      <c r="A12" s="64"/>
      <c r="B12" s="65"/>
      <c r="C12" s="30"/>
      <c r="D12" s="30"/>
      <c r="E12" s="31"/>
      <c r="F12" s="32"/>
      <c r="G12" s="29"/>
      <c r="H12" s="28"/>
      <c r="I12" s="29"/>
      <c r="J12" s="30" t="s">
        <v>13</v>
      </c>
      <c r="K12" s="31"/>
      <c r="L12" s="66"/>
      <c r="M12" s="48"/>
      <c r="N12" s="57">
        <f>COUNTA(H14:H14)</f>
        <v>1</v>
      </c>
      <c r="O12" s="213"/>
      <c r="P12" s="214"/>
      <c r="Q12" s="214"/>
      <c r="R12" s="214"/>
      <c r="S12" s="214"/>
      <c r="T12" s="214"/>
      <c r="U12" s="21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16" t="s">
        <v>32</v>
      </c>
      <c r="Q13" s="217"/>
      <c r="R13" s="217"/>
      <c r="S13" s="217"/>
      <c r="T13" s="217"/>
      <c r="U13" s="218"/>
    </row>
    <row r="14" spans="1:21" ht="15.75" customHeight="1">
      <c r="A14" s="85" t="s">
        <v>188</v>
      </c>
      <c r="B14" s="37">
        <f t="shared" ref="B14:B21" si="0">ROW()-13</f>
        <v>1</v>
      </c>
      <c r="C14" s="145" t="s">
        <v>191</v>
      </c>
      <c r="D14" s="80"/>
      <c r="E14" s="81"/>
      <c r="F14" s="146" t="s">
        <v>192</v>
      </c>
      <c r="G14" s="17"/>
      <c r="H14" s="18" t="s">
        <v>51</v>
      </c>
      <c r="I14" s="59"/>
      <c r="J14" s="19">
        <v>3</v>
      </c>
      <c r="K14" s="19"/>
      <c r="L14" s="50" t="s">
        <v>187</v>
      </c>
      <c r="M14" s="73" t="s">
        <v>21</v>
      </c>
      <c r="N14" s="54">
        <f t="shared" ref="N14:N28" si="1">IF(H14="NUMBER",IF(J14&gt;0,INT((J14+1)/2+0.9),0),IF(H14="DATE",7,IF(OR(H14="LONG",H14="LONG RAW"),100000,J14)))</f>
        <v>3</v>
      </c>
      <c r="O14" s="167"/>
      <c r="P14" s="203" t="s">
        <v>361</v>
      </c>
      <c r="Q14" s="204"/>
      <c r="R14" s="204"/>
      <c r="S14" s="204"/>
      <c r="T14" s="204"/>
      <c r="U14" s="205"/>
    </row>
    <row r="15" spans="1:21" ht="15.75" customHeight="1">
      <c r="A15" s="85" t="s">
        <v>188</v>
      </c>
      <c r="B15" s="37">
        <f t="shared" si="0"/>
        <v>2</v>
      </c>
      <c r="C15" s="145" t="s">
        <v>377</v>
      </c>
      <c r="D15" s="80"/>
      <c r="E15" s="81"/>
      <c r="F15" s="146" t="s">
        <v>378</v>
      </c>
      <c r="G15" s="17"/>
      <c r="H15" s="18" t="s">
        <v>51</v>
      </c>
      <c r="I15" s="59"/>
      <c r="J15" s="19">
        <v>10</v>
      </c>
      <c r="K15" s="19"/>
      <c r="L15" s="50" t="s">
        <v>187</v>
      </c>
      <c r="M15" s="73" t="s">
        <v>21</v>
      </c>
      <c r="N15" s="54">
        <f t="shared" si="1"/>
        <v>10</v>
      </c>
      <c r="O15" s="167"/>
      <c r="P15" s="203" t="s">
        <v>361</v>
      </c>
      <c r="Q15" s="204"/>
      <c r="R15" s="204"/>
      <c r="S15" s="204"/>
      <c r="T15" s="204"/>
      <c r="U15" s="205"/>
    </row>
    <row r="16" spans="1:21" ht="15.75" customHeight="1">
      <c r="A16" s="85" t="s">
        <v>188</v>
      </c>
      <c r="B16" s="37">
        <f t="shared" si="0"/>
        <v>3</v>
      </c>
      <c r="C16" s="145" t="s">
        <v>876</v>
      </c>
      <c r="D16" s="80"/>
      <c r="E16" s="81"/>
      <c r="F16" s="146" t="s">
        <v>877</v>
      </c>
      <c r="G16" s="17"/>
      <c r="H16" s="18" t="s">
        <v>51</v>
      </c>
      <c r="I16" s="59"/>
      <c r="J16" s="19">
        <v>3</v>
      </c>
      <c r="K16" s="19"/>
      <c r="L16" s="50" t="s">
        <v>187</v>
      </c>
      <c r="M16" s="73" t="s">
        <v>21</v>
      </c>
      <c r="N16" s="54">
        <f t="shared" si="1"/>
        <v>3</v>
      </c>
      <c r="O16" s="167"/>
      <c r="P16" s="203" t="s">
        <v>361</v>
      </c>
      <c r="Q16" s="204"/>
      <c r="R16" s="204"/>
      <c r="S16" s="204"/>
      <c r="T16" s="204"/>
      <c r="U16" s="205"/>
    </row>
    <row r="17" spans="1:21" ht="15.75" customHeight="1">
      <c r="A17" s="85" t="s">
        <v>188</v>
      </c>
      <c r="B17" s="37">
        <f t="shared" si="0"/>
        <v>4</v>
      </c>
      <c r="C17" s="145" t="s">
        <v>878</v>
      </c>
      <c r="D17" s="80"/>
      <c r="E17" s="81"/>
      <c r="F17" s="146" t="s">
        <v>879</v>
      </c>
      <c r="G17" s="17"/>
      <c r="H17" s="18" t="s">
        <v>51</v>
      </c>
      <c r="I17" s="59"/>
      <c r="J17" s="19">
        <v>10</v>
      </c>
      <c r="K17" s="19"/>
      <c r="L17" s="50" t="s">
        <v>187</v>
      </c>
      <c r="M17" s="73" t="s">
        <v>21</v>
      </c>
      <c r="N17" s="54">
        <f t="shared" si="1"/>
        <v>10</v>
      </c>
      <c r="O17" s="167"/>
      <c r="P17" s="203" t="s">
        <v>361</v>
      </c>
      <c r="Q17" s="204"/>
      <c r="R17" s="204"/>
      <c r="S17" s="204"/>
      <c r="T17" s="204"/>
      <c r="U17" s="205"/>
    </row>
    <row r="18" spans="1:21" ht="74.45" customHeight="1">
      <c r="A18" s="85"/>
      <c r="B18" s="37">
        <f t="shared" si="0"/>
        <v>5</v>
      </c>
      <c r="C18" s="145" t="s">
        <v>880</v>
      </c>
      <c r="D18" s="80"/>
      <c r="E18" s="81"/>
      <c r="F18" s="146" t="s">
        <v>881</v>
      </c>
      <c r="G18" s="17"/>
      <c r="H18" s="18" t="s">
        <v>51</v>
      </c>
      <c r="I18" s="59"/>
      <c r="J18" s="19">
        <v>10</v>
      </c>
      <c r="K18" s="19"/>
      <c r="L18" s="50" t="s">
        <v>187</v>
      </c>
      <c r="M18" s="73" t="s">
        <v>21</v>
      </c>
      <c r="N18" s="54">
        <f t="shared" si="1"/>
        <v>10</v>
      </c>
      <c r="O18" s="167"/>
      <c r="P18" s="206" t="s">
        <v>882</v>
      </c>
      <c r="Q18" s="204"/>
      <c r="R18" s="204"/>
      <c r="S18" s="204"/>
      <c r="T18" s="204"/>
      <c r="U18" s="205"/>
    </row>
    <row r="19" spans="1:21" ht="15.75" customHeight="1">
      <c r="A19" s="85"/>
      <c r="B19" s="37">
        <f t="shared" si="0"/>
        <v>6</v>
      </c>
      <c r="C19" s="145" t="s">
        <v>883</v>
      </c>
      <c r="D19" s="80"/>
      <c r="E19" s="81"/>
      <c r="F19" s="146" t="s">
        <v>884</v>
      </c>
      <c r="G19" s="17"/>
      <c r="H19" s="18" t="s">
        <v>209</v>
      </c>
      <c r="I19" s="59"/>
      <c r="J19" s="19"/>
      <c r="K19" s="19"/>
      <c r="L19" s="50" t="s">
        <v>187</v>
      </c>
      <c r="M19" s="73" t="s">
        <v>21</v>
      </c>
      <c r="N19" s="54">
        <f t="shared" si="1"/>
        <v>0</v>
      </c>
      <c r="O19" s="167"/>
      <c r="P19" s="203" t="s">
        <v>885</v>
      </c>
      <c r="Q19" s="204"/>
      <c r="R19" s="204"/>
      <c r="S19" s="204"/>
      <c r="T19" s="204"/>
      <c r="U19" s="205"/>
    </row>
    <row r="20" spans="1:21" ht="15.75" customHeight="1">
      <c r="A20" s="85"/>
      <c r="B20" s="37">
        <f t="shared" si="0"/>
        <v>7</v>
      </c>
      <c r="C20" s="145" t="s">
        <v>886</v>
      </c>
      <c r="D20" s="80"/>
      <c r="E20" s="81"/>
      <c r="F20" s="146" t="s">
        <v>887</v>
      </c>
      <c r="G20" s="17"/>
      <c r="H20" s="18" t="s">
        <v>209</v>
      </c>
      <c r="I20" s="59"/>
      <c r="J20" s="19"/>
      <c r="K20" s="19"/>
      <c r="L20" s="50"/>
      <c r="M20" s="73" t="s">
        <v>21</v>
      </c>
      <c r="N20" s="54">
        <f t="shared" si="1"/>
        <v>0</v>
      </c>
      <c r="O20" s="167"/>
      <c r="P20" s="203" t="s">
        <v>888</v>
      </c>
      <c r="Q20" s="204"/>
      <c r="R20" s="204"/>
      <c r="S20" s="204"/>
      <c r="T20" s="204"/>
      <c r="U20" s="205"/>
    </row>
    <row r="21" spans="1:21" ht="15.75" customHeight="1">
      <c r="A21" s="85"/>
      <c r="B21" s="37">
        <f t="shared" si="0"/>
        <v>8</v>
      </c>
      <c r="C21" s="145" t="s">
        <v>293</v>
      </c>
      <c r="D21" s="80"/>
      <c r="E21" s="81"/>
      <c r="F21" s="146" t="s">
        <v>294</v>
      </c>
      <c r="G21" s="17"/>
      <c r="H21" s="18" t="s">
        <v>51</v>
      </c>
      <c r="I21" s="59"/>
      <c r="J21" s="19">
        <v>50</v>
      </c>
      <c r="K21" s="19"/>
      <c r="L21" s="50"/>
      <c r="M21" s="73" t="s">
        <v>21</v>
      </c>
      <c r="N21" s="54">
        <f t="shared" si="1"/>
        <v>50</v>
      </c>
      <c r="O21" s="167"/>
      <c r="P21" s="203"/>
      <c r="Q21" s="204"/>
      <c r="R21" s="204"/>
      <c r="S21" s="204"/>
      <c r="T21" s="204"/>
      <c r="U21" s="205"/>
    </row>
    <row r="22" spans="1:21" ht="15.75">
      <c r="A22" s="85"/>
      <c r="B22" s="37">
        <f t="shared" ref="B22:B28" si="2">ROW()-13</f>
        <v>9</v>
      </c>
      <c r="C22" s="107" t="s">
        <v>36</v>
      </c>
      <c r="D22" s="107"/>
      <c r="E22" s="108"/>
      <c r="F22" s="109" t="s">
        <v>78</v>
      </c>
      <c r="G22" s="110"/>
      <c r="H22" s="18" t="s">
        <v>51</v>
      </c>
      <c r="I22" s="59"/>
      <c r="J22" s="113">
        <v>12</v>
      </c>
      <c r="K22" s="113"/>
      <c r="L22" s="114"/>
      <c r="M22" s="115" t="s">
        <v>35</v>
      </c>
      <c r="N22" s="116">
        <f t="shared" si="1"/>
        <v>12</v>
      </c>
      <c r="O22" s="168"/>
      <c r="P22" s="200"/>
      <c r="Q22" s="201"/>
      <c r="R22" s="201"/>
      <c r="S22" s="201"/>
      <c r="T22" s="201"/>
      <c r="U22" s="202"/>
    </row>
    <row r="23" spans="1:21" ht="15.75">
      <c r="A23" s="85"/>
      <c r="B23" s="37">
        <f t="shared" si="2"/>
        <v>10</v>
      </c>
      <c r="C23" s="107" t="s">
        <v>37</v>
      </c>
      <c r="D23" s="107"/>
      <c r="E23" s="108"/>
      <c r="F23" s="109" t="s">
        <v>43</v>
      </c>
      <c r="G23" s="110"/>
      <c r="H23" s="18" t="s">
        <v>51</v>
      </c>
      <c r="I23" s="59"/>
      <c r="J23" s="113">
        <v>10</v>
      </c>
      <c r="K23" s="113"/>
      <c r="L23" s="114"/>
      <c r="M23" s="115" t="s">
        <v>21</v>
      </c>
      <c r="N23" s="116">
        <f t="shared" si="1"/>
        <v>10</v>
      </c>
      <c r="O23" s="168"/>
      <c r="P23" s="200"/>
      <c r="Q23" s="201"/>
      <c r="R23" s="201"/>
      <c r="S23" s="201"/>
      <c r="T23" s="201"/>
      <c r="U23" s="202"/>
    </row>
    <row r="24" spans="1:21" ht="15.75">
      <c r="A24" s="85"/>
      <c r="B24" s="37">
        <f t="shared" si="2"/>
        <v>11</v>
      </c>
      <c r="C24" s="107" t="s">
        <v>38</v>
      </c>
      <c r="D24" s="107"/>
      <c r="E24" s="108"/>
      <c r="F24" s="109" t="s">
        <v>80</v>
      </c>
      <c r="G24" s="110"/>
      <c r="H24" s="18" t="s">
        <v>86</v>
      </c>
      <c r="I24" s="59"/>
      <c r="J24" s="113"/>
      <c r="K24" s="113"/>
      <c r="L24" s="114"/>
      <c r="M24" s="115" t="s">
        <v>21</v>
      </c>
      <c r="N24" s="116">
        <f t="shared" si="1"/>
        <v>0</v>
      </c>
      <c r="O24" s="168"/>
      <c r="P24" s="200"/>
      <c r="Q24" s="201"/>
      <c r="R24" s="201"/>
      <c r="S24" s="201"/>
      <c r="T24" s="201"/>
      <c r="U24" s="202"/>
    </row>
    <row r="25" spans="1:21" ht="15.75">
      <c r="A25" s="85"/>
      <c r="B25" s="37">
        <f t="shared" si="2"/>
        <v>12</v>
      </c>
      <c r="C25" s="107" t="s">
        <v>39</v>
      </c>
      <c r="D25" s="107"/>
      <c r="E25" s="108"/>
      <c r="F25" s="109" t="s">
        <v>79</v>
      </c>
      <c r="G25" s="110"/>
      <c r="H25" s="18" t="s">
        <v>51</v>
      </c>
      <c r="I25" s="59"/>
      <c r="J25" s="113">
        <v>12</v>
      </c>
      <c r="K25" s="113"/>
      <c r="L25" s="114"/>
      <c r="M25" s="115" t="s">
        <v>35</v>
      </c>
      <c r="N25" s="116">
        <f t="shared" si="1"/>
        <v>12</v>
      </c>
      <c r="O25" s="168"/>
      <c r="P25" s="200"/>
      <c r="Q25" s="201"/>
      <c r="R25" s="201"/>
      <c r="S25" s="201"/>
      <c r="T25" s="201"/>
      <c r="U25" s="202"/>
    </row>
    <row r="26" spans="1:21" ht="15.75">
      <c r="A26" s="85"/>
      <c r="B26" s="37">
        <f t="shared" si="2"/>
        <v>13</v>
      </c>
      <c r="C26" s="107" t="s">
        <v>40</v>
      </c>
      <c r="D26" s="107"/>
      <c r="E26" s="108"/>
      <c r="F26" s="109" t="s">
        <v>44</v>
      </c>
      <c r="G26" s="110"/>
      <c r="H26" s="18" t="s">
        <v>51</v>
      </c>
      <c r="I26" s="59"/>
      <c r="J26" s="113">
        <v>10</v>
      </c>
      <c r="K26" s="113"/>
      <c r="L26" s="114"/>
      <c r="M26" s="115" t="s">
        <v>21</v>
      </c>
      <c r="N26" s="116">
        <f t="shared" si="1"/>
        <v>10</v>
      </c>
      <c r="O26" s="168"/>
      <c r="P26" s="200"/>
      <c r="Q26" s="201"/>
      <c r="R26" s="201"/>
      <c r="S26" s="201"/>
      <c r="T26" s="201"/>
      <c r="U26" s="202"/>
    </row>
    <row r="27" spans="1:21" ht="15.75">
      <c r="A27" s="85"/>
      <c r="B27" s="37">
        <f t="shared" si="2"/>
        <v>14</v>
      </c>
      <c r="C27" s="107" t="s">
        <v>41</v>
      </c>
      <c r="D27" s="107"/>
      <c r="E27" s="108"/>
      <c r="F27" s="109" t="s">
        <v>81</v>
      </c>
      <c r="G27" s="110"/>
      <c r="H27" s="18" t="s">
        <v>86</v>
      </c>
      <c r="I27" s="59"/>
      <c r="J27" s="113"/>
      <c r="K27" s="113"/>
      <c r="L27" s="114"/>
      <c r="M27" s="115" t="s">
        <v>21</v>
      </c>
      <c r="N27" s="116">
        <f t="shared" si="1"/>
        <v>0</v>
      </c>
      <c r="O27" s="168"/>
      <c r="P27" s="200"/>
      <c r="Q27" s="201"/>
      <c r="R27" s="201"/>
      <c r="S27" s="201"/>
      <c r="T27" s="201"/>
      <c r="U27" s="202"/>
    </row>
    <row r="28" spans="1:21" ht="15.75">
      <c r="A28" s="85"/>
      <c r="B28" s="37">
        <f t="shared" si="2"/>
        <v>15</v>
      </c>
      <c r="C28" s="80" t="s">
        <v>46</v>
      </c>
      <c r="D28" s="80"/>
      <c r="E28" s="81"/>
      <c r="F28" s="84" t="s">
        <v>71</v>
      </c>
      <c r="G28" s="17"/>
      <c r="H28" s="18" t="s">
        <v>62</v>
      </c>
      <c r="I28" s="59"/>
      <c r="J28" s="19">
        <v>8</v>
      </c>
      <c r="K28" s="19"/>
      <c r="L28" s="50" t="s">
        <v>47</v>
      </c>
      <c r="M28" s="73" t="s">
        <v>35</v>
      </c>
      <c r="N28" s="54">
        <f t="shared" si="1"/>
        <v>8</v>
      </c>
      <c r="O28" s="167">
        <v>0</v>
      </c>
      <c r="P28" s="203" t="s">
        <v>48</v>
      </c>
      <c r="Q28" s="204"/>
      <c r="R28" s="204"/>
      <c r="S28" s="204"/>
      <c r="T28" s="204"/>
      <c r="U28" s="205"/>
    </row>
    <row r="29" spans="1:21" ht="16.5" thickBot="1">
      <c r="A29" s="118"/>
      <c r="B29" s="119"/>
      <c r="C29" s="120"/>
      <c r="D29" s="120"/>
      <c r="E29" s="121"/>
      <c r="F29" s="129"/>
      <c r="G29" s="122"/>
      <c r="H29" s="147"/>
      <c r="I29" s="148"/>
      <c r="J29" s="125"/>
      <c r="K29" s="125"/>
      <c r="L29" s="126"/>
      <c r="M29" s="126"/>
      <c r="N29" s="127"/>
      <c r="O29" s="169"/>
      <c r="P29" s="197"/>
      <c r="Q29" s="198"/>
      <c r="R29" s="198"/>
      <c r="S29" s="198"/>
      <c r="T29" s="198"/>
      <c r="U29" s="199"/>
    </row>
  </sheetData>
  <mergeCells count="46">
    <mergeCell ref="O1:U1"/>
    <mergeCell ref="J2:K2"/>
    <mergeCell ref="L2:M2"/>
    <mergeCell ref="O2:U2"/>
    <mergeCell ref="J3:K3"/>
    <mergeCell ref="L3:M3"/>
    <mergeCell ref="O3:U3"/>
    <mergeCell ref="J4:K4"/>
    <mergeCell ref="L4:M4"/>
    <mergeCell ref="O4:U4"/>
    <mergeCell ref="J5:K5"/>
    <mergeCell ref="L5:M5"/>
    <mergeCell ref="O5:U5"/>
    <mergeCell ref="E10:H10"/>
    <mergeCell ref="O10:U10"/>
    <mergeCell ref="E6:H6"/>
    <mergeCell ref="K6:M6"/>
    <mergeCell ref="O6:U6"/>
    <mergeCell ref="E7:H7"/>
    <mergeCell ref="K7:M7"/>
    <mergeCell ref="O7:U7"/>
    <mergeCell ref="E8:H8"/>
    <mergeCell ref="K8:M8"/>
    <mergeCell ref="O8:U8"/>
    <mergeCell ref="E9:H9"/>
    <mergeCell ref="O9:U9"/>
    <mergeCell ref="P21:U21"/>
    <mergeCell ref="E11:H11"/>
    <mergeCell ref="O11:U11"/>
    <mergeCell ref="O12:U12"/>
    <mergeCell ref="P13:U13"/>
    <mergeCell ref="P14:U14"/>
    <mergeCell ref="P15:U15"/>
    <mergeCell ref="P16:U16"/>
    <mergeCell ref="P17:U17"/>
    <mergeCell ref="P18:U18"/>
    <mergeCell ref="P19:U19"/>
    <mergeCell ref="P20:U20"/>
    <mergeCell ref="P28:U28"/>
    <mergeCell ref="P29:U29"/>
    <mergeCell ref="P22:U22"/>
    <mergeCell ref="P23:U23"/>
    <mergeCell ref="P24:U24"/>
    <mergeCell ref="P25:U25"/>
    <mergeCell ref="P26:U26"/>
    <mergeCell ref="P27:U27"/>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7"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50178"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50179"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50180"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50181"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50182"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7F133756-F85A-4A9A-9A80-7CFF5C431F23}">
            <xm:f>(AND(H14&lt;&gt;"",ISERROR(VLOOKUP(H14,system!$E:$E,1,FALSE))))</xm:f>
            <x14:dxf>
              <fill>
                <patternFill patternType="solid">
                  <bgColor rgb="FFFF0000"/>
                </patternFill>
              </fill>
            </x14:dxf>
          </x14:cfRule>
          <xm:sqref>H14:H21</xm:sqref>
        </x14:conditionalFormatting>
        <x14:conditionalFormatting xmlns:xm="http://schemas.microsoft.com/office/excel/2006/main">
          <x14:cfRule type="expression" priority="3" id="{A341CF8B-AE1B-492A-A264-F0095D0429F1}">
            <xm:f>(AND(H14&lt;&gt;"",ISERROR(VLOOKUP(H14,system!$E:$E,1,FALSE))))</xm:f>
            <x14:dxf>
              <fill>
                <patternFill>
                  <bgColor rgb="FFFF0000"/>
                </patternFill>
              </fill>
            </x14:dxf>
          </x14:cfRule>
          <xm:sqref>I14:I21</xm:sqref>
        </x14:conditionalFormatting>
        <x14:conditionalFormatting xmlns:xm="http://schemas.microsoft.com/office/excel/2006/main">
          <x14:cfRule type="expression" priority="2" id="{E2D33B76-E7AC-4872-A6CC-FFCBD57D5F9D}">
            <xm:f>(AND(H22&lt;&gt;"",ISERROR(VLOOKUP(H22,system!$E:$E,1,FALSE))))</xm:f>
            <x14:dxf>
              <fill>
                <patternFill patternType="solid">
                  <bgColor rgb="FFFF0000"/>
                </patternFill>
              </fill>
            </x14:dxf>
          </x14:cfRule>
          <xm:sqref>H22:H29</xm:sqref>
        </x14:conditionalFormatting>
        <x14:conditionalFormatting xmlns:xm="http://schemas.microsoft.com/office/excel/2006/main">
          <x14:cfRule type="expression" priority="1" id="{0BC0B462-8B42-4AD2-BC25-40C82D110A56}">
            <xm:f>(AND(H22&lt;&gt;"",ISERROR(VLOOKUP(H22,system!$E:$E,1,FALSE))))</xm:f>
            <x14:dxf>
              <fill>
                <patternFill>
                  <bgColor rgb="FFFF0000"/>
                </patternFill>
              </fill>
            </x14:dxf>
          </x14:cfRule>
          <xm:sqref>I22:I29</xm:sqref>
        </x14:conditionalFormatting>
      </x14:conditionalFormatting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A1:U26"/>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7" t="s">
        <v>27</v>
      </c>
      <c r="P1" s="248"/>
      <c r="Q1" s="248"/>
      <c r="R1" s="248"/>
      <c r="S1" s="248"/>
      <c r="T1" s="248"/>
      <c r="U1" s="249"/>
    </row>
    <row r="2" spans="1:21" ht="14.45" customHeight="1">
      <c r="A2" s="39"/>
      <c r="B2" s="100" t="s">
        <v>64</v>
      </c>
      <c r="C2" s="5"/>
      <c r="D2" s="5"/>
      <c r="E2" s="5"/>
      <c r="F2" s="5"/>
      <c r="G2" s="6"/>
      <c r="H2" s="7"/>
      <c r="I2" s="8"/>
      <c r="J2" s="250"/>
      <c r="K2" s="251"/>
      <c r="L2" s="250"/>
      <c r="M2" s="251"/>
      <c r="N2" s="52"/>
      <c r="O2" s="252" t="s">
        <v>892</v>
      </c>
      <c r="P2" s="253"/>
      <c r="Q2" s="253"/>
      <c r="R2" s="253"/>
      <c r="S2" s="253"/>
      <c r="T2" s="253"/>
      <c r="U2" s="254"/>
    </row>
    <row r="3" spans="1:21" ht="14.25" customHeight="1">
      <c r="A3" s="40"/>
      <c r="B3" s="35"/>
      <c r="C3" s="5"/>
      <c r="D3" s="5"/>
      <c r="E3" s="5"/>
      <c r="F3" s="5"/>
      <c r="G3" s="9"/>
      <c r="H3" s="10"/>
      <c r="I3" s="176" t="s">
        <v>1032</v>
      </c>
      <c r="J3" s="255" t="s">
        <v>1032</v>
      </c>
      <c r="K3" s="256"/>
      <c r="L3" s="255" t="s">
        <v>1032</v>
      </c>
      <c r="M3" s="256"/>
      <c r="N3" s="52"/>
      <c r="O3" s="257"/>
      <c r="P3" s="258"/>
      <c r="Q3" s="258"/>
      <c r="R3" s="258"/>
      <c r="S3" s="258"/>
      <c r="T3" s="258"/>
      <c r="U3" s="259"/>
    </row>
    <row r="4" spans="1:21" ht="14.45" customHeight="1">
      <c r="A4" s="41"/>
      <c r="B4" s="36" t="s">
        <v>3</v>
      </c>
      <c r="C4" s="5"/>
      <c r="D4" s="5"/>
      <c r="E4" s="5"/>
      <c r="F4" s="5"/>
      <c r="G4" s="6"/>
      <c r="H4" s="10"/>
      <c r="I4" s="177" t="s">
        <v>1035</v>
      </c>
      <c r="J4" s="240" t="s">
        <v>1034</v>
      </c>
      <c r="K4" s="241"/>
      <c r="L4" s="240" t="s">
        <v>1033</v>
      </c>
      <c r="M4" s="241"/>
      <c r="N4" s="52"/>
      <c r="O4" s="210"/>
      <c r="P4" s="211"/>
      <c r="Q4" s="211"/>
      <c r="R4" s="211"/>
      <c r="S4" s="211"/>
      <c r="T4" s="211"/>
      <c r="U4" s="212"/>
    </row>
    <row r="5" spans="1:21" ht="14.45" customHeight="1" thickBot="1">
      <c r="A5" s="42"/>
      <c r="B5" s="11"/>
      <c r="C5" s="11"/>
      <c r="D5" s="11"/>
      <c r="E5" s="11"/>
      <c r="F5" s="11"/>
      <c r="G5" s="12"/>
      <c r="H5" s="13"/>
      <c r="I5" s="14"/>
      <c r="J5" s="242"/>
      <c r="K5" s="243"/>
      <c r="L5" s="244"/>
      <c r="M5" s="245"/>
      <c r="N5" s="53"/>
      <c r="O5" s="246"/>
      <c r="P5" s="211"/>
      <c r="Q5" s="211"/>
      <c r="R5" s="211"/>
      <c r="S5" s="211"/>
      <c r="T5" s="211"/>
      <c r="U5" s="212"/>
    </row>
    <row r="6" spans="1:21" ht="14.45" customHeight="1">
      <c r="A6" s="43"/>
      <c r="B6" s="101" t="s">
        <v>4</v>
      </c>
      <c r="C6" s="20"/>
      <c r="D6" s="21"/>
      <c r="E6" s="222" t="s">
        <v>65</v>
      </c>
      <c r="F6" s="223"/>
      <c r="G6" s="223"/>
      <c r="H6" s="224"/>
      <c r="I6" s="60" t="s">
        <v>26</v>
      </c>
      <c r="J6" s="26"/>
      <c r="K6" s="225" t="s">
        <v>33</v>
      </c>
      <c r="L6" s="226"/>
      <c r="M6" s="227"/>
      <c r="N6" s="91" t="s">
        <v>5</v>
      </c>
      <c r="O6" s="210"/>
      <c r="P6" s="211"/>
      <c r="Q6" s="211"/>
      <c r="R6" s="211"/>
      <c r="S6" s="211"/>
      <c r="T6" s="211"/>
      <c r="U6" s="212"/>
    </row>
    <row r="7" spans="1:21" ht="15.75" customHeight="1">
      <c r="A7" s="44"/>
      <c r="B7" s="102" t="s">
        <v>6</v>
      </c>
      <c r="C7" s="22"/>
      <c r="D7" s="23"/>
      <c r="E7" s="228" t="s">
        <v>169</v>
      </c>
      <c r="F7" s="229"/>
      <c r="G7" s="229"/>
      <c r="H7" s="230"/>
      <c r="I7" s="61" t="s">
        <v>28</v>
      </c>
      <c r="J7" s="27"/>
      <c r="K7" s="231" t="s">
        <v>34</v>
      </c>
      <c r="L7" s="232"/>
      <c r="M7" s="233"/>
      <c r="N7" s="92">
        <f>COUNTIF(H14:H14,"LONG")+COUNTIF(H14:H14,"LONG RAW")</f>
        <v>0</v>
      </c>
      <c r="O7" s="210"/>
      <c r="P7" s="211"/>
      <c r="Q7" s="211"/>
      <c r="R7" s="211"/>
      <c r="S7" s="211"/>
      <c r="T7" s="211"/>
      <c r="U7" s="212"/>
    </row>
    <row r="8" spans="1:21" ht="14.45" customHeight="1">
      <c r="A8" s="45"/>
      <c r="B8" s="22" t="s">
        <v>7</v>
      </c>
      <c r="C8" s="22"/>
      <c r="D8" s="23"/>
      <c r="E8" s="228" t="s">
        <v>889</v>
      </c>
      <c r="F8" s="229"/>
      <c r="G8" s="229"/>
      <c r="H8" s="230"/>
      <c r="I8" s="62"/>
      <c r="J8" s="27"/>
      <c r="K8" s="234"/>
      <c r="L8" s="235"/>
      <c r="M8" s="236"/>
      <c r="N8" s="92"/>
      <c r="O8" s="210"/>
      <c r="P8" s="211"/>
      <c r="Q8" s="211"/>
      <c r="R8" s="211"/>
      <c r="S8" s="211"/>
      <c r="T8" s="211"/>
      <c r="U8" s="212"/>
    </row>
    <row r="9" spans="1:21" ht="14.45" customHeight="1">
      <c r="A9" s="45"/>
      <c r="B9" s="22" t="s">
        <v>8</v>
      </c>
      <c r="C9" s="22"/>
      <c r="D9" s="23"/>
      <c r="E9" s="237" t="s">
        <v>68</v>
      </c>
      <c r="F9" s="238"/>
      <c r="G9" s="238"/>
      <c r="H9" s="239"/>
      <c r="I9" s="61" t="s">
        <v>9</v>
      </c>
      <c r="J9" s="27"/>
      <c r="K9" s="86"/>
      <c r="L9" s="88">
        <f>SUM(N14:N27)</f>
        <v>128</v>
      </c>
      <c r="M9" s="82"/>
      <c r="N9" s="93">
        <f>SUMIF(M14:M14,"■",N14:N14)</f>
        <v>0</v>
      </c>
      <c r="O9" s="210"/>
      <c r="P9" s="211"/>
      <c r="Q9" s="211"/>
      <c r="R9" s="211"/>
      <c r="S9" s="211"/>
      <c r="T9" s="211"/>
      <c r="U9" s="212"/>
    </row>
    <row r="10" spans="1:21" ht="14.45" customHeight="1">
      <c r="A10" s="45"/>
      <c r="B10" s="22" t="s">
        <v>10</v>
      </c>
      <c r="C10" s="22"/>
      <c r="D10" s="23"/>
      <c r="E10" s="219" t="s">
        <v>68</v>
      </c>
      <c r="F10" s="220"/>
      <c r="G10" s="220"/>
      <c r="H10" s="221"/>
      <c r="I10" s="61" t="s">
        <v>11</v>
      </c>
      <c r="J10" s="27"/>
      <c r="K10" s="86"/>
      <c r="L10" s="89">
        <f>E11*L9/1000</f>
        <v>0</v>
      </c>
      <c r="M10" s="82"/>
      <c r="N10" s="55"/>
      <c r="O10" s="210"/>
      <c r="P10" s="211"/>
      <c r="Q10" s="211"/>
      <c r="R10" s="211"/>
      <c r="S10" s="211"/>
      <c r="T10" s="211"/>
      <c r="U10" s="212"/>
    </row>
    <row r="11" spans="1:21" ht="17.25" customHeight="1" thickBot="1">
      <c r="A11" s="46"/>
      <c r="B11" s="24" t="s">
        <v>29</v>
      </c>
      <c r="C11" s="24"/>
      <c r="D11" s="25"/>
      <c r="E11" s="207"/>
      <c r="F11" s="208"/>
      <c r="G11" s="208"/>
      <c r="H11" s="209"/>
      <c r="I11" s="103" t="s">
        <v>12</v>
      </c>
      <c r="J11" s="104"/>
      <c r="K11" s="87"/>
      <c r="L11" s="90"/>
      <c r="M11" s="83"/>
      <c r="N11" s="56"/>
      <c r="O11" s="210"/>
      <c r="P11" s="211"/>
      <c r="Q11" s="211"/>
      <c r="R11" s="211"/>
      <c r="S11" s="211"/>
      <c r="T11" s="211"/>
      <c r="U11" s="212"/>
    </row>
    <row r="12" spans="1:21" ht="15.75" customHeight="1" thickBot="1">
      <c r="A12" s="64"/>
      <c r="B12" s="65"/>
      <c r="C12" s="30"/>
      <c r="D12" s="30"/>
      <c r="E12" s="31"/>
      <c r="F12" s="32"/>
      <c r="G12" s="29"/>
      <c r="H12" s="28"/>
      <c r="I12" s="29"/>
      <c r="J12" s="30" t="s">
        <v>13</v>
      </c>
      <c r="K12" s="31"/>
      <c r="L12" s="66"/>
      <c r="M12" s="48"/>
      <c r="N12" s="57">
        <f>COUNTA(H14:H14)</f>
        <v>1</v>
      </c>
      <c r="O12" s="213"/>
      <c r="P12" s="214"/>
      <c r="Q12" s="214"/>
      <c r="R12" s="214"/>
      <c r="S12" s="214"/>
      <c r="T12" s="214"/>
      <c r="U12" s="21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16" t="s">
        <v>32</v>
      </c>
      <c r="Q13" s="217"/>
      <c r="R13" s="217"/>
      <c r="S13" s="217"/>
      <c r="T13" s="217"/>
      <c r="U13" s="218"/>
    </row>
    <row r="14" spans="1:21" ht="15.75" customHeight="1">
      <c r="A14" s="85" t="s">
        <v>188</v>
      </c>
      <c r="B14" s="37">
        <f>ROW()-13</f>
        <v>1</v>
      </c>
      <c r="C14" s="145" t="s">
        <v>191</v>
      </c>
      <c r="D14" s="80"/>
      <c r="E14" s="81"/>
      <c r="F14" s="146" t="s">
        <v>192</v>
      </c>
      <c r="G14" s="17"/>
      <c r="H14" s="18" t="s">
        <v>51</v>
      </c>
      <c r="I14" s="59"/>
      <c r="J14" s="19">
        <v>3</v>
      </c>
      <c r="K14" s="19"/>
      <c r="L14" s="50" t="s">
        <v>187</v>
      </c>
      <c r="M14" s="73" t="s">
        <v>21</v>
      </c>
      <c r="N14" s="54">
        <f t="shared" ref="N14:N25" si="0">IF(H14="NUMBER",IF(J14&gt;0,INT((J14+1)/2+0.9),0),IF(H14="DATE",7,IF(OR(H14="LONG",H14="LONG RAW"),100000,J14)))</f>
        <v>3</v>
      </c>
      <c r="O14" s="167"/>
      <c r="P14" s="203" t="s">
        <v>893</v>
      </c>
      <c r="Q14" s="204"/>
      <c r="R14" s="204"/>
      <c r="S14" s="204"/>
      <c r="T14" s="204"/>
      <c r="U14" s="205"/>
    </row>
    <row r="15" spans="1:21" ht="15.75" customHeight="1">
      <c r="A15" s="85" t="s">
        <v>188</v>
      </c>
      <c r="B15" s="37">
        <f>ROW()-13</f>
        <v>2</v>
      </c>
      <c r="C15" s="145" t="s">
        <v>377</v>
      </c>
      <c r="D15" s="80"/>
      <c r="E15" s="81"/>
      <c r="F15" s="146" t="s">
        <v>378</v>
      </c>
      <c r="G15" s="17"/>
      <c r="H15" s="18" t="s">
        <v>51</v>
      </c>
      <c r="I15" s="59"/>
      <c r="J15" s="19">
        <v>10</v>
      </c>
      <c r="K15" s="19"/>
      <c r="L15" s="50" t="s">
        <v>187</v>
      </c>
      <c r="M15" s="73" t="s">
        <v>21</v>
      </c>
      <c r="N15" s="54">
        <f t="shared" si="0"/>
        <v>10</v>
      </c>
      <c r="O15" s="167"/>
      <c r="P15" s="203" t="s">
        <v>893</v>
      </c>
      <c r="Q15" s="204"/>
      <c r="R15" s="204"/>
      <c r="S15" s="204"/>
      <c r="T15" s="204"/>
      <c r="U15" s="205"/>
    </row>
    <row r="16" spans="1:21" ht="15.75" customHeight="1">
      <c r="A16" s="85" t="s">
        <v>188</v>
      </c>
      <c r="B16" s="37">
        <f>ROW()-13</f>
        <v>3</v>
      </c>
      <c r="C16" s="145" t="s">
        <v>894</v>
      </c>
      <c r="D16" s="80"/>
      <c r="E16" s="81"/>
      <c r="F16" s="146" t="s">
        <v>895</v>
      </c>
      <c r="G16" s="17"/>
      <c r="H16" s="18" t="s">
        <v>51</v>
      </c>
      <c r="I16" s="59"/>
      <c r="J16" s="19">
        <v>3</v>
      </c>
      <c r="K16" s="19"/>
      <c r="L16" s="50" t="s">
        <v>187</v>
      </c>
      <c r="M16" s="73" t="s">
        <v>21</v>
      </c>
      <c r="N16" s="54">
        <f t="shared" si="0"/>
        <v>3</v>
      </c>
      <c r="O16" s="167"/>
      <c r="P16" s="203" t="s">
        <v>896</v>
      </c>
      <c r="Q16" s="204"/>
      <c r="R16" s="204"/>
      <c r="S16" s="204"/>
      <c r="T16" s="204"/>
      <c r="U16" s="205"/>
    </row>
    <row r="17" spans="1:21" ht="15.75" customHeight="1">
      <c r="A17" s="85" t="s">
        <v>188</v>
      </c>
      <c r="B17" s="37">
        <f>ROW()-13</f>
        <v>4</v>
      </c>
      <c r="C17" s="145" t="s">
        <v>897</v>
      </c>
      <c r="D17" s="80"/>
      <c r="E17" s="81"/>
      <c r="F17" s="146" t="s">
        <v>898</v>
      </c>
      <c r="G17" s="17"/>
      <c r="H17" s="18" t="s">
        <v>51</v>
      </c>
      <c r="I17" s="59"/>
      <c r="J17" s="19">
        <v>10</v>
      </c>
      <c r="K17" s="19"/>
      <c r="L17" s="50" t="s">
        <v>187</v>
      </c>
      <c r="M17" s="73" t="s">
        <v>21</v>
      </c>
      <c r="N17" s="54">
        <f t="shared" si="0"/>
        <v>10</v>
      </c>
      <c r="O17" s="167"/>
      <c r="P17" s="203" t="s">
        <v>896</v>
      </c>
      <c r="Q17" s="204"/>
      <c r="R17" s="204"/>
      <c r="S17" s="204"/>
      <c r="T17" s="204"/>
      <c r="U17" s="205"/>
    </row>
    <row r="18" spans="1:21" ht="15.75" customHeight="1">
      <c r="A18" s="85"/>
      <c r="B18" s="37">
        <f>ROW()-13</f>
        <v>5</v>
      </c>
      <c r="C18" s="145" t="s">
        <v>293</v>
      </c>
      <c r="D18" s="80"/>
      <c r="E18" s="81"/>
      <c r="F18" s="146" t="s">
        <v>294</v>
      </c>
      <c r="G18" s="17"/>
      <c r="H18" s="18" t="s">
        <v>51</v>
      </c>
      <c r="I18" s="59"/>
      <c r="J18" s="19">
        <v>50</v>
      </c>
      <c r="K18" s="19"/>
      <c r="L18" s="50"/>
      <c r="M18" s="73" t="s">
        <v>21</v>
      </c>
      <c r="N18" s="54">
        <f t="shared" si="0"/>
        <v>50</v>
      </c>
      <c r="O18" s="167"/>
      <c r="P18" s="203"/>
      <c r="Q18" s="204"/>
      <c r="R18" s="204"/>
      <c r="S18" s="204"/>
      <c r="T18" s="204"/>
      <c r="U18" s="205"/>
    </row>
    <row r="19" spans="1:21" ht="15.75">
      <c r="A19" s="85"/>
      <c r="B19" s="37">
        <f t="shared" ref="B19:B25" si="1">ROW()-13</f>
        <v>6</v>
      </c>
      <c r="C19" s="107" t="s">
        <v>36</v>
      </c>
      <c r="D19" s="107"/>
      <c r="E19" s="108"/>
      <c r="F19" s="109" t="s">
        <v>78</v>
      </c>
      <c r="G19" s="110"/>
      <c r="H19" s="18" t="s">
        <v>51</v>
      </c>
      <c r="I19" s="59"/>
      <c r="J19" s="113">
        <v>12</v>
      </c>
      <c r="K19" s="113"/>
      <c r="L19" s="114"/>
      <c r="M19" s="115" t="s">
        <v>35</v>
      </c>
      <c r="N19" s="116">
        <f t="shared" si="0"/>
        <v>12</v>
      </c>
      <c r="O19" s="168"/>
      <c r="P19" s="200"/>
      <c r="Q19" s="201"/>
      <c r="R19" s="201"/>
      <c r="S19" s="201"/>
      <c r="T19" s="201"/>
      <c r="U19" s="202"/>
    </row>
    <row r="20" spans="1:21" ht="15.75">
      <c r="A20" s="85"/>
      <c r="B20" s="37">
        <f t="shared" si="1"/>
        <v>7</v>
      </c>
      <c r="C20" s="107" t="s">
        <v>37</v>
      </c>
      <c r="D20" s="107"/>
      <c r="E20" s="108"/>
      <c r="F20" s="109" t="s">
        <v>43</v>
      </c>
      <c r="G20" s="110"/>
      <c r="H20" s="18" t="s">
        <v>51</v>
      </c>
      <c r="I20" s="59"/>
      <c r="J20" s="113">
        <v>10</v>
      </c>
      <c r="K20" s="113"/>
      <c r="L20" s="114"/>
      <c r="M20" s="115" t="s">
        <v>21</v>
      </c>
      <c r="N20" s="116">
        <f t="shared" si="0"/>
        <v>10</v>
      </c>
      <c r="O20" s="168"/>
      <c r="P20" s="200"/>
      <c r="Q20" s="201"/>
      <c r="R20" s="201"/>
      <c r="S20" s="201"/>
      <c r="T20" s="201"/>
      <c r="U20" s="202"/>
    </row>
    <row r="21" spans="1:21" ht="15.75">
      <c r="A21" s="85"/>
      <c r="B21" s="37">
        <f t="shared" si="1"/>
        <v>8</v>
      </c>
      <c r="C21" s="107" t="s">
        <v>38</v>
      </c>
      <c r="D21" s="107"/>
      <c r="E21" s="108"/>
      <c r="F21" s="109" t="s">
        <v>80</v>
      </c>
      <c r="G21" s="110"/>
      <c r="H21" s="18" t="s">
        <v>86</v>
      </c>
      <c r="I21" s="59"/>
      <c r="J21" s="113"/>
      <c r="K21" s="113"/>
      <c r="L21" s="114"/>
      <c r="M21" s="115" t="s">
        <v>21</v>
      </c>
      <c r="N21" s="116">
        <f t="shared" si="0"/>
        <v>0</v>
      </c>
      <c r="O21" s="168"/>
      <c r="P21" s="200"/>
      <c r="Q21" s="201"/>
      <c r="R21" s="201"/>
      <c r="S21" s="201"/>
      <c r="T21" s="201"/>
      <c r="U21" s="202"/>
    </row>
    <row r="22" spans="1:21" ht="15.75">
      <c r="A22" s="85"/>
      <c r="B22" s="37">
        <f t="shared" si="1"/>
        <v>9</v>
      </c>
      <c r="C22" s="107" t="s">
        <v>39</v>
      </c>
      <c r="D22" s="107"/>
      <c r="E22" s="108"/>
      <c r="F22" s="109" t="s">
        <v>79</v>
      </c>
      <c r="G22" s="110"/>
      <c r="H22" s="18" t="s">
        <v>51</v>
      </c>
      <c r="I22" s="59"/>
      <c r="J22" s="113">
        <v>12</v>
      </c>
      <c r="K22" s="113"/>
      <c r="L22" s="114"/>
      <c r="M22" s="115" t="s">
        <v>35</v>
      </c>
      <c r="N22" s="116">
        <f t="shared" si="0"/>
        <v>12</v>
      </c>
      <c r="O22" s="168"/>
      <c r="P22" s="200"/>
      <c r="Q22" s="201"/>
      <c r="R22" s="201"/>
      <c r="S22" s="201"/>
      <c r="T22" s="201"/>
      <c r="U22" s="202"/>
    </row>
    <row r="23" spans="1:21" ht="15.75">
      <c r="A23" s="85"/>
      <c r="B23" s="37">
        <f t="shared" si="1"/>
        <v>10</v>
      </c>
      <c r="C23" s="107" t="s">
        <v>40</v>
      </c>
      <c r="D23" s="107"/>
      <c r="E23" s="108"/>
      <c r="F23" s="109" t="s">
        <v>44</v>
      </c>
      <c r="G23" s="110"/>
      <c r="H23" s="18" t="s">
        <v>51</v>
      </c>
      <c r="I23" s="59"/>
      <c r="J23" s="113">
        <v>10</v>
      </c>
      <c r="K23" s="113"/>
      <c r="L23" s="114"/>
      <c r="M23" s="115" t="s">
        <v>21</v>
      </c>
      <c r="N23" s="116">
        <f t="shared" si="0"/>
        <v>10</v>
      </c>
      <c r="O23" s="168"/>
      <c r="P23" s="200"/>
      <c r="Q23" s="201"/>
      <c r="R23" s="201"/>
      <c r="S23" s="201"/>
      <c r="T23" s="201"/>
      <c r="U23" s="202"/>
    </row>
    <row r="24" spans="1:21" ht="15.75">
      <c r="A24" s="85"/>
      <c r="B24" s="37">
        <f t="shared" si="1"/>
        <v>11</v>
      </c>
      <c r="C24" s="107" t="s">
        <v>41</v>
      </c>
      <c r="D24" s="107"/>
      <c r="E24" s="108"/>
      <c r="F24" s="109" t="s">
        <v>81</v>
      </c>
      <c r="G24" s="110"/>
      <c r="H24" s="18" t="s">
        <v>86</v>
      </c>
      <c r="I24" s="59"/>
      <c r="J24" s="113"/>
      <c r="K24" s="113"/>
      <c r="L24" s="114"/>
      <c r="M24" s="115" t="s">
        <v>21</v>
      </c>
      <c r="N24" s="116">
        <f t="shared" si="0"/>
        <v>0</v>
      </c>
      <c r="O24" s="168"/>
      <c r="P24" s="200"/>
      <c r="Q24" s="201"/>
      <c r="R24" s="201"/>
      <c r="S24" s="201"/>
      <c r="T24" s="201"/>
      <c r="U24" s="202"/>
    </row>
    <row r="25" spans="1:21" ht="15.75">
      <c r="A25" s="85"/>
      <c r="B25" s="37">
        <f t="shared" si="1"/>
        <v>12</v>
      </c>
      <c r="C25" s="80" t="s">
        <v>46</v>
      </c>
      <c r="D25" s="80"/>
      <c r="E25" s="81"/>
      <c r="F25" s="84" t="s">
        <v>71</v>
      </c>
      <c r="G25" s="17"/>
      <c r="H25" s="18" t="s">
        <v>62</v>
      </c>
      <c r="I25" s="59"/>
      <c r="J25" s="19">
        <v>8</v>
      </c>
      <c r="K25" s="19"/>
      <c r="L25" s="50" t="s">
        <v>47</v>
      </c>
      <c r="M25" s="73" t="s">
        <v>35</v>
      </c>
      <c r="N25" s="54">
        <f t="shared" si="0"/>
        <v>8</v>
      </c>
      <c r="O25" s="167">
        <v>0</v>
      </c>
      <c r="P25" s="203" t="s">
        <v>48</v>
      </c>
      <c r="Q25" s="204"/>
      <c r="R25" s="204"/>
      <c r="S25" s="204"/>
      <c r="T25" s="204"/>
      <c r="U25" s="205"/>
    </row>
    <row r="26" spans="1:21" ht="16.5" thickBot="1">
      <c r="A26" s="118"/>
      <c r="B26" s="119"/>
      <c r="C26" s="120"/>
      <c r="D26" s="120"/>
      <c r="E26" s="121"/>
      <c r="F26" s="129"/>
      <c r="G26" s="122"/>
      <c r="H26" s="147"/>
      <c r="I26" s="148"/>
      <c r="J26" s="125"/>
      <c r="K26" s="125"/>
      <c r="L26" s="126"/>
      <c r="M26" s="126"/>
      <c r="N26" s="127"/>
      <c r="O26" s="169"/>
      <c r="P26" s="197"/>
      <c r="Q26" s="198"/>
      <c r="R26" s="198"/>
      <c r="S26" s="198"/>
      <c r="T26" s="198"/>
      <c r="U26" s="199"/>
    </row>
  </sheetData>
  <mergeCells count="43">
    <mergeCell ref="O1:U1"/>
    <mergeCell ref="J2:K2"/>
    <mergeCell ref="L2:M2"/>
    <mergeCell ref="O2:U2"/>
    <mergeCell ref="J3:K3"/>
    <mergeCell ref="L3:M3"/>
    <mergeCell ref="O3:U3"/>
    <mergeCell ref="J4:K4"/>
    <mergeCell ref="L4:M4"/>
    <mergeCell ref="O4:U4"/>
    <mergeCell ref="J5:K5"/>
    <mergeCell ref="L5:M5"/>
    <mergeCell ref="O5:U5"/>
    <mergeCell ref="E10:H10"/>
    <mergeCell ref="O10:U10"/>
    <mergeCell ref="E6:H6"/>
    <mergeCell ref="K6:M6"/>
    <mergeCell ref="O6:U6"/>
    <mergeCell ref="E7:H7"/>
    <mergeCell ref="K7:M7"/>
    <mergeCell ref="O7:U7"/>
    <mergeCell ref="E8:H8"/>
    <mergeCell ref="K8:M8"/>
    <mergeCell ref="O8:U8"/>
    <mergeCell ref="E9:H9"/>
    <mergeCell ref="O9:U9"/>
    <mergeCell ref="P21:U21"/>
    <mergeCell ref="E11:H11"/>
    <mergeCell ref="O11:U11"/>
    <mergeCell ref="O12:U12"/>
    <mergeCell ref="P13:U13"/>
    <mergeCell ref="P14:U14"/>
    <mergeCell ref="P15:U15"/>
    <mergeCell ref="P16:U16"/>
    <mergeCell ref="P17:U17"/>
    <mergeCell ref="P18:U18"/>
    <mergeCell ref="P19:U19"/>
    <mergeCell ref="P20:U20"/>
    <mergeCell ref="P22:U22"/>
    <mergeCell ref="P23:U23"/>
    <mergeCell ref="P24:U24"/>
    <mergeCell ref="P25:U25"/>
    <mergeCell ref="P26:U26"/>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1"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51202"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51203"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51204"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51205"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51206"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6373D120-E1F2-45B2-BEC5-A1F687F0B2F8}">
            <xm:f>(AND(H14&lt;&gt;"",ISERROR(VLOOKUP(H14,system!$E:$E,1,FALSE))))</xm:f>
            <x14:dxf>
              <fill>
                <patternFill patternType="solid">
                  <bgColor rgb="FFFF0000"/>
                </patternFill>
              </fill>
            </x14:dxf>
          </x14:cfRule>
          <xm:sqref>H14:H18</xm:sqref>
        </x14:conditionalFormatting>
        <x14:conditionalFormatting xmlns:xm="http://schemas.microsoft.com/office/excel/2006/main">
          <x14:cfRule type="expression" priority="3" id="{2C7CED7D-5517-4135-B3E5-DED82DB83488}">
            <xm:f>(AND(H14&lt;&gt;"",ISERROR(VLOOKUP(H14,system!$E:$E,1,FALSE))))</xm:f>
            <x14:dxf>
              <fill>
                <patternFill>
                  <bgColor rgb="FFFF0000"/>
                </patternFill>
              </fill>
            </x14:dxf>
          </x14:cfRule>
          <xm:sqref>I14:I18</xm:sqref>
        </x14:conditionalFormatting>
        <x14:conditionalFormatting xmlns:xm="http://schemas.microsoft.com/office/excel/2006/main">
          <x14:cfRule type="expression" priority="2" id="{10B7259B-ADD7-438C-BD1F-086A59C8D5B4}">
            <xm:f>(AND(H19&lt;&gt;"",ISERROR(VLOOKUP(H19,system!$E:$E,1,FALSE))))</xm:f>
            <x14:dxf>
              <fill>
                <patternFill patternType="solid">
                  <bgColor rgb="FFFF0000"/>
                </patternFill>
              </fill>
            </x14:dxf>
          </x14:cfRule>
          <xm:sqref>H19:H26</xm:sqref>
        </x14:conditionalFormatting>
        <x14:conditionalFormatting xmlns:xm="http://schemas.microsoft.com/office/excel/2006/main">
          <x14:cfRule type="expression" priority="1" id="{3920B3F9-0DFC-4928-8FE2-53643DA47933}">
            <xm:f>(AND(H19&lt;&gt;"",ISERROR(VLOOKUP(H19,system!$E:$E,1,FALSE))))</xm:f>
            <x14:dxf>
              <fill>
                <patternFill>
                  <bgColor rgb="FFFF0000"/>
                </patternFill>
              </fill>
            </x14:dxf>
          </x14:cfRule>
          <xm:sqref>I19:I26</xm:sqref>
        </x14:conditionalFormatting>
      </x14:conditionalFormatting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A1:U30"/>
  <sheetViews>
    <sheetView showGridLines="0" zoomScaleNormal="100" workbookViewId="0">
      <pane ySplit="13" topLeftCell="A20" activePane="bottomLeft" state="frozen"/>
      <selection activeCell="D13" sqref="D13"/>
      <selection pane="bottomLeft" activeCell="E7" sqref="E7:H7"/>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7" t="s">
        <v>27</v>
      </c>
      <c r="P1" s="248"/>
      <c r="Q1" s="248"/>
      <c r="R1" s="248"/>
      <c r="S1" s="248"/>
      <c r="T1" s="248"/>
      <c r="U1" s="249"/>
    </row>
    <row r="2" spans="1:21" ht="14.45" customHeight="1">
      <c r="A2" s="39"/>
      <c r="B2" s="100" t="s">
        <v>64</v>
      </c>
      <c r="C2" s="5"/>
      <c r="D2" s="5"/>
      <c r="E2" s="5"/>
      <c r="F2" s="5"/>
      <c r="G2" s="6"/>
      <c r="H2" s="7"/>
      <c r="I2" s="8"/>
      <c r="J2" s="250"/>
      <c r="K2" s="251"/>
      <c r="L2" s="250"/>
      <c r="M2" s="251"/>
      <c r="N2" s="52"/>
      <c r="O2" s="252" t="s">
        <v>901</v>
      </c>
      <c r="P2" s="253"/>
      <c r="Q2" s="253"/>
      <c r="R2" s="253"/>
      <c r="S2" s="253"/>
      <c r="T2" s="253"/>
      <c r="U2" s="254"/>
    </row>
    <row r="3" spans="1:21" ht="14.25" customHeight="1">
      <c r="A3" s="40"/>
      <c r="B3" s="35"/>
      <c r="C3" s="5"/>
      <c r="D3" s="5"/>
      <c r="E3" s="5"/>
      <c r="F3" s="5"/>
      <c r="G3" s="9"/>
      <c r="H3" s="10"/>
      <c r="I3" s="176" t="s">
        <v>1032</v>
      </c>
      <c r="J3" s="255" t="s">
        <v>1032</v>
      </c>
      <c r="K3" s="256"/>
      <c r="L3" s="255" t="s">
        <v>1032</v>
      </c>
      <c r="M3" s="256"/>
      <c r="N3" s="52"/>
      <c r="O3" s="257"/>
      <c r="P3" s="258"/>
      <c r="Q3" s="258"/>
      <c r="R3" s="258"/>
      <c r="S3" s="258"/>
      <c r="T3" s="258"/>
      <c r="U3" s="259"/>
    </row>
    <row r="4" spans="1:21" ht="14.45" customHeight="1">
      <c r="A4" s="41"/>
      <c r="B4" s="36" t="s">
        <v>3</v>
      </c>
      <c r="C4" s="5"/>
      <c r="D4" s="5"/>
      <c r="E4" s="5"/>
      <c r="F4" s="5"/>
      <c r="G4" s="6"/>
      <c r="H4" s="10"/>
      <c r="I4" s="177" t="s">
        <v>1035</v>
      </c>
      <c r="J4" s="240" t="s">
        <v>1034</v>
      </c>
      <c r="K4" s="241"/>
      <c r="L4" s="240" t="s">
        <v>1033</v>
      </c>
      <c r="M4" s="241"/>
      <c r="N4" s="52"/>
      <c r="O4" s="210"/>
      <c r="P4" s="211"/>
      <c r="Q4" s="211"/>
      <c r="R4" s="211"/>
      <c r="S4" s="211"/>
      <c r="T4" s="211"/>
      <c r="U4" s="212"/>
    </row>
    <row r="5" spans="1:21" ht="14.45" customHeight="1" thickBot="1">
      <c r="A5" s="42"/>
      <c r="B5" s="11"/>
      <c r="C5" s="11"/>
      <c r="D5" s="11"/>
      <c r="E5" s="11"/>
      <c r="F5" s="11"/>
      <c r="G5" s="12"/>
      <c r="H5" s="13"/>
      <c r="I5" s="14"/>
      <c r="J5" s="242"/>
      <c r="K5" s="243"/>
      <c r="L5" s="244"/>
      <c r="M5" s="245"/>
      <c r="N5" s="53"/>
      <c r="O5" s="246"/>
      <c r="P5" s="211"/>
      <c r="Q5" s="211"/>
      <c r="R5" s="211"/>
      <c r="S5" s="211"/>
      <c r="T5" s="211"/>
      <c r="U5" s="212"/>
    </row>
    <row r="6" spans="1:21" ht="14.45" customHeight="1">
      <c r="A6" s="43"/>
      <c r="B6" s="101" t="s">
        <v>4</v>
      </c>
      <c r="C6" s="20"/>
      <c r="D6" s="21"/>
      <c r="E6" s="222" t="s">
        <v>65</v>
      </c>
      <c r="F6" s="223"/>
      <c r="G6" s="223"/>
      <c r="H6" s="224"/>
      <c r="I6" s="60" t="s">
        <v>26</v>
      </c>
      <c r="J6" s="26"/>
      <c r="K6" s="225" t="s">
        <v>33</v>
      </c>
      <c r="L6" s="226"/>
      <c r="M6" s="227"/>
      <c r="N6" s="91" t="s">
        <v>5</v>
      </c>
      <c r="O6" s="210"/>
      <c r="P6" s="211"/>
      <c r="Q6" s="211"/>
      <c r="R6" s="211"/>
      <c r="S6" s="211"/>
      <c r="T6" s="211"/>
      <c r="U6" s="212"/>
    </row>
    <row r="7" spans="1:21" ht="15.75" customHeight="1">
      <c r="A7" s="44"/>
      <c r="B7" s="102" t="s">
        <v>6</v>
      </c>
      <c r="C7" s="22"/>
      <c r="D7" s="23"/>
      <c r="E7" s="228" t="s">
        <v>1090</v>
      </c>
      <c r="F7" s="229"/>
      <c r="G7" s="229"/>
      <c r="H7" s="230"/>
      <c r="I7" s="61" t="s">
        <v>28</v>
      </c>
      <c r="J7" s="27"/>
      <c r="K7" s="231" t="s">
        <v>34</v>
      </c>
      <c r="L7" s="232"/>
      <c r="M7" s="233"/>
      <c r="N7" s="92">
        <f>COUNTIF(H14:H14,"LONG")+COUNTIF(H14:H14,"LONG RAW")</f>
        <v>0</v>
      </c>
      <c r="O7" s="210"/>
      <c r="P7" s="211"/>
      <c r="Q7" s="211"/>
      <c r="R7" s="211"/>
      <c r="S7" s="211"/>
      <c r="T7" s="211"/>
      <c r="U7" s="212"/>
    </row>
    <row r="8" spans="1:21" ht="14.45" customHeight="1">
      <c r="A8" s="45"/>
      <c r="B8" s="22" t="s">
        <v>7</v>
      </c>
      <c r="C8" s="22"/>
      <c r="D8" s="23"/>
      <c r="E8" s="228" t="s">
        <v>899</v>
      </c>
      <c r="F8" s="229"/>
      <c r="G8" s="229"/>
      <c r="H8" s="230"/>
      <c r="I8" s="62"/>
      <c r="J8" s="27"/>
      <c r="K8" s="234"/>
      <c r="L8" s="235"/>
      <c r="M8" s="236"/>
      <c r="N8" s="92"/>
      <c r="O8" s="210"/>
      <c r="P8" s="211"/>
      <c r="Q8" s="211"/>
      <c r="R8" s="211"/>
      <c r="S8" s="211"/>
      <c r="T8" s="211"/>
      <c r="U8" s="212"/>
    </row>
    <row r="9" spans="1:21" ht="14.45" customHeight="1">
      <c r="A9" s="45"/>
      <c r="B9" s="22" t="s">
        <v>8</v>
      </c>
      <c r="C9" s="22"/>
      <c r="D9" s="23"/>
      <c r="E9" s="237" t="s">
        <v>68</v>
      </c>
      <c r="F9" s="238"/>
      <c r="G9" s="238"/>
      <c r="H9" s="239"/>
      <c r="I9" s="61" t="s">
        <v>9</v>
      </c>
      <c r="J9" s="27"/>
      <c r="K9" s="86"/>
      <c r="L9" s="88">
        <f>SUM(N14:N31)</f>
        <v>124</v>
      </c>
      <c r="M9" s="82"/>
      <c r="N9" s="93">
        <f>SUMIF(M14:M14,"■",N14:N14)</f>
        <v>0</v>
      </c>
      <c r="O9" s="210"/>
      <c r="P9" s="211"/>
      <c r="Q9" s="211"/>
      <c r="R9" s="211"/>
      <c r="S9" s="211"/>
      <c r="T9" s="211"/>
      <c r="U9" s="212"/>
    </row>
    <row r="10" spans="1:21" ht="14.45" customHeight="1">
      <c r="A10" s="45"/>
      <c r="B10" s="22" t="s">
        <v>10</v>
      </c>
      <c r="C10" s="22"/>
      <c r="D10" s="23"/>
      <c r="E10" s="219" t="s">
        <v>68</v>
      </c>
      <c r="F10" s="220"/>
      <c r="G10" s="220"/>
      <c r="H10" s="221"/>
      <c r="I10" s="61" t="s">
        <v>11</v>
      </c>
      <c r="J10" s="27"/>
      <c r="K10" s="86"/>
      <c r="L10" s="89">
        <f>E11*L9/1000</f>
        <v>0</v>
      </c>
      <c r="M10" s="82"/>
      <c r="N10" s="55"/>
      <c r="O10" s="210"/>
      <c r="P10" s="211"/>
      <c r="Q10" s="211"/>
      <c r="R10" s="211"/>
      <c r="S10" s="211"/>
      <c r="T10" s="211"/>
      <c r="U10" s="212"/>
    </row>
    <row r="11" spans="1:21" ht="17.25" customHeight="1" thickBot="1">
      <c r="A11" s="46"/>
      <c r="B11" s="24" t="s">
        <v>29</v>
      </c>
      <c r="C11" s="24"/>
      <c r="D11" s="25"/>
      <c r="E11" s="207"/>
      <c r="F11" s="208"/>
      <c r="G11" s="208"/>
      <c r="H11" s="209"/>
      <c r="I11" s="103" t="s">
        <v>12</v>
      </c>
      <c r="J11" s="104"/>
      <c r="K11" s="87"/>
      <c r="L11" s="90"/>
      <c r="M11" s="83"/>
      <c r="N11" s="56"/>
      <c r="O11" s="210"/>
      <c r="P11" s="211"/>
      <c r="Q11" s="211"/>
      <c r="R11" s="211"/>
      <c r="S11" s="211"/>
      <c r="T11" s="211"/>
      <c r="U11" s="212"/>
    </row>
    <row r="12" spans="1:21" ht="15.75" customHeight="1" thickBot="1">
      <c r="A12" s="64"/>
      <c r="B12" s="65"/>
      <c r="C12" s="30"/>
      <c r="D12" s="30"/>
      <c r="E12" s="31"/>
      <c r="F12" s="32"/>
      <c r="G12" s="29"/>
      <c r="H12" s="28"/>
      <c r="I12" s="29"/>
      <c r="J12" s="30" t="s">
        <v>13</v>
      </c>
      <c r="K12" s="31"/>
      <c r="L12" s="66"/>
      <c r="M12" s="48"/>
      <c r="N12" s="57">
        <f>COUNTA(H14:H14)</f>
        <v>1</v>
      </c>
      <c r="O12" s="213"/>
      <c r="P12" s="214"/>
      <c r="Q12" s="214"/>
      <c r="R12" s="214"/>
      <c r="S12" s="214"/>
      <c r="T12" s="214"/>
      <c r="U12" s="21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16" t="s">
        <v>32</v>
      </c>
      <c r="Q13" s="217"/>
      <c r="R13" s="217"/>
      <c r="S13" s="217"/>
      <c r="T13" s="217"/>
      <c r="U13" s="218"/>
    </row>
    <row r="14" spans="1:21" ht="15.75" customHeight="1">
      <c r="A14" s="85" t="s">
        <v>188</v>
      </c>
      <c r="B14" s="37">
        <f t="shared" ref="B14:B22" si="0">ROW()-13</f>
        <v>1</v>
      </c>
      <c r="C14" s="145" t="s">
        <v>191</v>
      </c>
      <c r="D14" s="80"/>
      <c r="E14" s="81"/>
      <c r="F14" s="146" t="s">
        <v>192</v>
      </c>
      <c r="G14" s="17"/>
      <c r="H14" s="18" t="s">
        <v>49</v>
      </c>
      <c r="I14" s="59"/>
      <c r="J14" s="19">
        <v>2</v>
      </c>
      <c r="K14" s="19"/>
      <c r="L14" s="50" t="s">
        <v>187</v>
      </c>
      <c r="M14" s="73" t="s">
        <v>21</v>
      </c>
      <c r="N14" s="54">
        <f t="shared" ref="N14:N29" si="1">IF(H14="NUMBER",IF(J14&gt;0,INT((J14+1)/2+0.9),0),IF(H14="DATE",7,IF(OR(H14="LONG",H14="LONG RAW"),100000,J14)))</f>
        <v>2</v>
      </c>
      <c r="O14" s="167"/>
      <c r="P14" s="203" t="s">
        <v>902</v>
      </c>
      <c r="Q14" s="204"/>
      <c r="R14" s="204"/>
      <c r="S14" s="204"/>
      <c r="T14" s="204"/>
      <c r="U14" s="205"/>
    </row>
    <row r="15" spans="1:21" ht="15.75" customHeight="1">
      <c r="A15" s="85" t="s">
        <v>188</v>
      </c>
      <c r="B15" s="37">
        <f t="shared" si="0"/>
        <v>2</v>
      </c>
      <c r="C15" s="145" t="s">
        <v>386</v>
      </c>
      <c r="D15" s="80"/>
      <c r="E15" s="81"/>
      <c r="F15" s="146" t="s">
        <v>387</v>
      </c>
      <c r="G15" s="17"/>
      <c r="H15" s="18" t="s">
        <v>49</v>
      </c>
      <c r="I15" s="59"/>
      <c r="J15" s="19">
        <v>2</v>
      </c>
      <c r="K15" s="19"/>
      <c r="L15" s="50" t="s">
        <v>187</v>
      </c>
      <c r="M15" s="73" t="s">
        <v>21</v>
      </c>
      <c r="N15" s="54">
        <f t="shared" si="1"/>
        <v>2</v>
      </c>
      <c r="O15" s="167"/>
      <c r="P15" s="203"/>
      <c r="Q15" s="204"/>
      <c r="R15" s="204"/>
      <c r="S15" s="204"/>
      <c r="T15" s="204"/>
      <c r="U15" s="205"/>
    </row>
    <row r="16" spans="1:21" ht="62.85" customHeight="1">
      <c r="A16" s="85"/>
      <c r="B16" s="37">
        <f t="shared" si="0"/>
        <v>3</v>
      </c>
      <c r="C16" s="145" t="s">
        <v>903</v>
      </c>
      <c r="D16" s="80"/>
      <c r="E16" s="81"/>
      <c r="F16" s="146" t="s">
        <v>904</v>
      </c>
      <c r="G16" s="17"/>
      <c r="H16" s="18" t="s">
        <v>49</v>
      </c>
      <c r="I16" s="59"/>
      <c r="J16" s="19">
        <v>1</v>
      </c>
      <c r="K16" s="19"/>
      <c r="L16" s="50"/>
      <c r="M16" s="73" t="s">
        <v>21</v>
      </c>
      <c r="N16" s="54">
        <f t="shared" si="1"/>
        <v>1</v>
      </c>
      <c r="O16" s="167"/>
      <c r="P16" s="206" t="s">
        <v>905</v>
      </c>
      <c r="Q16" s="204"/>
      <c r="R16" s="204"/>
      <c r="S16" s="204"/>
      <c r="T16" s="204"/>
      <c r="U16" s="205"/>
    </row>
    <row r="17" spans="1:21" ht="15.75" customHeight="1">
      <c r="A17" s="85"/>
      <c r="B17" s="37">
        <f t="shared" si="0"/>
        <v>4</v>
      </c>
      <c r="C17" s="145" t="s">
        <v>906</v>
      </c>
      <c r="D17" s="80"/>
      <c r="E17" s="81"/>
      <c r="F17" s="146" t="s">
        <v>907</v>
      </c>
      <c r="G17" s="17"/>
      <c r="H17" s="18" t="s">
        <v>51</v>
      </c>
      <c r="I17" s="59"/>
      <c r="J17" s="19">
        <v>14</v>
      </c>
      <c r="K17" s="19"/>
      <c r="L17" s="50" t="s">
        <v>187</v>
      </c>
      <c r="M17" s="73" t="s">
        <v>21</v>
      </c>
      <c r="N17" s="54">
        <f t="shared" si="1"/>
        <v>14</v>
      </c>
      <c r="O17" s="167"/>
      <c r="P17" s="203"/>
      <c r="Q17" s="204"/>
      <c r="R17" s="204"/>
      <c r="S17" s="204"/>
      <c r="T17" s="204"/>
      <c r="U17" s="205"/>
    </row>
    <row r="18" spans="1:21" ht="51" customHeight="1">
      <c r="A18" s="85"/>
      <c r="B18" s="37">
        <f t="shared" si="0"/>
        <v>5</v>
      </c>
      <c r="C18" s="145" t="s">
        <v>908</v>
      </c>
      <c r="D18" s="80"/>
      <c r="E18" s="81"/>
      <c r="F18" s="146" t="s">
        <v>909</v>
      </c>
      <c r="G18" s="17"/>
      <c r="H18" s="18" t="s">
        <v>49</v>
      </c>
      <c r="I18" s="59"/>
      <c r="J18" s="19">
        <v>1</v>
      </c>
      <c r="K18" s="19"/>
      <c r="L18" s="50"/>
      <c r="M18" s="73" t="s">
        <v>21</v>
      </c>
      <c r="N18" s="54">
        <f t="shared" si="1"/>
        <v>1</v>
      </c>
      <c r="O18" s="167"/>
      <c r="P18" s="206" t="s">
        <v>910</v>
      </c>
      <c r="Q18" s="204"/>
      <c r="R18" s="204"/>
      <c r="S18" s="204"/>
      <c r="T18" s="204"/>
      <c r="U18" s="205"/>
    </row>
    <row r="19" spans="1:21" ht="27.6" customHeight="1">
      <c r="A19" s="85"/>
      <c r="B19" s="37">
        <f t="shared" si="0"/>
        <v>6</v>
      </c>
      <c r="C19" s="145" t="s">
        <v>911</v>
      </c>
      <c r="D19" s="80"/>
      <c r="E19" s="81"/>
      <c r="F19" s="146" t="s">
        <v>912</v>
      </c>
      <c r="G19" s="17"/>
      <c r="H19" s="18" t="s">
        <v>49</v>
      </c>
      <c r="I19" s="59"/>
      <c r="J19" s="19">
        <v>1</v>
      </c>
      <c r="K19" s="19"/>
      <c r="L19" s="50"/>
      <c r="M19" s="73" t="s">
        <v>21</v>
      </c>
      <c r="N19" s="54">
        <f t="shared" si="1"/>
        <v>1</v>
      </c>
      <c r="O19" s="174" t="s">
        <v>580</v>
      </c>
      <c r="P19" s="206" t="s">
        <v>913</v>
      </c>
      <c r="Q19" s="204"/>
      <c r="R19" s="204"/>
      <c r="S19" s="204"/>
      <c r="T19" s="204"/>
      <c r="U19" s="205"/>
    </row>
    <row r="20" spans="1:21" ht="15.75" customHeight="1">
      <c r="A20" s="85"/>
      <c r="B20" s="37">
        <f t="shared" si="0"/>
        <v>7</v>
      </c>
      <c r="C20" s="145" t="s">
        <v>807</v>
      </c>
      <c r="D20" s="80"/>
      <c r="E20" s="81"/>
      <c r="F20" s="146" t="s">
        <v>808</v>
      </c>
      <c r="G20" s="17"/>
      <c r="H20" s="18" t="s">
        <v>209</v>
      </c>
      <c r="I20" s="59"/>
      <c r="J20" s="19"/>
      <c r="K20" s="19"/>
      <c r="L20" s="50"/>
      <c r="M20" s="73" t="s">
        <v>21</v>
      </c>
      <c r="N20" s="54">
        <f t="shared" si="1"/>
        <v>0</v>
      </c>
      <c r="O20" s="167"/>
      <c r="P20" s="203"/>
      <c r="Q20" s="204"/>
      <c r="R20" s="204"/>
      <c r="S20" s="204"/>
      <c r="T20" s="204"/>
      <c r="U20" s="205"/>
    </row>
    <row r="21" spans="1:21" ht="27.6" customHeight="1">
      <c r="A21" s="85"/>
      <c r="B21" s="37">
        <f t="shared" si="0"/>
        <v>8</v>
      </c>
      <c r="C21" s="145" t="s">
        <v>225</v>
      </c>
      <c r="D21" s="80"/>
      <c r="E21" s="81"/>
      <c r="F21" s="146" t="s">
        <v>226</v>
      </c>
      <c r="G21" s="17"/>
      <c r="H21" s="18" t="s">
        <v>49</v>
      </c>
      <c r="I21" s="59"/>
      <c r="J21" s="19">
        <v>1</v>
      </c>
      <c r="K21" s="19"/>
      <c r="L21" s="50"/>
      <c r="M21" s="73" t="s">
        <v>21</v>
      </c>
      <c r="N21" s="54">
        <f t="shared" si="1"/>
        <v>1</v>
      </c>
      <c r="O21" s="174"/>
      <c r="P21" s="206" t="s">
        <v>227</v>
      </c>
      <c r="Q21" s="204"/>
      <c r="R21" s="204"/>
      <c r="S21" s="204"/>
      <c r="T21" s="204"/>
      <c r="U21" s="205"/>
    </row>
    <row r="22" spans="1:21" ht="15.75" customHeight="1">
      <c r="A22" s="85"/>
      <c r="B22" s="37">
        <f t="shared" si="0"/>
        <v>9</v>
      </c>
      <c r="C22" s="145" t="s">
        <v>293</v>
      </c>
      <c r="D22" s="80"/>
      <c r="E22" s="81"/>
      <c r="F22" s="146" t="s">
        <v>294</v>
      </c>
      <c r="G22" s="17"/>
      <c r="H22" s="18" t="s">
        <v>51</v>
      </c>
      <c r="I22" s="59"/>
      <c r="J22" s="19">
        <v>50</v>
      </c>
      <c r="K22" s="19"/>
      <c r="L22" s="50"/>
      <c r="M22" s="73" t="s">
        <v>21</v>
      </c>
      <c r="N22" s="54">
        <f t="shared" si="1"/>
        <v>50</v>
      </c>
      <c r="O22" s="167"/>
      <c r="P22" s="203"/>
      <c r="Q22" s="204"/>
      <c r="R22" s="204"/>
      <c r="S22" s="204"/>
      <c r="T22" s="204"/>
      <c r="U22" s="205"/>
    </row>
    <row r="23" spans="1:21" ht="15.75">
      <c r="A23" s="85"/>
      <c r="B23" s="37">
        <f t="shared" ref="B23:B29" si="2">ROW()-13</f>
        <v>10</v>
      </c>
      <c r="C23" s="107" t="s">
        <v>36</v>
      </c>
      <c r="D23" s="107"/>
      <c r="E23" s="108"/>
      <c r="F23" s="109" t="s">
        <v>78</v>
      </c>
      <c r="G23" s="110"/>
      <c r="H23" s="18" t="s">
        <v>51</v>
      </c>
      <c r="I23" s="59"/>
      <c r="J23" s="113">
        <v>12</v>
      </c>
      <c r="K23" s="113"/>
      <c r="L23" s="114"/>
      <c r="M23" s="115" t="s">
        <v>35</v>
      </c>
      <c r="N23" s="116">
        <f t="shared" si="1"/>
        <v>12</v>
      </c>
      <c r="O23" s="168"/>
      <c r="P23" s="200"/>
      <c r="Q23" s="201"/>
      <c r="R23" s="201"/>
      <c r="S23" s="201"/>
      <c r="T23" s="201"/>
      <c r="U23" s="202"/>
    </row>
    <row r="24" spans="1:21" ht="15.75">
      <c r="A24" s="85"/>
      <c r="B24" s="37">
        <f t="shared" si="2"/>
        <v>11</v>
      </c>
      <c r="C24" s="107" t="s">
        <v>37</v>
      </c>
      <c r="D24" s="107"/>
      <c r="E24" s="108"/>
      <c r="F24" s="109" t="s">
        <v>43</v>
      </c>
      <c r="G24" s="110"/>
      <c r="H24" s="18" t="s">
        <v>51</v>
      </c>
      <c r="I24" s="59"/>
      <c r="J24" s="113">
        <v>10</v>
      </c>
      <c r="K24" s="113"/>
      <c r="L24" s="114"/>
      <c r="M24" s="115" t="s">
        <v>21</v>
      </c>
      <c r="N24" s="116">
        <f t="shared" si="1"/>
        <v>10</v>
      </c>
      <c r="O24" s="168"/>
      <c r="P24" s="200"/>
      <c r="Q24" s="201"/>
      <c r="R24" s="201"/>
      <c r="S24" s="201"/>
      <c r="T24" s="201"/>
      <c r="U24" s="202"/>
    </row>
    <row r="25" spans="1:21" ht="15.75">
      <c r="A25" s="85"/>
      <c r="B25" s="37">
        <f t="shared" si="2"/>
        <v>12</v>
      </c>
      <c r="C25" s="107" t="s">
        <v>38</v>
      </c>
      <c r="D25" s="107"/>
      <c r="E25" s="108"/>
      <c r="F25" s="109" t="s">
        <v>80</v>
      </c>
      <c r="G25" s="110"/>
      <c r="H25" s="18" t="s">
        <v>86</v>
      </c>
      <c r="I25" s="59"/>
      <c r="J25" s="113"/>
      <c r="K25" s="113"/>
      <c r="L25" s="114"/>
      <c r="M25" s="115" t="s">
        <v>21</v>
      </c>
      <c r="N25" s="116">
        <f t="shared" si="1"/>
        <v>0</v>
      </c>
      <c r="O25" s="168"/>
      <c r="P25" s="200"/>
      <c r="Q25" s="201"/>
      <c r="R25" s="201"/>
      <c r="S25" s="201"/>
      <c r="T25" s="201"/>
      <c r="U25" s="202"/>
    </row>
    <row r="26" spans="1:21" ht="15.75">
      <c r="A26" s="85"/>
      <c r="B26" s="37">
        <f t="shared" si="2"/>
        <v>13</v>
      </c>
      <c r="C26" s="107" t="s">
        <v>39</v>
      </c>
      <c r="D26" s="107"/>
      <c r="E26" s="108"/>
      <c r="F26" s="109" t="s">
        <v>79</v>
      </c>
      <c r="G26" s="110"/>
      <c r="H26" s="18" t="s">
        <v>51</v>
      </c>
      <c r="I26" s="59"/>
      <c r="J26" s="113">
        <v>12</v>
      </c>
      <c r="K26" s="113"/>
      <c r="L26" s="114"/>
      <c r="M26" s="115" t="s">
        <v>35</v>
      </c>
      <c r="N26" s="116">
        <f t="shared" si="1"/>
        <v>12</v>
      </c>
      <c r="O26" s="168"/>
      <c r="P26" s="200"/>
      <c r="Q26" s="201"/>
      <c r="R26" s="201"/>
      <c r="S26" s="201"/>
      <c r="T26" s="201"/>
      <c r="U26" s="202"/>
    </row>
    <row r="27" spans="1:21" ht="15.75">
      <c r="A27" s="85"/>
      <c r="B27" s="37">
        <f t="shared" si="2"/>
        <v>14</v>
      </c>
      <c r="C27" s="107" t="s">
        <v>40</v>
      </c>
      <c r="D27" s="107"/>
      <c r="E27" s="108"/>
      <c r="F27" s="109" t="s">
        <v>44</v>
      </c>
      <c r="G27" s="110"/>
      <c r="H27" s="18" t="s">
        <v>51</v>
      </c>
      <c r="I27" s="59"/>
      <c r="J27" s="113">
        <v>10</v>
      </c>
      <c r="K27" s="113"/>
      <c r="L27" s="114"/>
      <c r="M27" s="115" t="s">
        <v>21</v>
      </c>
      <c r="N27" s="116">
        <f t="shared" si="1"/>
        <v>10</v>
      </c>
      <c r="O27" s="168"/>
      <c r="P27" s="200"/>
      <c r="Q27" s="201"/>
      <c r="R27" s="201"/>
      <c r="S27" s="201"/>
      <c r="T27" s="201"/>
      <c r="U27" s="202"/>
    </row>
    <row r="28" spans="1:21" ht="15.75">
      <c r="A28" s="85"/>
      <c r="B28" s="37">
        <f t="shared" si="2"/>
        <v>15</v>
      </c>
      <c r="C28" s="107" t="s">
        <v>41</v>
      </c>
      <c r="D28" s="107"/>
      <c r="E28" s="108"/>
      <c r="F28" s="109" t="s">
        <v>81</v>
      </c>
      <c r="G28" s="110"/>
      <c r="H28" s="18" t="s">
        <v>86</v>
      </c>
      <c r="I28" s="59"/>
      <c r="J28" s="113"/>
      <c r="K28" s="113"/>
      <c r="L28" s="114"/>
      <c r="M28" s="115" t="s">
        <v>21</v>
      </c>
      <c r="N28" s="116">
        <f t="shared" si="1"/>
        <v>0</v>
      </c>
      <c r="O28" s="168"/>
      <c r="P28" s="200"/>
      <c r="Q28" s="201"/>
      <c r="R28" s="201"/>
      <c r="S28" s="201"/>
      <c r="T28" s="201"/>
      <c r="U28" s="202"/>
    </row>
    <row r="29" spans="1:21" ht="15.75">
      <c r="A29" s="85"/>
      <c r="B29" s="37">
        <f t="shared" si="2"/>
        <v>16</v>
      </c>
      <c r="C29" s="80" t="s">
        <v>46</v>
      </c>
      <c r="D29" s="80"/>
      <c r="E29" s="81"/>
      <c r="F29" s="84" t="s">
        <v>71</v>
      </c>
      <c r="G29" s="17"/>
      <c r="H29" s="18" t="s">
        <v>62</v>
      </c>
      <c r="I29" s="59"/>
      <c r="J29" s="19">
        <v>8</v>
      </c>
      <c r="K29" s="19"/>
      <c r="L29" s="50" t="s">
        <v>47</v>
      </c>
      <c r="M29" s="73" t="s">
        <v>35</v>
      </c>
      <c r="N29" s="54">
        <f t="shared" si="1"/>
        <v>8</v>
      </c>
      <c r="O29" s="167">
        <v>0</v>
      </c>
      <c r="P29" s="203" t="s">
        <v>48</v>
      </c>
      <c r="Q29" s="204"/>
      <c r="R29" s="204"/>
      <c r="S29" s="204"/>
      <c r="T29" s="204"/>
      <c r="U29" s="205"/>
    </row>
    <row r="30" spans="1:21" ht="16.5" thickBot="1">
      <c r="A30" s="118"/>
      <c r="B30" s="119"/>
      <c r="C30" s="120"/>
      <c r="D30" s="120"/>
      <c r="E30" s="121"/>
      <c r="F30" s="129"/>
      <c r="G30" s="122"/>
      <c r="H30" s="147"/>
      <c r="I30" s="148"/>
      <c r="J30" s="125"/>
      <c r="K30" s="125"/>
      <c r="L30" s="126"/>
      <c r="M30" s="126"/>
      <c r="N30" s="127"/>
      <c r="O30" s="169"/>
      <c r="P30" s="197"/>
      <c r="Q30" s="198"/>
      <c r="R30" s="198"/>
      <c r="S30" s="198"/>
      <c r="T30" s="198"/>
      <c r="U30" s="199"/>
    </row>
  </sheetData>
  <mergeCells count="47">
    <mergeCell ref="O1:U1"/>
    <mergeCell ref="J2:K2"/>
    <mergeCell ref="L2:M2"/>
    <mergeCell ref="O2:U2"/>
    <mergeCell ref="J3:K3"/>
    <mergeCell ref="L3:M3"/>
    <mergeCell ref="O3:U3"/>
    <mergeCell ref="J4:K4"/>
    <mergeCell ref="L4:M4"/>
    <mergeCell ref="O4:U4"/>
    <mergeCell ref="J5:K5"/>
    <mergeCell ref="L5:M5"/>
    <mergeCell ref="O5:U5"/>
    <mergeCell ref="E6:H6"/>
    <mergeCell ref="K6:M6"/>
    <mergeCell ref="O6:U6"/>
    <mergeCell ref="E7:H7"/>
    <mergeCell ref="K7:M7"/>
    <mergeCell ref="O7:U7"/>
    <mergeCell ref="P15:U15"/>
    <mergeCell ref="E8:H8"/>
    <mergeCell ref="K8:M8"/>
    <mergeCell ref="O8:U8"/>
    <mergeCell ref="E9:H9"/>
    <mergeCell ref="O9:U9"/>
    <mergeCell ref="E10:H10"/>
    <mergeCell ref="O10:U10"/>
    <mergeCell ref="E11:H11"/>
    <mergeCell ref="O11:U11"/>
    <mergeCell ref="O12:U12"/>
    <mergeCell ref="P13:U13"/>
    <mergeCell ref="P14:U14"/>
    <mergeCell ref="P25:U25"/>
    <mergeCell ref="P16:U16"/>
    <mergeCell ref="P17:U17"/>
    <mergeCell ref="P18:U18"/>
    <mergeCell ref="P19:U19"/>
    <mergeCell ref="P20:U20"/>
    <mergeCell ref="P21:U21"/>
    <mergeCell ref="P22:U22"/>
    <mergeCell ref="P23:U23"/>
    <mergeCell ref="P24:U24"/>
    <mergeCell ref="P26:U26"/>
    <mergeCell ref="P27:U27"/>
    <mergeCell ref="P28:U28"/>
    <mergeCell ref="P29:U29"/>
    <mergeCell ref="P30:U30"/>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5"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52226"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52227"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52228"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52229"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52230"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197F5C0F-932E-4047-9FB6-7359736AEBE6}">
            <xm:f>(AND(H14&lt;&gt;"",ISERROR(VLOOKUP(H14,system!$E:$E,1,FALSE))))</xm:f>
            <x14:dxf>
              <fill>
                <patternFill patternType="solid">
                  <bgColor rgb="FFFF0000"/>
                </patternFill>
              </fill>
            </x14:dxf>
          </x14:cfRule>
          <xm:sqref>H14:H22</xm:sqref>
        </x14:conditionalFormatting>
        <x14:conditionalFormatting xmlns:xm="http://schemas.microsoft.com/office/excel/2006/main">
          <x14:cfRule type="expression" priority="3" id="{B5277D09-0B5F-4DB3-922E-049F25585746}">
            <xm:f>(AND(H14&lt;&gt;"",ISERROR(VLOOKUP(H14,system!$E:$E,1,FALSE))))</xm:f>
            <x14:dxf>
              <fill>
                <patternFill>
                  <bgColor rgb="FFFF0000"/>
                </patternFill>
              </fill>
            </x14:dxf>
          </x14:cfRule>
          <xm:sqref>I14:I22</xm:sqref>
        </x14:conditionalFormatting>
        <x14:conditionalFormatting xmlns:xm="http://schemas.microsoft.com/office/excel/2006/main">
          <x14:cfRule type="expression" priority="2" id="{15EC89C5-96A3-45CB-A09E-F257745B677C}">
            <xm:f>(AND(H23&lt;&gt;"",ISERROR(VLOOKUP(H23,system!$E:$E,1,FALSE))))</xm:f>
            <x14:dxf>
              <fill>
                <patternFill patternType="solid">
                  <bgColor rgb="FFFF0000"/>
                </patternFill>
              </fill>
            </x14:dxf>
          </x14:cfRule>
          <xm:sqref>H23:H30</xm:sqref>
        </x14:conditionalFormatting>
        <x14:conditionalFormatting xmlns:xm="http://schemas.microsoft.com/office/excel/2006/main">
          <x14:cfRule type="expression" priority="1" id="{6E810B9D-B7B0-4428-B23D-F173CFE871AB}">
            <xm:f>(AND(H23&lt;&gt;"",ISERROR(VLOOKUP(H23,system!$E:$E,1,FALSE))))</xm:f>
            <x14:dxf>
              <fill>
                <patternFill>
                  <bgColor rgb="FFFF0000"/>
                </patternFill>
              </fill>
            </x14:dxf>
          </x14:cfRule>
          <xm:sqref>I23:I30</xm:sqref>
        </x14:conditionalFormatting>
      </x14:conditionalFormatting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A1:U33"/>
  <sheetViews>
    <sheetView showGridLines="0" zoomScaleNormal="100" workbookViewId="0">
      <pane ySplit="13" topLeftCell="A14" activePane="bottomLeft" state="frozen"/>
      <selection activeCell="D13" sqref="D13"/>
      <selection pane="bottomLeft"/>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7" t="s">
        <v>27</v>
      </c>
      <c r="P1" s="248"/>
      <c r="Q1" s="248"/>
      <c r="R1" s="248"/>
      <c r="S1" s="248"/>
      <c r="T1" s="248"/>
      <c r="U1" s="249"/>
    </row>
    <row r="2" spans="1:21" ht="14.45" customHeight="1">
      <c r="A2" s="39"/>
      <c r="B2" s="100" t="s">
        <v>64</v>
      </c>
      <c r="C2" s="5"/>
      <c r="D2" s="5"/>
      <c r="E2" s="5"/>
      <c r="F2" s="5"/>
      <c r="G2" s="6"/>
      <c r="H2" s="7"/>
      <c r="I2" s="8"/>
      <c r="J2" s="250"/>
      <c r="K2" s="251"/>
      <c r="L2" s="250"/>
      <c r="M2" s="251"/>
      <c r="N2" s="52"/>
      <c r="O2" s="252" t="s">
        <v>917</v>
      </c>
      <c r="P2" s="253"/>
      <c r="Q2" s="253"/>
      <c r="R2" s="253"/>
      <c r="S2" s="253"/>
      <c r="T2" s="253"/>
      <c r="U2" s="254"/>
    </row>
    <row r="3" spans="1:21" ht="14.25" customHeight="1">
      <c r="A3" s="40"/>
      <c r="B3" s="35"/>
      <c r="C3" s="5"/>
      <c r="D3" s="5"/>
      <c r="E3" s="5"/>
      <c r="F3" s="5"/>
      <c r="G3" s="9"/>
      <c r="H3" s="10"/>
      <c r="I3" s="176" t="s">
        <v>1032</v>
      </c>
      <c r="J3" s="255" t="s">
        <v>1032</v>
      </c>
      <c r="K3" s="256"/>
      <c r="L3" s="255" t="s">
        <v>1032</v>
      </c>
      <c r="M3" s="256"/>
      <c r="N3" s="52"/>
      <c r="O3" s="257"/>
      <c r="P3" s="258"/>
      <c r="Q3" s="258"/>
      <c r="R3" s="258"/>
      <c r="S3" s="258"/>
      <c r="T3" s="258"/>
      <c r="U3" s="259"/>
    </row>
    <row r="4" spans="1:21" ht="14.45" customHeight="1">
      <c r="A4" s="41"/>
      <c r="B4" s="36" t="s">
        <v>3</v>
      </c>
      <c r="C4" s="5"/>
      <c r="D4" s="5"/>
      <c r="E4" s="5"/>
      <c r="F4" s="5"/>
      <c r="G4" s="6"/>
      <c r="H4" s="10"/>
      <c r="I4" s="177" t="s">
        <v>1035</v>
      </c>
      <c r="J4" s="240" t="s">
        <v>1034</v>
      </c>
      <c r="K4" s="241"/>
      <c r="L4" s="240" t="s">
        <v>1033</v>
      </c>
      <c r="M4" s="241"/>
      <c r="N4" s="52"/>
      <c r="O4" s="210"/>
      <c r="P4" s="211"/>
      <c r="Q4" s="211"/>
      <c r="R4" s="211"/>
      <c r="S4" s="211"/>
      <c r="T4" s="211"/>
      <c r="U4" s="212"/>
    </row>
    <row r="5" spans="1:21" ht="14.45" customHeight="1" thickBot="1">
      <c r="A5" s="42"/>
      <c r="B5" s="11"/>
      <c r="C5" s="11"/>
      <c r="D5" s="11"/>
      <c r="E5" s="11"/>
      <c r="F5" s="11"/>
      <c r="G5" s="12"/>
      <c r="H5" s="13"/>
      <c r="I5" s="14"/>
      <c r="J5" s="242"/>
      <c r="K5" s="243"/>
      <c r="L5" s="244"/>
      <c r="M5" s="245"/>
      <c r="N5" s="53"/>
      <c r="O5" s="246"/>
      <c r="P5" s="211"/>
      <c r="Q5" s="211"/>
      <c r="R5" s="211"/>
      <c r="S5" s="211"/>
      <c r="T5" s="211"/>
      <c r="U5" s="212"/>
    </row>
    <row r="6" spans="1:21" ht="14.45" customHeight="1">
      <c r="A6" s="43"/>
      <c r="B6" s="101" t="s">
        <v>4</v>
      </c>
      <c r="C6" s="20"/>
      <c r="D6" s="21"/>
      <c r="E6" s="222" t="s">
        <v>65</v>
      </c>
      <c r="F6" s="223"/>
      <c r="G6" s="223"/>
      <c r="H6" s="224"/>
      <c r="I6" s="60" t="s">
        <v>26</v>
      </c>
      <c r="J6" s="26"/>
      <c r="K6" s="225" t="s">
        <v>33</v>
      </c>
      <c r="L6" s="226"/>
      <c r="M6" s="227"/>
      <c r="N6" s="91" t="s">
        <v>5</v>
      </c>
      <c r="O6" s="210"/>
      <c r="P6" s="211"/>
      <c r="Q6" s="211"/>
      <c r="R6" s="211"/>
      <c r="S6" s="211"/>
      <c r="T6" s="211"/>
      <c r="U6" s="212"/>
    </row>
    <row r="7" spans="1:21" ht="15.75" customHeight="1">
      <c r="A7" s="44"/>
      <c r="B7" s="102" t="s">
        <v>6</v>
      </c>
      <c r="C7" s="22"/>
      <c r="D7" s="23"/>
      <c r="E7" s="228" t="s">
        <v>172</v>
      </c>
      <c r="F7" s="229"/>
      <c r="G7" s="229"/>
      <c r="H7" s="230"/>
      <c r="I7" s="61" t="s">
        <v>28</v>
      </c>
      <c r="J7" s="27"/>
      <c r="K7" s="231" t="s">
        <v>34</v>
      </c>
      <c r="L7" s="232"/>
      <c r="M7" s="233"/>
      <c r="N7" s="92">
        <f>COUNTIF(H14:H14,"LONG")+COUNTIF(H14:H14,"LONG RAW")</f>
        <v>0</v>
      </c>
      <c r="O7" s="210"/>
      <c r="P7" s="211"/>
      <c r="Q7" s="211"/>
      <c r="R7" s="211"/>
      <c r="S7" s="211"/>
      <c r="T7" s="211"/>
      <c r="U7" s="212"/>
    </row>
    <row r="8" spans="1:21" ht="14.45" customHeight="1">
      <c r="A8" s="45"/>
      <c r="B8" s="22" t="s">
        <v>7</v>
      </c>
      <c r="C8" s="22"/>
      <c r="D8" s="23"/>
      <c r="E8" s="228" t="s">
        <v>914</v>
      </c>
      <c r="F8" s="229"/>
      <c r="G8" s="229"/>
      <c r="H8" s="230"/>
      <c r="I8" s="62"/>
      <c r="J8" s="27"/>
      <c r="K8" s="234"/>
      <c r="L8" s="235"/>
      <c r="M8" s="236"/>
      <c r="N8" s="92"/>
      <c r="O8" s="210"/>
      <c r="P8" s="211"/>
      <c r="Q8" s="211"/>
      <c r="R8" s="211"/>
      <c r="S8" s="211"/>
      <c r="T8" s="211"/>
      <c r="U8" s="212"/>
    </row>
    <row r="9" spans="1:21" ht="14.45" customHeight="1">
      <c r="A9" s="45"/>
      <c r="B9" s="22" t="s">
        <v>8</v>
      </c>
      <c r="C9" s="22"/>
      <c r="D9" s="23"/>
      <c r="E9" s="237" t="s">
        <v>68</v>
      </c>
      <c r="F9" s="238"/>
      <c r="G9" s="238"/>
      <c r="H9" s="239"/>
      <c r="I9" s="61" t="s">
        <v>9</v>
      </c>
      <c r="J9" s="27"/>
      <c r="K9" s="86"/>
      <c r="L9" s="88">
        <f>SUM(N14:N34)</f>
        <v>373</v>
      </c>
      <c r="M9" s="82"/>
      <c r="N9" s="93">
        <f>SUMIF(M14:M14,"■",N14:N14)</f>
        <v>0</v>
      </c>
      <c r="O9" s="210"/>
      <c r="P9" s="211"/>
      <c r="Q9" s="211"/>
      <c r="R9" s="211"/>
      <c r="S9" s="211"/>
      <c r="T9" s="211"/>
      <c r="U9" s="212"/>
    </row>
    <row r="10" spans="1:21" ht="14.45" customHeight="1">
      <c r="A10" s="45"/>
      <c r="B10" s="22" t="s">
        <v>10</v>
      </c>
      <c r="C10" s="22"/>
      <c r="D10" s="23"/>
      <c r="E10" s="219" t="s">
        <v>68</v>
      </c>
      <c r="F10" s="220"/>
      <c r="G10" s="220"/>
      <c r="H10" s="221"/>
      <c r="I10" s="61" t="s">
        <v>11</v>
      </c>
      <c r="J10" s="27"/>
      <c r="K10" s="86"/>
      <c r="L10" s="89">
        <f>E11*L9/1000</f>
        <v>0</v>
      </c>
      <c r="M10" s="82"/>
      <c r="N10" s="55"/>
      <c r="O10" s="210"/>
      <c r="P10" s="211"/>
      <c r="Q10" s="211"/>
      <c r="R10" s="211"/>
      <c r="S10" s="211"/>
      <c r="T10" s="211"/>
      <c r="U10" s="212"/>
    </row>
    <row r="11" spans="1:21" ht="17.25" customHeight="1" thickBot="1">
      <c r="A11" s="46"/>
      <c r="B11" s="24" t="s">
        <v>29</v>
      </c>
      <c r="C11" s="24"/>
      <c r="D11" s="25"/>
      <c r="E11" s="207"/>
      <c r="F11" s="208"/>
      <c r="G11" s="208"/>
      <c r="H11" s="209"/>
      <c r="I11" s="103" t="s">
        <v>12</v>
      </c>
      <c r="J11" s="104"/>
      <c r="K11" s="87"/>
      <c r="L11" s="90"/>
      <c r="M11" s="83"/>
      <c r="N11" s="56"/>
      <c r="O11" s="210"/>
      <c r="P11" s="211"/>
      <c r="Q11" s="211"/>
      <c r="R11" s="211"/>
      <c r="S11" s="211"/>
      <c r="T11" s="211"/>
      <c r="U11" s="212"/>
    </row>
    <row r="12" spans="1:21" ht="15.75" customHeight="1" thickBot="1">
      <c r="A12" s="64"/>
      <c r="B12" s="65"/>
      <c r="C12" s="30"/>
      <c r="D12" s="30"/>
      <c r="E12" s="31"/>
      <c r="F12" s="32"/>
      <c r="G12" s="29"/>
      <c r="H12" s="28"/>
      <c r="I12" s="29"/>
      <c r="J12" s="30" t="s">
        <v>13</v>
      </c>
      <c r="K12" s="31"/>
      <c r="L12" s="66"/>
      <c r="M12" s="48"/>
      <c r="N12" s="57">
        <f>COUNTA(H14:H14)</f>
        <v>1</v>
      </c>
      <c r="O12" s="213"/>
      <c r="P12" s="214"/>
      <c r="Q12" s="214"/>
      <c r="R12" s="214"/>
      <c r="S12" s="214"/>
      <c r="T12" s="214"/>
      <c r="U12" s="21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16" t="s">
        <v>32</v>
      </c>
      <c r="Q13" s="217"/>
      <c r="R13" s="217"/>
      <c r="S13" s="217"/>
      <c r="T13" s="217"/>
      <c r="U13" s="218"/>
    </row>
    <row r="14" spans="1:21" ht="15.75" customHeight="1">
      <c r="A14" s="85" t="s">
        <v>188</v>
      </c>
      <c r="B14" s="37">
        <f t="shared" ref="B14:B25" si="0">ROW()-13</f>
        <v>1</v>
      </c>
      <c r="C14" s="145" t="s">
        <v>918</v>
      </c>
      <c r="D14" s="80"/>
      <c r="E14" s="81"/>
      <c r="F14" s="146" t="s">
        <v>919</v>
      </c>
      <c r="G14" s="17"/>
      <c r="H14" s="18" t="s">
        <v>51</v>
      </c>
      <c r="I14" s="59"/>
      <c r="J14" s="19">
        <v>20</v>
      </c>
      <c r="K14" s="19"/>
      <c r="L14" s="50" t="s">
        <v>187</v>
      </c>
      <c r="M14" s="73" t="s">
        <v>21</v>
      </c>
      <c r="N14" s="54">
        <f t="shared" ref="N14:N32" si="1">IF(H14="NUMBER",IF(J14&gt;0,INT((J14+1)/2+0.9),0),IF(H14="DATE",7,IF(OR(H14="LONG",H14="LONG RAW"),100000,J14)))</f>
        <v>20</v>
      </c>
      <c r="O14" s="167"/>
      <c r="P14" s="203"/>
      <c r="Q14" s="204"/>
      <c r="R14" s="204"/>
      <c r="S14" s="204"/>
      <c r="T14" s="204"/>
      <c r="U14" s="205"/>
    </row>
    <row r="15" spans="1:21" ht="15.75" customHeight="1">
      <c r="A15" s="85" t="s">
        <v>188</v>
      </c>
      <c r="B15" s="37">
        <f t="shared" si="0"/>
        <v>2</v>
      </c>
      <c r="C15" s="145" t="s">
        <v>920</v>
      </c>
      <c r="D15" s="80"/>
      <c r="E15" s="81"/>
      <c r="F15" s="146" t="s">
        <v>921</v>
      </c>
      <c r="G15" s="17"/>
      <c r="H15" s="18" t="s">
        <v>51</v>
      </c>
      <c r="I15" s="59"/>
      <c r="J15" s="19">
        <v>20</v>
      </c>
      <c r="K15" s="19"/>
      <c r="L15" s="50" t="s">
        <v>187</v>
      </c>
      <c r="M15" s="73" t="s">
        <v>21</v>
      </c>
      <c r="N15" s="54">
        <f t="shared" si="1"/>
        <v>20</v>
      </c>
      <c r="O15" s="167"/>
      <c r="P15" s="203"/>
      <c r="Q15" s="204"/>
      <c r="R15" s="204"/>
      <c r="S15" s="204"/>
      <c r="T15" s="204"/>
      <c r="U15" s="205"/>
    </row>
    <row r="16" spans="1:21" ht="15.75" customHeight="1">
      <c r="A16" s="85"/>
      <c r="B16" s="37">
        <f t="shared" si="0"/>
        <v>3</v>
      </c>
      <c r="C16" s="145" t="s">
        <v>922</v>
      </c>
      <c r="D16" s="80"/>
      <c r="E16" s="81"/>
      <c r="F16" s="146" t="s">
        <v>923</v>
      </c>
      <c r="G16" s="17"/>
      <c r="H16" s="18" t="s">
        <v>51</v>
      </c>
      <c r="I16" s="59"/>
      <c r="J16" s="19">
        <v>50</v>
      </c>
      <c r="K16" s="19"/>
      <c r="L16" s="50" t="s">
        <v>187</v>
      </c>
      <c r="M16" s="73" t="s">
        <v>21</v>
      </c>
      <c r="N16" s="54">
        <f t="shared" si="1"/>
        <v>50</v>
      </c>
      <c r="O16" s="167"/>
      <c r="P16" s="203"/>
      <c r="Q16" s="204"/>
      <c r="R16" s="204"/>
      <c r="S16" s="204"/>
      <c r="T16" s="204"/>
      <c r="U16" s="205"/>
    </row>
    <row r="17" spans="1:21" ht="15.75" customHeight="1">
      <c r="A17" s="85"/>
      <c r="B17" s="37">
        <f t="shared" si="0"/>
        <v>4</v>
      </c>
      <c r="C17" s="145" t="s">
        <v>924</v>
      </c>
      <c r="D17" s="80"/>
      <c r="E17" s="81"/>
      <c r="F17" s="146" t="s">
        <v>925</v>
      </c>
      <c r="G17" s="17"/>
      <c r="H17" s="18" t="s">
        <v>51</v>
      </c>
      <c r="I17" s="59"/>
      <c r="J17" s="19">
        <v>50</v>
      </c>
      <c r="K17" s="19"/>
      <c r="L17" s="50"/>
      <c r="M17" s="73" t="s">
        <v>21</v>
      </c>
      <c r="N17" s="54">
        <f t="shared" si="1"/>
        <v>50</v>
      </c>
      <c r="O17" s="167"/>
      <c r="P17" s="203"/>
      <c r="Q17" s="204"/>
      <c r="R17" s="204"/>
      <c r="S17" s="204"/>
      <c r="T17" s="204"/>
      <c r="U17" s="205"/>
    </row>
    <row r="18" spans="1:21" ht="15.75" customHeight="1">
      <c r="A18" s="85"/>
      <c r="B18" s="37">
        <f t="shared" si="0"/>
        <v>5</v>
      </c>
      <c r="C18" s="145" t="s">
        <v>807</v>
      </c>
      <c r="D18" s="80"/>
      <c r="E18" s="81"/>
      <c r="F18" s="146" t="s">
        <v>808</v>
      </c>
      <c r="G18" s="17"/>
      <c r="H18" s="18" t="s">
        <v>209</v>
      </c>
      <c r="I18" s="59"/>
      <c r="J18" s="19"/>
      <c r="K18" s="19"/>
      <c r="L18" s="50"/>
      <c r="M18" s="73" t="s">
        <v>21</v>
      </c>
      <c r="N18" s="54">
        <f t="shared" si="1"/>
        <v>0</v>
      </c>
      <c r="O18" s="167"/>
      <c r="P18" s="203"/>
      <c r="Q18" s="204"/>
      <c r="R18" s="204"/>
      <c r="S18" s="204"/>
      <c r="T18" s="204"/>
      <c r="U18" s="205"/>
    </row>
    <row r="19" spans="1:21" ht="15.75" customHeight="1">
      <c r="A19" s="85"/>
      <c r="B19" s="37">
        <f t="shared" si="0"/>
        <v>6</v>
      </c>
      <c r="C19" s="145" t="s">
        <v>926</v>
      </c>
      <c r="D19" s="80"/>
      <c r="E19" s="81"/>
      <c r="F19" s="146" t="s">
        <v>927</v>
      </c>
      <c r="G19" s="17"/>
      <c r="H19" s="18" t="s">
        <v>51</v>
      </c>
      <c r="I19" s="59"/>
      <c r="J19" s="19">
        <v>20</v>
      </c>
      <c r="K19" s="19"/>
      <c r="L19" s="50"/>
      <c r="M19" s="73" t="s">
        <v>21</v>
      </c>
      <c r="N19" s="54">
        <f t="shared" si="1"/>
        <v>20</v>
      </c>
      <c r="O19" s="167"/>
      <c r="P19" s="203"/>
      <c r="Q19" s="204"/>
      <c r="R19" s="204"/>
      <c r="S19" s="204"/>
      <c r="T19" s="204"/>
      <c r="U19" s="205"/>
    </row>
    <row r="20" spans="1:21" ht="15.75" customHeight="1">
      <c r="A20" s="85"/>
      <c r="B20" s="37">
        <f t="shared" si="0"/>
        <v>7</v>
      </c>
      <c r="C20" s="145" t="s">
        <v>928</v>
      </c>
      <c r="D20" s="80"/>
      <c r="E20" s="81"/>
      <c r="F20" s="146" t="s">
        <v>929</v>
      </c>
      <c r="G20" s="17"/>
      <c r="H20" s="18" t="s">
        <v>51</v>
      </c>
      <c r="I20" s="59"/>
      <c r="J20" s="19">
        <v>20</v>
      </c>
      <c r="K20" s="19"/>
      <c r="L20" s="50"/>
      <c r="M20" s="73" t="s">
        <v>21</v>
      </c>
      <c r="N20" s="54">
        <f t="shared" si="1"/>
        <v>20</v>
      </c>
      <c r="O20" s="167"/>
      <c r="P20" s="203"/>
      <c r="Q20" s="204"/>
      <c r="R20" s="204"/>
      <c r="S20" s="204"/>
      <c r="T20" s="204"/>
      <c r="U20" s="205"/>
    </row>
    <row r="21" spans="1:21" ht="15.75" customHeight="1">
      <c r="A21" s="85"/>
      <c r="B21" s="37">
        <f t="shared" si="0"/>
        <v>8</v>
      </c>
      <c r="C21" s="145" t="s">
        <v>930</v>
      </c>
      <c r="D21" s="80"/>
      <c r="E21" s="81"/>
      <c r="F21" s="146" t="s">
        <v>931</v>
      </c>
      <c r="G21" s="17"/>
      <c r="H21" s="18" t="s">
        <v>51</v>
      </c>
      <c r="I21" s="59"/>
      <c r="J21" s="19">
        <v>50</v>
      </c>
      <c r="K21" s="19"/>
      <c r="L21" s="50"/>
      <c r="M21" s="73" t="s">
        <v>21</v>
      </c>
      <c r="N21" s="54">
        <f t="shared" si="1"/>
        <v>50</v>
      </c>
      <c r="O21" s="167"/>
      <c r="P21" s="203"/>
      <c r="Q21" s="204"/>
      <c r="R21" s="204"/>
      <c r="S21" s="204"/>
      <c r="T21" s="204"/>
      <c r="U21" s="205"/>
    </row>
    <row r="22" spans="1:21" ht="15.75" customHeight="1">
      <c r="A22" s="85"/>
      <c r="B22" s="37">
        <f t="shared" si="0"/>
        <v>9</v>
      </c>
      <c r="C22" s="145" t="s">
        <v>932</v>
      </c>
      <c r="D22" s="80"/>
      <c r="E22" s="81"/>
      <c r="F22" s="146" t="s">
        <v>933</v>
      </c>
      <c r="G22" s="17"/>
      <c r="H22" s="18" t="s">
        <v>51</v>
      </c>
      <c r="I22" s="59"/>
      <c r="J22" s="19">
        <v>20</v>
      </c>
      <c r="K22" s="19"/>
      <c r="L22" s="50"/>
      <c r="M22" s="73" t="s">
        <v>21</v>
      </c>
      <c r="N22" s="54">
        <f t="shared" si="1"/>
        <v>20</v>
      </c>
      <c r="O22" s="167"/>
      <c r="P22" s="203"/>
      <c r="Q22" s="204"/>
      <c r="R22" s="204"/>
      <c r="S22" s="204"/>
      <c r="T22" s="204"/>
      <c r="U22" s="205"/>
    </row>
    <row r="23" spans="1:21" ht="15.75" customHeight="1">
      <c r="A23" s="85"/>
      <c r="B23" s="37">
        <f t="shared" si="0"/>
        <v>10</v>
      </c>
      <c r="C23" s="145" t="s">
        <v>934</v>
      </c>
      <c r="D23" s="80"/>
      <c r="E23" s="81"/>
      <c r="F23" s="146" t="s">
        <v>935</v>
      </c>
      <c r="G23" s="17"/>
      <c r="H23" s="18" t="s">
        <v>51</v>
      </c>
      <c r="I23" s="59"/>
      <c r="J23" s="19">
        <v>20</v>
      </c>
      <c r="K23" s="19"/>
      <c r="L23" s="50"/>
      <c r="M23" s="73" t="s">
        <v>21</v>
      </c>
      <c r="N23" s="54">
        <f t="shared" si="1"/>
        <v>20</v>
      </c>
      <c r="O23" s="167"/>
      <c r="P23" s="203"/>
      <c r="Q23" s="204"/>
      <c r="R23" s="204"/>
      <c r="S23" s="204"/>
      <c r="T23" s="204"/>
      <c r="U23" s="205"/>
    </row>
    <row r="24" spans="1:21" ht="27.6" customHeight="1">
      <c r="A24" s="85"/>
      <c r="B24" s="37">
        <f t="shared" si="0"/>
        <v>11</v>
      </c>
      <c r="C24" s="145" t="s">
        <v>225</v>
      </c>
      <c r="D24" s="80"/>
      <c r="E24" s="81"/>
      <c r="F24" s="146" t="s">
        <v>226</v>
      </c>
      <c r="G24" s="17"/>
      <c r="H24" s="18" t="s">
        <v>49</v>
      </c>
      <c r="I24" s="59"/>
      <c r="J24" s="19">
        <v>1</v>
      </c>
      <c r="K24" s="19"/>
      <c r="L24" s="50"/>
      <c r="M24" s="73" t="s">
        <v>21</v>
      </c>
      <c r="N24" s="54">
        <f t="shared" si="1"/>
        <v>1</v>
      </c>
      <c r="O24" s="167"/>
      <c r="P24" s="206" t="s">
        <v>227</v>
      </c>
      <c r="Q24" s="204"/>
      <c r="R24" s="204"/>
      <c r="S24" s="204"/>
      <c r="T24" s="204"/>
      <c r="U24" s="205"/>
    </row>
    <row r="25" spans="1:21" ht="15.75" customHeight="1">
      <c r="A25" s="85"/>
      <c r="B25" s="37">
        <f t="shared" si="0"/>
        <v>12</v>
      </c>
      <c r="C25" s="145" t="s">
        <v>293</v>
      </c>
      <c r="D25" s="80"/>
      <c r="E25" s="81"/>
      <c r="F25" s="146" t="s">
        <v>294</v>
      </c>
      <c r="G25" s="17"/>
      <c r="H25" s="18" t="s">
        <v>51</v>
      </c>
      <c r="I25" s="59"/>
      <c r="J25" s="19">
        <v>50</v>
      </c>
      <c r="K25" s="19"/>
      <c r="L25" s="50"/>
      <c r="M25" s="73" t="s">
        <v>21</v>
      </c>
      <c r="N25" s="54">
        <f t="shared" si="1"/>
        <v>50</v>
      </c>
      <c r="O25" s="167"/>
      <c r="P25" s="203"/>
      <c r="Q25" s="204"/>
      <c r="R25" s="204"/>
      <c r="S25" s="204"/>
      <c r="T25" s="204"/>
      <c r="U25" s="205"/>
    </row>
    <row r="26" spans="1:21" ht="15.75">
      <c r="A26" s="85"/>
      <c r="B26" s="37">
        <f t="shared" ref="B26:B32" si="2">ROW()-13</f>
        <v>13</v>
      </c>
      <c r="C26" s="107" t="s">
        <v>36</v>
      </c>
      <c r="D26" s="107"/>
      <c r="E26" s="108"/>
      <c r="F26" s="109" t="s">
        <v>78</v>
      </c>
      <c r="G26" s="110"/>
      <c r="H26" s="18" t="s">
        <v>51</v>
      </c>
      <c r="I26" s="59"/>
      <c r="J26" s="113">
        <v>12</v>
      </c>
      <c r="K26" s="113"/>
      <c r="L26" s="114"/>
      <c r="M26" s="115" t="s">
        <v>35</v>
      </c>
      <c r="N26" s="116">
        <f t="shared" si="1"/>
        <v>12</v>
      </c>
      <c r="O26" s="168"/>
      <c r="P26" s="200"/>
      <c r="Q26" s="201"/>
      <c r="R26" s="201"/>
      <c r="S26" s="201"/>
      <c r="T26" s="201"/>
      <c r="U26" s="202"/>
    </row>
    <row r="27" spans="1:21" ht="15.75">
      <c r="A27" s="85"/>
      <c r="B27" s="37">
        <f t="shared" si="2"/>
        <v>14</v>
      </c>
      <c r="C27" s="107" t="s">
        <v>37</v>
      </c>
      <c r="D27" s="107"/>
      <c r="E27" s="108"/>
      <c r="F27" s="109" t="s">
        <v>43</v>
      </c>
      <c r="G27" s="110"/>
      <c r="H27" s="18" t="s">
        <v>51</v>
      </c>
      <c r="I27" s="59"/>
      <c r="J27" s="113">
        <v>10</v>
      </c>
      <c r="K27" s="113"/>
      <c r="L27" s="114"/>
      <c r="M27" s="115" t="s">
        <v>21</v>
      </c>
      <c r="N27" s="116">
        <f t="shared" si="1"/>
        <v>10</v>
      </c>
      <c r="O27" s="168"/>
      <c r="P27" s="200"/>
      <c r="Q27" s="201"/>
      <c r="R27" s="201"/>
      <c r="S27" s="201"/>
      <c r="T27" s="201"/>
      <c r="U27" s="202"/>
    </row>
    <row r="28" spans="1:21" ht="15.75">
      <c r="A28" s="85"/>
      <c r="B28" s="37">
        <f t="shared" si="2"/>
        <v>15</v>
      </c>
      <c r="C28" s="107" t="s">
        <v>38</v>
      </c>
      <c r="D28" s="107"/>
      <c r="E28" s="108"/>
      <c r="F28" s="109" t="s">
        <v>80</v>
      </c>
      <c r="G28" s="110"/>
      <c r="H28" s="18" t="s">
        <v>86</v>
      </c>
      <c r="I28" s="59"/>
      <c r="J28" s="113"/>
      <c r="K28" s="113"/>
      <c r="L28" s="114"/>
      <c r="M28" s="115" t="s">
        <v>21</v>
      </c>
      <c r="N28" s="116">
        <f t="shared" si="1"/>
        <v>0</v>
      </c>
      <c r="O28" s="168"/>
      <c r="P28" s="200"/>
      <c r="Q28" s="201"/>
      <c r="R28" s="201"/>
      <c r="S28" s="201"/>
      <c r="T28" s="201"/>
      <c r="U28" s="202"/>
    </row>
    <row r="29" spans="1:21" ht="15.75">
      <c r="A29" s="85"/>
      <c r="B29" s="37">
        <f t="shared" si="2"/>
        <v>16</v>
      </c>
      <c r="C29" s="107" t="s">
        <v>39</v>
      </c>
      <c r="D29" s="107"/>
      <c r="E29" s="108"/>
      <c r="F29" s="109" t="s">
        <v>79</v>
      </c>
      <c r="G29" s="110"/>
      <c r="H29" s="18" t="s">
        <v>51</v>
      </c>
      <c r="I29" s="59"/>
      <c r="J29" s="113">
        <v>12</v>
      </c>
      <c r="K29" s="113"/>
      <c r="L29" s="114"/>
      <c r="M29" s="115" t="s">
        <v>35</v>
      </c>
      <c r="N29" s="116">
        <f t="shared" si="1"/>
        <v>12</v>
      </c>
      <c r="O29" s="168"/>
      <c r="P29" s="200"/>
      <c r="Q29" s="201"/>
      <c r="R29" s="201"/>
      <c r="S29" s="201"/>
      <c r="T29" s="201"/>
      <c r="U29" s="202"/>
    </row>
    <row r="30" spans="1:21" ht="15.75">
      <c r="A30" s="85"/>
      <c r="B30" s="37">
        <f t="shared" si="2"/>
        <v>17</v>
      </c>
      <c r="C30" s="107" t="s">
        <v>40</v>
      </c>
      <c r="D30" s="107"/>
      <c r="E30" s="108"/>
      <c r="F30" s="109" t="s">
        <v>44</v>
      </c>
      <c r="G30" s="110"/>
      <c r="H30" s="18" t="s">
        <v>51</v>
      </c>
      <c r="I30" s="59"/>
      <c r="J30" s="113">
        <v>10</v>
      </c>
      <c r="K30" s="113"/>
      <c r="L30" s="114"/>
      <c r="M30" s="115" t="s">
        <v>21</v>
      </c>
      <c r="N30" s="116">
        <f t="shared" si="1"/>
        <v>10</v>
      </c>
      <c r="O30" s="168"/>
      <c r="P30" s="200"/>
      <c r="Q30" s="201"/>
      <c r="R30" s="201"/>
      <c r="S30" s="201"/>
      <c r="T30" s="201"/>
      <c r="U30" s="202"/>
    </row>
    <row r="31" spans="1:21" ht="15.75">
      <c r="A31" s="85"/>
      <c r="B31" s="37">
        <f t="shared" si="2"/>
        <v>18</v>
      </c>
      <c r="C31" s="107" t="s">
        <v>41</v>
      </c>
      <c r="D31" s="107"/>
      <c r="E31" s="108"/>
      <c r="F31" s="109" t="s">
        <v>81</v>
      </c>
      <c r="G31" s="110"/>
      <c r="H31" s="18" t="s">
        <v>86</v>
      </c>
      <c r="I31" s="59"/>
      <c r="J31" s="113"/>
      <c r="K31" s="113"/>
      <c r="L31" s="114"/>
      <c r="M31" s="115" t="s">
        <v>21</v>
      </c>
      <c r="N31" s="116">
        <f t="shared" si="1"/>
        <v>0</v>
      </c>
      <c r="O31" s="168"/>
      <c r="P31" s="200"/>
      <c r="Q31" s="201"/>
      <c r="R31" s="201"/>
      <c r="S31" s="201"/>
      <c r="T31" s="201"/>
      <c r="U31" s="202"/>
    </row>
    <row r="32" spans="1:21" ht="15.75">
      <c r="A32" s="85"/>
      <c r="B32" s="37">
        <f t="shared" si="2"/>
        <v>19</v>
      </c>
      <c r="C32" s="80" t="s">
        <v>46</v>
      </c>
      <c r="D32" s="80"/>
      <c r="E32" s="81"/>
      <c r="F32" s="84" t="s">
        <v>71</v>
      </c>
      <c r="G32" s="17"/>
      <c r="H32" s="18" t="s">
        <v>62</v>
      </c>
      <c r="I32" s="59"/>
      <c r="J32" s="19">
        <v>8</v>
      </c>
      <c r="K32" s="19"/>
      <c r="L32" s="50" t="s">
        <v>47</v>
      </c>
      <c r="M32" s="73" t="s">
        <v>35</v>
      </c>
      <c r="N32" s="54">
        <f t="shared" si="1"/>
        <v>8</v>
      </c>
      <c r="O32" s="167">
        <v>0</v>
      </c>
      <c r="P32" s="203" t="s">
        <v>48</v>
      </c>
      <c r="Q32" s="204"/>
      <c r="R32" s="204"/>
      <c r="S32" s="204"/>
      <c r="T32" s="204"/>
      <c r="U32" s="205"/>
    </row>
    <row r="33" spans="1:21" ht="16.5" thickBot="1">
      <c r="A33" s="118"/>
      <c r="B33" s="119"/>
      <c r="C33" s="120"/>
      <c r="D33" s="120"/>
      <c r="E33" s="121"/>
      <c r="F33" s="129"/>
      <c r="G33" s="122"/>
      <c r="H33" s="147"/>
      <c r="I33" s="148"/>
      <c r="J33" s="125"/>
      <c r="K33" s="125"/>
      <c r="L33" s="126"/>
      <c r="M33" s="126"/>
      <c r="N33" s="127"/>
      <c r="O33" s="169"/>
      <c r="P33" s="197"/>
      <c r="Q33" s="198"/>
      <c r="R33" s="198"/>
      <c r="S33" s="198"/>
      <c r="T33" s="198"/>
      <c r="U33" s="199"/>
    </row>
  </sheetData>
  <mergeCells count="50">
    <mergeCell ref="O1:U1"/>
    <mergeCell ref="J2:K2"/>
    <mergeCell ref="L2:M2"/>
    <mergeCell ref="O2:U2"/>
    <mergeCell ref="J3:K3"/>
    <mergeCell ref="L3:M3"/>
    <mergeCell ref="O3:U3"/>
    <mergeCell ref="J4:K4"/>
    <mergeCell ref="L4:M4"/>
    <mergeCell ref="O4:U4"/>
    <mergeCell ref="J5:K5"/>
    <mergeCell ref="L5:M5"/>
    <mergeCell ref="O5:U5"/>
    <mergeCell ref="E10:H10"/>
    <mergeCell ref="O10:U10"/>
    <mergeCell ref="E6:H6"/>
    <mergeCell ref="K6:M6"/>
    <mergeCell ref="O6:U6"/>
    <mergeCell ref="E7:H7"/>
    <mergeCell ref="K7:M7"/>
    <mergeCell ref="O7:U7"/>
    <mergeCell ref="E8:H8"/>
    <mergeCell ref="K8:M8"/>
    <mergeCell ref="O8:U8"/>
    <mergeCell ref="E9:H9"/>
    <mergeCell ref="O9:U9"/>
    <mergeCell ref="P21:U21"/>
    <mergeCell ref="E11:H11"/>
    <mergeCell ref="O11:U11"/>
    <mergeCell ref="O12:U12"/>
    <mergeCell ref="P13:U13"/>
    <mergeCell ref="P14:U14"/>
    <mergeCell ref="P15:U15"/>
    <mergeCell ref="P16:U16"/>
    <mergeCell ref="P17:U17"/>
    <mergeCell ref="P18:U18"/>
    <mergeCell ref="P19:U19"/>
    <mergeCell ref="P20:U20"/>
    <mergeCell ref="P33:U33"/>
    <mergeCell ref="P22:U22"/>
    <mergeCell ref="P23:U23"/>
    <mergeCell ref="P24:U24"/>
    <mergeCell ref="P25:U25"/>
    <mergeCell ref="P26:U26"/>
    <mergeCell ref="P27:U27"/>
    <mergeCell ref="P28:U28"/>
    <mergeCell ref="P29:U29"/>
    <mergeCell ref="P30:U30"/>
    <mergeCell ref="P31:U31"/>
    <mergeCell ref="P32:U32"/>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249"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53250"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53251"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53252"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53253"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53254"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0844E791-E05C-4C9C-B790-1D509F7519ED}">
            <xm:f>(AND(H14&lt;&gt;"",ISERROR(VLOOKUP(H14,system!$E:$E,1,FALSE))))</xm:f>
            <x14:dxf>
              <fill>
                <patternFill patternType="solid">
                  <bgColor rgb="FFFF0000"/>
                </patternFill>
              </fill>
            </x14:dxf>
          </x14:cfRule>
          <xm:sqref>H14:H25</xm:sqref>
        </x14:conditionalFormatting>
        <x14:conditionalFormatting xmlns:xm="http://schemas.microsoft.com/office/excel/2006/main">
          <x14:cfRule type="expression" priority="3" id="{BDE76477-3B41-4A33-83DE-7A2B3DC7983D}">
            <xm:f>(AND(H14&lt;&gt;"",ISERROR(VLOOKUP(H14,system!$E:$E,1,FALSE))))</xm:f>
            <x14:dxf>
              <fill>
                <patternFill>
                  <bgColor rgb="FFFF0000"/>
                </patternFill>
              </fill>
            </x14:dxf>
          </x14:cfRule>
          <xm:sqref>I14:I25</xm:sqref>
        </x14:conditionalFormatting>
        <x14:conditionalFormatting xmlns:xm="http://schemas.microsoft.com/office/excel/2006/main">
          <x14:cfRule type="expression" priority="2" id="{CC391F17-650D-4D2C-80BA-566911BD45FD}">
            <xm:f>(AND(H26&lt;&gt;"",ISERROR(VLOOKUP(H26,system!$E:$E,1,FALSE))))</xm:f>
            <x14:dxf>
              <fill>
                <patternFill patternType="solid">
                  <bgColor rgb="FFFF0000"/>
                </patternFill>
              </fill>
            </x14:dxf>
          </x14:cfRule>
          <xm:sqref>H26:H33</xm:sqref>
        </x14:conditionalFormatting>
        <x14:conditionalFormatting xmlns:xm="http://schemas.microsoft.com/office/excel/2006/main">
          <x14:cfRule type="expression" priority="1" id="{A283A62E-6A43-4485-AE9B-078DD9CFDA28}">
            <xm:f>(AND(H26&lt;&gt;"",ISERROR(VLOOKUP(H26,system!$E:$E,1,FALSE))))</xm:f>
            <x14:dxf>
              <fill>
                <patternFill>
                  <bgColor rgb="FFFF0000"/>
                </patternFill>
              </fill>
            </x14:dxf>
          </x14:cfRule>
          <xm:sqref>I26:I33</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A1:U25"/>
  <sheetViews>
    <sheetView showGridLines="0" tabSelected="1" zoomScaleNormal="100" workbookViewId="0">
      <pane ySplit="13" topLeftCell="A14" activePane="bottomLeft" state="frozen"/>
      <selection activeCell="D13" sqref="D13"/>
      <selection pane="bottomLeft" activeCell="L16" sqref="L1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7" t="s">
        <v>27</v>
      </c>
      <c r="P1" s="248"/>
      <c r="Q1" s="248"/>
      <c r="R1" s="248"/>
      <c r="S1" s="248"/>
      <c r="T1" s="248"/>
      <c r="U1" s="249"/>
    </row>
    <row r="2" spans="1:21" ht="14.45" customHeight="1">
      <c r="A2" s="39"/>
      <c r="B2" s="100" t="s">
        <v>64</v>
      </c>
      <c r="C2" s="5"/>
      <c r="D2" s="5"/>
      <c r="E2" s="5"/>
      <c r="F2" s="5"/>
      <c r="G2" s="6"/>
      <c r="H2" s="7"/>
      <c r="I2" s="8"/>
      <c r="J2" s="250"/>
      <c r="K2" s="251"/>
      <c r="L2" s="250"/>
      <c r="M2" s="251"/>
      <c r="N2" s="52"/>
      <c r="O2" s="252" t="s">
        <v>939</v>
      </c>
      <c r="P2" s="253"/>
      <c r="Q2" s="253"/>
      <c r="R2" s="253"/>
      <c r="S2" s="253"/>
      <c r="T2" s="253"/>
      <c r="U2" s="254"/>
    </row>
    <row r="3" spans="1:21" ht="14.25" customHeight="1">
      <c r="A3" s="40"/>
      <c r="B3" s="35"/>
      <c r="C3" s="5"/>
      <c r="D3" s="5"/>
      <c r="E3" s="5"/>
      <c r="F3" s="5"/>
      <c r="G3" s="9"/>
      <c r="H3" s="10"/>
      <c r="I3" s="176" t="s">
        <v>1032</v>
      </c>
      <c r="J3" s="255" t="s">
        <v>1032</v>
      </c>
      <c r="K3" s="256"/>
      <c r="L3" s="255" t="s">
        <v>1032</v>
      </c>
      <c r="M3" s="256"/>
      <c r="N3" s="52"/>
      <c r="O3" s="257"/>
      <c r="P3" s="258"/>
      <c r="Q3" s="258"/>
      <c r="R3" s="258"/>
      <c r="S3" s="258"/>
      <c r="T3" s="258"/>
      <c r="U3" s="259"/>
    </row>
    <row r="4" spans="1:21" ht="14.45" customHeight="1">
      <c r="A4" s="41"/>
      <c r="B4" s="36" t="s">
        <v>3</v>
      </c>
      <c r="C4" s="5"/>
      <c r="D4" s="5"/>
      <c r="E4" s="5"/>
      <c r="F4" s="5"/>
      <c r="G4" s="6"/>
      <c r="H4" s="10"/>
      <c r="I4" s="177" t="s">
        <v>1035</v>
      </c>
      <c r="J4" s="240" t="s">
        <v>1034</v>
      </c>
      <c r="K4" s="241"/>
      <c r="L4" s="240" t="s">
        <v>1033</v>
      </c>
      <c r="M4" s="241"/>
      <c r="N4" s="52"/>
      <c r="O4" s="210"/>
      <c r="P4" s="211"/>
      <c r="Q4" s="211"/>
      <c r="R4" s="211"/>
      <c r="S4" s="211"/>
      <c r="T4" s="211"/>
      <c r="U4" s="212"/>
    </row>
    <row r="5" spans="1:21" ht="14.45" customHeight="1" thickBot="1">
      <c r="A5" s="42"/>
      <c r="B5" s="11"/>
      <c r="C5" s="11"/>
      <c r="D5" s="11"/>
      <c r="E5" s="11"/>
      <c r="F5" s="11"/>
      <c r="G5" s="12"/>
      <c r="H5" s="13"/>
      <c r="I5" s="14"/>
      <c r="J5" s="242"/>
      <c r="K5" s="243"/>
      <c r="L5" s="244"/>
      <c r="M5" s="245"/>
      <c r="N5" s="53"/>
      <c r="O5" s="246"/>
      <c r="P5" s="211"/>
      <c r="Q5" s="211"/>
      <c r="R5" s="211"/>
      <c r="S5" s="211"/>
      <c r="T5" s="211"/>
      <c r="U5" s="212"/>
    </row>
    <row r="6" spans="1:21" ht="14.45" customHeight="1">
      <c r="A6" s="43"/>
      <c r="B6" s="101" t="s">
        <v>4</v>
      </c>
      <c r="C6" s="20"/>
      <c r="D6" s="21"/>
      <c r="E6" s="222" t="s">
        <v>65</v>
      </c>
      <c r="F6" s="223"/>
      <c r="G6" s="223"/>
      <c r="H6" s="224"/>
      <c r="I6" s="60" t="s">
        <v>26</v>
      </c>
      <c r="J6" s="26"/>
      <c r="K6" s="225" t="s">
        <v>33</v>
      </c>
      <c r="L6" s="226"/>
      <c r="M6" s="227"/>
      <c r="N6" s="91" t="s">
        <v>5</v>
      </c>
      <c r="O6" s="210"/>
      <c r="P6" s="211"/>
      <c r="Q6" s="211"/>
      <c r="R6" s="211"/>
      <c r="S6" s="211"/>
      <c r="T6" s="211"/>
      <c r="U6" s="212"/>
    </row>
    <row r="7" spans="1:21" ht="15.75" customHeight="1">
      <c r="A7" s="44"/>
      <c r="B7" s="102" t="s">
        <v>6</v>
      </c>
      <c r="C7" s="22"/>
      <c r="D7" s="23"/>
      <c r="E7" s="228" t="s">
        <v>173</v>
      </c>
      <c r="F7" s="229"/>
      <c r="G7" s="229"/>
      <c r="H7" s="230"/>
      <c r="I7" s="61" t="s">
        <v>28</v>
      </c>
      <c r="J7" s="27"/>
      <c r="K7" s="231" t="s">
        <v>34</v>
      </c>
      <c r="L7" s="232"/>
      <c r="M7" s="233"/>
      <c r="N7" s="92">
        <f>COUNTIF(H14:H14,"LONG")+COUNTIF(H14:H14,"LONG RAW")</f>
        <v>0</v>
      </c>
      <c r="O7" s="210"/>
      <c r="P7" s="211"/>
      <c r="Q7" s="211"/>
      <c r="R7" s="211"/>
      <c r="S7" s="211"/>
      <c r="T7" s="211"/>
      <c r="U7" s="212"/>
    </row>
    <row r="8" spans="1:21" ht="14.45" customHeight="1">
      <c r="A8" s="45"/>
      <c r="B8" s="22" t="s">
        <v>7</v>
      </c>
      <c r="C8" s="22"/>
      <c r="D8" s="23"/>
      <c r="E8" s="228" t="s">
        <v>936</v>
      </c>
      <c r="F8" s="229"/>
      <c r="G8" s="229"/>
      <c r="H8" s="230"/>
      <c r="I8" s="62"/>
      <c r="J8" s="27"/>
      <c r="K8" s="234"/>
      <c r="L8" s="235"/>
      <c r="M8" s="236"/>
      <c r="N8" s="92"/>
      <c r="O8" s="210"/>
      <c r="P8" s="211"/>
      <c r="Q8" s="211"/>
      <c r="R8" s="211"/>
      <c r="S8" s="211"/>
      <c r="T8" s="211"/>
      <c r="U8" s="212"/>
    </row>
    <row r="9" spans="1:21" ht="14.45" customHeight="1">
      <c r="A9" s="45"/>
      <c r="B9" s="22" t="s">
        <v>8</v>
      </c>
      <c r="C9" s="22"/>
      <c r="D9" s="23"/>
      <c r="E9" s="237" t="s">
        <v>68</v>
      </c>
      <c r="F9" s="238"/>
      <c r="G9" s="238"/>
      <c r="H9" s="239"/>
      <c r="I9" s="61" t="s">
        <v>9</v>
      </c>
      <c r="J9" s="27"/>
      <c r="K9" s="86"/>
      <c r="L9" s="88">
        <f>SUM(N14:N26)</f>
        <v>137</v>
      </c>
      <c r="M9" s="82"/>
      <c r="N9" s="93">
        <f>SUMIF(M14:M14,"■",N14:N14)</f>
        <v>0</v>
      </c>
      <c r="O9" s="210"/>
      <c r="P9" s="211"/>
      <c r="Q9" s="211"/>
      <c r="R9" s="211"/>
      <c r="S9" s="211"/>
      <c r="T9" s="211"/>
      <c r="U9" s="212"/>
    </row>
    <row r="10" spans="1:21" ht="14.45" customHeight="1">
      <c r="A10" s="45"/>
      <c r="B10" s="22" t="s">
        <v>10</v>
      </c>
      <c r="C10" s="22"/>
      <c r="D10" s="23"/>
      <c r="E10" s="219" t="s">
        <v>68</v>
      </c>
      <c r="F10" s="220"/>
      <c r="G10" s="220"/>
      <c r="H10" s="221"/>
      <c r="I10" s="61" t="s">
        <v>11</v>
      </c>
      <c r="J10" s="27"/>
      <c r="K10" s="86"/>
      <c r="L10" s="89">
        <f>E11*L9/1000</f>
        <v>0</v>
      </c>
      <c r="M10" s="82"/>
      <c r="N10" s="55"/>
      <c r="O10" s="210"/>
      <c r="P10" s="211"/>
      <c r="Q10" s="211"/>
      <c r="R10" s="211"/>
      <c r="S10" s="211"/>
      <c r="T10" s="211"/>
      <c r="U10" s="212"/>
    </row>
    <row r="11" spans="1:21" ht="17.25" customHeight="1" thickBot="1">
      <c r="A11" s="46"/>
      <c r="B11" s="24" t="s">
        <v>29</v>
      </c>
      <c r="C11" s="24"/>
      <c r="D11" s="25"/>
      <c r="E11" s="207"/>
      <c r="F11" s="208"/>
      <c r="G11" s="208"/>
      <c r="H11" s="209"/>
      <c r="I11" s="103" t="s">
        <v>12</v>
      </c>
      <c r="J11" s="104"/>
      <c r="K11" s="87"/>
      <c r="L11" s="90"/>
      <c r="M11" s="83"/>
      <c r="N11" s="56"/>
      <c r="O11" s="210"/>
      <c r="P11" s="211"/>
      <c r="Q11" s="211"/>
      <c r="R11" s="211"/>
      <c r="S11" s="211"/>
      <c r="T11" s="211"/>
      <c r="U11" s="212"/>
    </row>
    <row r="12" spans="1:21" ht="15.75" customHeight="1" thickBot="1">
      <c r="A12" s="64"/>
      <c r="B12" s="65"/>
      <c r="C12" s="30"/>
      <c r="D12" s="30"/>
      <c r="E12" s="31"/>
      <c r="F12" s="32"/>
      <c r="G12" s="29"/>
      <c r="H12" s="28"/>
      <c r="I12" s="29"/>
      <c r="J12" s="30" t="s">
        <v>13</v>
      </c>
      <c r="K12" s="31"/>
      <c r="L12" s="66"/>
      <c r="M12" s="48"/>
      <c r="N12" s="57">
        <f>COUNTA(H14:H14)</f>
        <v>1</v>
      </c>
      <c r="O12" s="213"/>
      <c r="P12" s="214"/>
      <c r="Q12" s="214"/>
      <c r="R12" s="214"/>
      <c r="S12" s="214"/>
      <c r="T12" s="214"/>
      <c r="U12" s="21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16" t="s">
        <v>32</v>
      </c>
      <c r="Q13" s="217"/>
      <c r="R13" s="217"/>
      <c r="S13" s="217"/>
      <c r="T13" s="217"/>
      <c r="U13" s="218"/>
    </row>
    <row r="14" spans="1:21" ht="15.75" customHeight="1">
      <c r="A14" s="85" t="s">
        <v>188</v>
      </c>
      <c r="B14" s="37">
        <f>ROW()-13</f>
        <v>1</v>
      </c>
      <c r="C14" s="145" t="s">
        <v>420</v>
      </c>
      <c r="D14" s="80"/>
      <c r="E14" s="81"/>
      <c r="F14" s="146" t="s">
        <v>421</v>
      </c>
      <c r="G14" s="17"/>
      <c r="H14" s="18" t="s">
        <v>49</v>
      </c>
      <c r="I14" s="59"/>
      <c r="J14" s="19">
        <v>4</v>
      </c>
      <c r="K14" s="19"/>
      <c r="L14" s="50" t="s">
        <v>187</v>
      </c>
      <c r="M14" s="73" t="s">
        <v>21</v>
      </c>
      <c r="N14" s="54">
        <f t="shared" ref="N14:N24" si="0">IF(H14="NUMBER",IF(J14&gt;0,INT((J14+1)/2+0.9),0),IF(H14="DATE",7,IF(OR(H14="LONG",H14="LONG RAW"),100000,J14)))</f>
        <v>4</v>
      </c>
      <c r="O14" s="167"/>
      <c r="P14" s="203"/>
      <c r="Q14" s="204"/>
      <c r="R14" s="204"/>
      <c r="S14" s="204"/>
      <c r="T14" s="204"/>
      <c r="U14" s="205"/>
    </row>
    <row r="15" spans="1:21" ht="15.75" customHeight="1">
      <c r="A15" s="85"/>
      <c r="B15" s="37">
        <f>ROW()-13</f>
        <v>2</v>
      </c>
      <c r="C15" s="145" t="s">
        <v>940</v>
      </c>
      <c r="D15" s="80"/>
      <c r="E15" s="81"/>
      <c r="F15" s="146" t="s">
        <v>941</v>
      </c>
      <c r="G15" s="17"/>
      <c r="H15" s="18" t="s">
        <v>51</v>
      </c>
      <c r="I15" s="59"/>
      <c r="J15" s="19">
        <v>30</v>
      </c>
      <c r="K15" s="19"/>
      <c r="L15" s="50" t="s">
        <v>187</v>
      </c>
      <c r="M15" s="73" t="s">
        <v>21</v>
      </c>
      <c r="N15" s="54">
        <f t="shared" si="0"/>
        <v>30</v>
      </c>
      <c r="O15" s="167"/>
      <c r="P15" s="203"/>
      <c r="Q15" s="204"/>
      <c r="R15" s="204"/>
      <c r="S15" s="204"/>
      <c r="T15" s="204"/>
      <c r="U15" s="205"/>
    </row>
    <row r="16" spans="1:21" ht="27.6" customHeight="1">
      <c r="A16" s="85"/>
      <c r="B16" s="37">
        <f>ROW()-13</f>
        <v>3</v>
      </c>
      <c r="C16" s="145" t="s">
        <v>225</v>
      </c>
      <c r="D16" s="80"/>
      <c r="E16" s="81"/>
      <c r="F16" s="146" t="s">
        <v>226</v>
      </c>
      <c r="G16" s="17"/>
      <c r="H16" s="18" t="s">
        <v>49</v>
      </c>
      <c r="I16" s="59"/>
      <c r="J16" s="19">
        <v>1</v>
      </c>
      <c r="K16" s="19"/>
      <c r="L16" s="50"/>
      <c r="M16" s="73" t="s">
        <v>21</v>
      </c>
      <c r="N16" s="54">
        <f t="shared" si="0"/>
        <v>1</v>
      </c>
      <c r="O16" s="167"/>
      <c r="P16" s="206" t="s">
        <v>227</v>
      </c>
      <c r="Q16" s="204"/>
      <c r="R16" s="204"/>
      <c r="S16" s="204"/>
      <c r="T16" s="204"/>
      <c r="U16" s="205"/>
    </row>
    <row r="17" spans="1:21" ht="15.75" customHeight="1">
      <c r="A17" s="85"/>
      <c r="B17" s="37">
        <f>ROW()-13</f>
        <v>4</v>
      </c>
      <c r="C17" s="145" t="s">
        <v>293</v>
      </c>
      <c r="D17" s="80"/>
      <c r="E17" s="81"/>
      <c r="F17" s="146" t="s">
        <v>294</v>
      </c>
      <c r="G17" s="17"/>
      <c r="H17" s="18" t="s">
        <v>51</v>
      </c>
      <c r="I17" s="59"/>
      <c r="J17" s="19">
        <v>50</v>
      </c>
      <c r="K17" s="19"/>
      <c r="L17" s="50"/>
      <c r="M17" s="73" t="s">
        <v>21</v>
      </c>
      <c r="N17" s="54">
        <f t="shared" si="0"/>
        <v>50</v>
      </c>
      <c r="O17" s="167"/>
      <c r="P17" s="203"/>
      <c r="Q17" s="204"/>
      <c r="R17" s="204"/>
      <c r="S17" s="204"/>
      <c r="T17" s="204"/>
      <c r="U17" s="205"/>
    </row>
    <row r="18" spans="1:21" ht="15.75">
      <c r="A18" s="85"/>
      <c r="B18" s="37">
        <f t="shared" ref="B18:B24" si="1">ROW()-13</f>
        <v>5</v>
      </c>
      <c r="C18" s="107" t="s">
        <v>36</v>
      </c>
      <c r="D18" s="107"/>
      <c r="E18" s="108"/>
      <c r="F18" s="109" t="s">
        <v>78</v>
      </c>
      <c r="G18" s="110"/>
      <c r="H18" s="18" t="s">
        <v>51</v>
      </c>
      <c r="I18" s="59"/>
      <c r="J18" s="113">
        <v>12</v>
      </c>
      <c r="K18" s="113"/>
      <c r="L18" s="114"/>
      <c r="M18" s="115" t="s">
        <v>35</v>
      </c>
      <c r="N18" s="116">
        <f t="shared" si="0"/>
        <v>12</v>
      </c>
      <c r="O18" s="168"/>
      <c r="P18" s="200"/>
      <c r="Q18" s="201"/>
      <c r="R18" s="201"/>
      <c r="S18" s="201"/>
      <c r="T18" s="201"/>
      <c r="U18" s="202"/>
    </row>
    <row r="19" spans="1:21" ht="15.75">
      <c r="A19" s="85"/>
      <c r="B19" s="37">
        <f t="shared" si="1"/>
        <v>6</v>
      </c>
      <c r="C19" s="107" t="s">
        <v>37</v>
      </c>
      <c r="D19" s="107"/>
      <c r="E19" s="108"/>
      <c r="F19" s="109" t="s">
        <v>43</v>
      </c>
      <c r="G19" s="110"/>
      <c r="H19" s="18" t="s">
        <v>51</v>
      </c>
      <c r="I19" s="59"/>
      <c r="J19" s="113">
        <v>10</v>
      </c>
      <c r="K19" s="113"/>
      <c r="L19" s="114"/>
      <c r="M19" s="115" t="s">
        <v>21</v>
      </c>
      <c r="N19" s="116">
        <f t="shared" si="0"/>
        <v>10</v>
      </c>
      <c r="O19" s="168"/>
      <c r="P19" s="200"/>
      <c r="Q19" s="201"/>
      <c r="R19" s="201"/>
      <c r="S19" s="201"/>
      <c r="T19" s="201"/>
      <c r="U19" s="202"/>
    </row>
    <row r="20" spans="1:21" ht="15.75">
      <c r="A20" s="85"/>
      <c r="B20" s="37">
        <f t="shared" si="1"/>
        <v>7</v>
      </c>
      <c r="C20" s="107" t="s">
        <v>38</v>
      </c>
      <c r="D20" s="107"/>
      <c r="E20" s="108"/>
      <c r="F20" s="109" t="s">
        <v>80</v>
      </c>
      <c r="G20" s="110"/>
      <c r="H20" s="18" t="s">
        <v>86</v>
      </c>
      <c r="I20" s="59"/>
      <c r="J20" s="113"/>
      <c r="K20" s="113"/>
      <c r="L20" s="114"/>
      <c r="M20" s="115" t="s">
        <v>21</v>
      </c>
      <c r="N20" s="116">
        <f t="shared" si="0"/>
        <v>0</v>
      </c>
      <c r="O20" s="168"/>
      <c r="P20" s="200"/>
      <c r="Q20" s="201"/>
      <c r="R20" s="201"/>
      <c r="S20" s="201"/>
      <c r="T20" s="201"/>
      <c r="U20" s="202"/>
    </row>
    <row r="21" spans="1:21" ht="15.75">
      <c r="A21" s="85"/>
      <c r="B21" s="37">
        <f t="shared" si="1"/>
        <v>8</v>
      </c>
      <c r="C21" s="107" t="s">
        <v>39</v>
      </c>
      <c r="D21" s="107"/>
      <c r="E21" s="108"/>
      <c r="F21" s="109" t="s">
        <v>79</v>
      </c>
      <c r="G21" s="110"/>
      <c r="H21" s="18" t="s">
        <v>51</v>
      </c>
      <c r="I21" s="59"/>
      <c r="J21" s="113">
        <v>12</v>
      </c>
      <c r="K21" s="113"/>
      <c r="L21" s="114"/>
      <c r="M21" s="115" t="s">
        <v>35</v>
      </c>
      <c r="N21" s="116">
        <f t="shared" si="0"/>
        <v>12</v>
      </c>
      <c r="O21" s="168"/>
      <c r="P21" s="200"/>
      <c r="Q21" s="201"/>
      <c r="R21" s="201"/>
      <c r="S21" s="201"/>
      <c r="T21" s="201"/>
      <c r="U21" s="202"/>
    </row>
    <row r="22" spans="1:21" ht="15.75">
      <c r="A22" s="85"/>
      <c r="B22" s="37">
        <f t="shared" si="1"/>
        <v>9</v>
      </c>
      <c r="C22" s="107" t="s">
        <v>40</v>
      </c>
      <c r="D22" s="107"/>
      <c r="E22" s="108"/>
      <c r="F22" s="109" t="s">
        <v>44</v>
      </c>
      <c r="G22" s="110"/>
      <c r="H22" s="18" t="s">
        <v>51</v>
      </c>
      <c r="I22" s="59"/>
      <c r="J22" s="113">
        <v>10</v>
      </c>
      <c r="K22" s="113"/>
      <c r="L22" s="114"/>
      <c r="M22" s="115" t="s">
        <v>21</v>
      </c>
      <c r="N22" s="116">
        <f t="shared" si="0"/>
        <v>10</v>
      </c>
      <c r="O22" s="168"/>
      <c r="P22" s="200"/>
      <c r="Q22" s="201"/>
      <c r="R22" s="201"/>
      <c r="S22" s="201"/>
      <c r="T22" s="201"/>
      <c r="U22" s="202"/>
    </row>
    <row r="23" spans="1:21" ht="15.75">
      <c r="A23" s="85"/>
      <c r="B23" s="37">
        <f t="shared" si="1"/>
        <v>10</v>
      </c>
      <c r="C23" s="107" t="s">
        <v>41</v>
      </c>
      <c r="D23" s="107"/>
      <c r="E23" s="108"/>
      <c r="F23" s="109" t="s">
        <v>81</v>
      </c>
      <c r="G23" s="110"/>
      <c r="H23" s="18" t="s">
        <v>86</v>
      </c>
      <c r="I23" s="59"/>
      <c r="J23" s="113"/>
      <c r="K23" s="113"/>
      <c r="L23" s="114"/>
      <c r="M23" s="115" t="s">
        <v>21</v>
      </c>
      <c r="N23" s="116">
        <f t="shared" si="0"/>
        <v>0</v>
      </c>
      <c r="O23" s="168"/>
      <c r="P23" s="200"/>
      <c r="Q23" s="201"/>
      <c r="R23" s="201"/>
      <c r="S23" s="201"/>
      <c r="T23" s="201"/>
      <c r="U23" s="202"/>
    </row>
    <row r="24" spans="1:21" ht="15.75">
      <c r="A24" s="85"/>
      <c r="B24" s="37">
        <f t="shared" si="1"/>
        <v>11</v>
      </c>
      <c r="C24" s="80" t="s">
        <v>46</v>
      </c>
      <c r="D24" s="80"/>
      <c r="E24" s="81"/>
      <c r="F24" s="84" t="s">
        <v>71</v>
      </c>
      <c r="G24" s="17"/>
      <c r="H24" s="18" t="s">
        <v>62</v>
      </c>
      <c r="I24" s="59"/>
      <c r="J24" s="19">
        <v>8</v>
      </c>
      <c r="K24" s="19"/>
      <c r="L24" s="50" t="s">
        <v>47</v>
      </c>
      <c r="M24" s="73" t="s">
        <v>35</v>
      </c>
      <c r="N24" s="54">
        <f t="shared" si="0"/>
        <v>8</v>
      </c>
      <c r="O24" s="167">
        <v>0</v>
      </c>
      <c r="P24" s="203" t="s">
        <v>48</v>
      </c>
      <c r="Q24" s="204"/>
      <c r="R24" s="204"/>
      <c r="S24" s="204"/>
      <c r="T24" s="204"/>
      <c r="U24" s="205"/>
    </row>
    <row r="25" spans="1:21" ht="16.5" thickBot="1">
      <c r="A25" s="118"/>
      <c r="B25" s="119"/>
      <c r="C25" s="120"/>
      <c r="D25" s="120"/>
      <c r="E25" s="121"/>
      <c r="F25" s="129"/>
      <c r="G25" s="122"/>
      <c r="H25" s="147"/>
      <c r="I25" s="148"/>
      <c r="J25" s="125"/>
      <c r="K25" s="125"/>
      <c r="L25" s="126"/>
      <c r="M25" s="126"/>
      <c r="N25" s="127"/>
      <c r="O25" s="169"/>
      <c r="P25" s="197"/>
      <c r="Q25" s="198"/>
      <c r="R25" s="198"/>
      <c r="S25" s="198"/>
      <c r="T25" s="198"/>
      <c r="U25" s="199"/>
    </row>
  </sheetData>
  <mergeCells count="42">
    <mergeCell ref="O1:U1"/>
    <mergeCell ref="J2:K2"/>
    <mergeCell ref="L2:M2"/>
    <mergeCell ref="O2:U2"/>
    <mergeCell ref="J3:K3"/>
    <mergeCell ref="L3:M3"/>
    <mergeCell ref="O3:U3"/>
    <mergeCell ref="J4:K4"/>
    <mergeCell ref="L4:M4"/>
    <mergeCell ref="O4:U4"/>
    <mergeCell ref="J5:K5"/>
    <mergeCell ref="L5:M5"/>
    <mergeCell ref="O5:U5"/>
    <mergeCell ref="E6:H6"/>
    <mergeCell ref="K6:M6"/>
    <mergeCell ref="O6:U6"/>
    <mergeCell ref="E7:H7"/>
    <mergeCell ref="K7:M7"/>
    <mergeCell ref="O7:U7"/>
    <mergeCell ref="P15:U15"/>
    <mergeCell ref="E8:H8"/>
    <mergeCell ref="K8:M8"/>
    <mergeCell ref="O8:U8"/>
    <mergeCell ref="E9:H9"/>
    <mergeCell ref="O9:U9"/>
    <mergeCell ref="E10:H10"/>
    <mergeCell ref="O10:U10"/>
    <mergeCell ref="E11:H11"/>
    <mergeCell ref="O11:U11"/>
    <mergeCell ref="O12:U12"/>
    <mergeCell ref="P13:U13"/>
    <mergeCell ref="P14:U14"/>
    <mergeCell ref="P22:U22"/>
    <mergeCell ref="P23:U23"/>
    <mergeCell ref="P24:U24"/>
    <mergeCell ref="P25:U25"/>
    <mergeCell ref="P16:U16"/>
    <mergeCell ref="P17:U17"/>
    <mergeCell ref="P18:U18"/>
    <mergeCell ref="P19:U19"/>
    <mergeCell ref="P20:U20"/>
    <mergeCell ref="P21:U21"/>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3"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54274"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54275"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54276"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54277"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54278"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27BB3CDC-36D2-43EC-9F4B-F399CC0EC681}">
            <xm:f>(AND(H14&lt;&gt;"",ISERROR(VLOOKUP(H14,system!$E:$E,1,FALSE))))</xm:f>
            <x14:dxf>
              <fill>
                <patternFill patternType="solid">
                  <bgColor rgb="FFFF0000"/>
                </patternFill>
              </fill>
            </x14:dxf>
          </x14:cfRule>
          <xm:sqref>H14:H17</xm:sqref>
        </x14:conditionalFormatting>
        <x14:conditionalFormatting xmlns:xm="http://schemas.microsoft.com/office/excel/2006/main">
          <x14:cfRule type="expression" priority="3" id="{1BB4535E-D869-4444-AEAF-E0151DB6556E}">
            <xm:f>(AND(H14&lt;&gt;"",ISERROR(VLOOKUP(H14,system!$E:$E,1,FALSE))))</xm:f>
            <x14:dxf>
              <fill>
                <patternFill>
                  <bgColor rgb="FFFF0000"/>
                </patternFill>
              </fill>
            </x14:dxf>
          </x14:cfRule>
          <xm:sqref>I14:I17</xm:sqref>
        </x14:conditionalFormatting>
        <x14:conditionalFormatting xmlns:xm="http://schemas.microsoft.com/office/excel/2006/main">
          <x14:cfRule type="expression" priority="2" id="{33D27E67-DAF5-468A-89CA-E1CD00EC7738}">
            <xm:f>(AND(H18&lt;&gt;"",ISERROR(VLOOKUP(H18,system!$E:$E,1,FALSE))))</xm:f>
            <x14:dxf>
              <fill>
                <patternFill patternType="solid">
                  <bgColor rgb="FFFF0000"/>
                </patternFill>
              </fill>
            </x14:dxf>
          </x14:cfRule>
          <xm:sqref>H18:H25</xm:sqref>
        </x14:conditionalFormatting>
        <x14:conditionalFormatting xmlns:xm="http://schemas.microsoft.com/office/excel/2006/main">
          <x14:cfRule type="expression" priority="1" id="{45A576CD-4457-4306-9672-6714E507B58B}">
            <xm:f>(AND(H18&lt;&gt;"",ISERROR(VLOOKUP(H18,system!$E:$E,1,FALSE))))</xm:f>
            <x14:dxf>
              <fill>
                <patternFill>
                  <bgColor rgb="FFFF0000"/>
                </patternFill>
              </fill>
            </x14:dxf>
          </x14:cfRule>
          <xm:sqref>I18:I25</xm:sqref>
        </x14:conditionalFormatting>
      </x14:conditionalFormatting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pageSetUpPr fitToPage="1"/>
  </sheetPr>
  <dimension ref="A1:U25"/>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7" t="s">
        <v>27</v>
      </c>
      <c r="P1" s="248"/>
      <c r="Q1" s="248"/>
      <c r="R1" s="248"/>
      <c r="S1" s="248"/>
      <c r="T1" s="248"/>
      <c r="U1" s="249"/>
    </row>
    <row r="2" spans="1:21" ht="14.45" customHeight="1">
      <c r="A2" s="39"/>
      <c r="B2" s="100" t="s">
        <v>64</v>
      </c>
      <c r="C2" s="5"/>
      <c r="D2" s="5"/>
      <c r="E2" s="5"/>
      <c r="F2" s="5"/>
      <c r="G2" s="6"/>
      <c r="H2" s="7"/>
      <c r="I2" s="8"/>
      <c r="J2" s="250"/>
      <c r="K2" s="251"/>
      <c r="L2" s="250"/>
      <c r="M2" s="251"/>
      <c r="N2" s="52"/>
      <c r="O2" s="252" t="s">
        <v>942</v>
      </c>
      <c r="P2" s="253"/>
      <c r="Q2" s="253"/>
      <c r="R2" s="253"/>
      <c r="S2" s="253"/>
      <c r="T2" s="253"/>
      <c r="U2" s="254"/>
    </row>
    <row r="3" spans="1:21" ht="14.25" customHeight="1">
      <c r="A3" s="40"/>
      <c r="B3" s="35"/>
      <c r="C3" s="5"/>
      <c r="D3" s="5"/>
      <c r="E3" s="5"/>
      <c r="F3" s="5"/>
      <c r="G3" s="9"/>
      <c r="H3" s="10"/>
      <c r="I3" s="176" t="s">
        <v>1032</v>
      </c>
      <c r="J3" s="255" t="s">
        <v>1032</v>
      </c>
      <c r="K3" s="256"/>
      <c r="L3" s="255" t="s">
        <v>1032</v>
      </c>
      <c r="M3" s="256"/>
      <c r="N3" s="52"/>
      <c r="O3" s="257"/>
      <c r="P3" s="258"/>
      <c r="Q3" s="258"/>
      <c r="R3" s="258"/>
      <c r="S3" s="258"/>
      <c r="T3" s="258"/>
      <c r="U3" s="259"/>
    </row>
    <row r="4" spans="1:21" ht="14.45" customHeight="1">
      <c r="A4" s="41"/>
      <c r="B4" s="36" t="s">
        <v>3</v>
      </c>
      <c r="C4" s="5"/>
      <c r="D4" s="5"/>
      <c r="E4" s="5"/>
      <c r="F4" s="5"/>
      <c r="G4" s="6"/>
      <c r="H4" s="10"/>
      <c r="I4" s="177" t="s">
        <v>1035</v>
      </c>
      <c r="J4" s="240" t="s">
        <v>1034</v>
      </c>
      <c r="K4" s="241"/>
      <c r="L4" s="240" t="s">
        <v>1033</v>
      </c>
      <c r="M4" s="241"/>
      <c r="N4" s="52"/>
      <c r="O4" s="210"/>
      <c r="P4" s="211"/>
      <c r="Q4" s="211"/>
      <c r="R4" s="211"/>
      <c r="S4" s="211"/>
      <c r="T4" s="211"/>
      <c r="U4" s="212"/>
    </row>
    <row r="5" spans="1:21" ht="14.45" customHeight="1" thickBot="1">
      <c r="A5" s="42"/>
      <c r="B5" s="11"/>
      <c r="C5" s="11"/>
      <c r="D5" s="11"/>
      <c r="E5" s="11"/>
      <c r="F5" s="11"/>
      <c r="G5" s="12"/>
      <c r="H5" s="13"/>
      <c r="I5" s="14"/>
      <c r="J5" s="242"/>
      <c r="K5" s="243"/>
      <c r="L5" s="244"/>
      <c r="M5" s="245"/>
      <c r="N5" s="53"/>
      <c r="O5" s="246"/>
      <c r="P5" s="211"/>
      <c r="Q5" s="211"/>
      <c r="R5" s="211"/>
      <c r="S5" s="211"/>
      <c r="T5" s="211"/>
      <c r="U5" s="212"/>
    </row>
    <row r="6" spans="1:21" ht="14.45" customHeight="1">
      <c r="A6" s="43"/>
      <c r="B6" s="101" t="s">
        <v>4</v>
      </c>
      <c r="C6" s="20"/>
      <c r="D6" s="21"/>
      <c r="E6" s="222" t="s">
        <v>65</v>
      </c>
      <c r="F6" s="223"/>
      <c r="G6" s="223"/>
      <c r="H6" s="224"/>
      <c r="I6" s="60" t="s">
        <v>26</v>
      </c>
      <c r="J6" s="26"/>
      <c r="K6" s="225" t="s">
        <v>33</v>
      </c>
      <c r="L6" s="226"/>
      <c r="M6" s="227"/>
      <c r="N6" s="91" t="s">
        <v>5</v>
      </c>
      <c r="O6" s="210"/>
      <c r="P6" s="211"/>
      <c r="Q6" s="211"/>
      <c r="R6" s="211"/>
      <c r="S6" s="211"/>
      <c r="T6" s="211"/>
      <c r="U6" s="212"/>
    </row>
    <row r="7" spans="1:21" ht="15.75" customHeight="1">
      <c r="A7" s="44"/>
      <c r="B7" s="102" t="s">
        <v>6</v>
      </c>
      <c r="C7" s="22"/>
      <c r="D7" s="23"/>
      <c r="E7" s="228" t="s">
        <v>1025</v>
      </c>
      <c r="F7" s="229"/>
      <c r="G7" s="229"/>
      <c r="H7" s="230"/>
      <c r="I7" s="61" t="s">
        <v>28</v>
      </c>
      <c r="J7" s="27"/>
      <c r="K7" s="231" t="s">
        <v>34</v>
      </c>
      <c r="L7" s="232"/>
      <c r="M7" s="233"/>
      <c r="N7" s="92">
        <f>COUNTIF(H14:H14,"LONG")+COUNTIF(H14:H14,"LONG RAW")</f>
        <v>0</v>
      </c>
      <c r="O7" s="210"/>
      <c r="P7" s="211"/>
      <c r="Q7" s="211"/>
      <c r="R7" s="211"/>
      <c r="S7" s="211"/>
      <c r="T7" s="211"/>
      <c r="U7" s="212"/>
    </row>
    <row r="8" spans="1:21" ht="14.45" customHeight="1">
      <c r="A8" s="45"/>
      <c r="B8" s="22" t="s">
        <v>7</v>
      </c>
      <c r="C8" s="22"/>
      <c r="D8" s="23"/>
      <c r="E8" s="228" t="s">
        <v>1026</v>
      </c>
      <c r="F8" s="229"/>
      <c r="G8" s="229"/>
      <c r="H8" s="230"/>
      <c r="I8" s="62"/>
      <c r="J8" s="27"/>
      <c r="K8" s="234"/>
      <c r="L8" s="235"/>
      <c r="M8" s="236"/>
      <c r="N8" s="92"/>
      <c r="O8" s="210"/>
      <c r="P8" s="211"/>
      <c r="Q8" s="211"/>
      <c r="R8" s="211"/>
      <c r="S8" s="211"/>
      <c r="T8" s="211"/>
      <c r="U8" s="212"/>
    </row>
    <row r="9" spans="1:21" ht="14.45" customHeight="1">
      <c r="A9" s="45"/>
      <c r="B9" s="22" t="s">
        <v>8</v>
      </c>
      <c r="C9" s="22"/>
      <c r="D9" s="23"/>
      <c r="E9" s="237" t="s">
        <v>68</v>
      </c>
      <c r="F9" s="238"/>
      <c r="G9" s="238"/>
      <c r="H9" s="239"/>
      <c r="I9" s="61" t="s">
        <v>9</v>
      </c>
      <c r="J9" s="27"/>
      <c r="K9" s="86"/>
      <c r="L9" s="88">
        <f>SUM(N14:N26)</f>
        <v>111</v>
      </c>
      <c r="M9" s="82"/>
      <c r="N9" s="93">
        <f>SUMIF(M14:M14,"■",N14:N14)</f>
        <v>0</v>
      </c>
      <c r="O9" s="210"/>
      <c r="P9" s="211"/>
      <c r="Q9" s="211"/>
      <c r="R9" s="211"/>
      <c r="S9" s="211"/>
      <c r="T9" s="211"/>
      <c r="U9" s="212"/>
    </row>
    <row r="10" spans="1:21" ht="14.45" customHeight="1">
      <c r="A10" s="45"/>
      <c r="B10" s="22" t="s">
        <v>10</v>
      </c>
      <c r="C10" s="22"/>
      <c r="D10" s="23"/>
      <c r="E10" s="219" t="s">
        <v>68</v>
      </c>
      <c r="F10" s="220"/>
      <c r="G10" s="220"/>
      <c r="H10" s="221"/>
      <c r="I10" s="61" t="s">
        <v>11</v>
      </c>
      <c r="J10" s="27"/>
      <c r="K10" s="86"/>
      <c r="L10" s="89">
        <f>E11*L9/1000</f>
        <v>0</v>
      </c>
      <c r="M10" s="82"/>
      <c r="N10" s="55"/>
      <c r="O10" s="210"/>
      <c r="P10" s="211"/>
      <c r="Q10" s="211"/>
      <c r="R10" s="211"/>
      <c r="S10" s="211"/>
      <c r="T10" s="211"/>
      <c r="U10" s="212"/>
    </row>
    <row r="11" spans="1:21" ht="17.25" customHeight="1" thickBot="1">
      <c r="A11" s="46"/>
      <c r="B11" s="24" t="s">
        <v>29</v>
      </c>
      <c r="C11" s="24"/>
      <c r="D11" s="25"/>
      <c r="E11" s="207"/>
      <c r="F11" s="208"/>
      <c r="G11" s="208"/>
      <c r="H11" s="209"/>
      <c r="I11" s="103" t="s">
        <v>12</v>
      </c>
      <c r="J11" s="104"/>
      <c r="K11" s="87"/>
      <c r="L11" s="90"/>
      <c r="M11" s="83"/>
      <c r="N11" s="56"/>
      <c r="O11" s="210"/>
      <c r="P11" s="211"/>
      <c r="Q11" s="211"/>
      <c r="R11" s="211"/>
      <c r="S11" s="211"/>
      <c r="T11" s="211"/>
      <c r="U11" s="212"/>
    </row>
    <row r="12" spans="1:21" ht="15.75" customHeight="1" thickBot="1">
      <c r="A12" s="64"/>
      <c r="B12" s="65"/>
      <c r="C12" s="30"/>
      <c r="D12" s="30"/>
      <c r="E12" s="31"/>
      <c r="F12" s="32"/>
      <c r="G12" s="29"/>
      <c r="H12" s="28"/>
      <c r="I12" s="29"/>
      <c r="J12" s="30" t="s">
        <v>13</v>
      </c>
      <c r="K12" s="31"/>
      <c r="L12" s="66"/>
      <c r="M12" s="48"/>
      <c r="N12" s="57">
        <f>COUNTA(H14:H14)</f>
        <v>1</v>
      </c>
      <c r="O12" s="213"/>
      <c r="P12" s="214"/>
      <c r="Q12" s="214"/>
      <c r="R12" s="214"/>
      <c r="S12" s="214"/>
      <c r="T12" s="214"/>
      <c r="U12" s="21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16" t="s">
        <v>32</v>
      </c>
      <c r="Q13" s="217"/>
      <c r="R13" s="217"/>
      <c r="S13" s="217"/>
      <c r="T13" s="217"/>
      <c r="U13" s="218"/>
    </row>
    <row r="14" spans="1:21" ht="15.75" customHeight="1">
      <c r="A14" s="85" t="s">
        <v>188</v>
      </c>
      <c r="B14" s="37">
        <f>ROW()-13</f>
        <v>1</v>
      </c>
      <c r="C14" s="145" t="s">
        <v>943</v>
      </c>
      <c r="D14" s="80"/>
      <c r="E14" s="81"/>
      <c r="F14" s="146" t="s">
        <v>944</v>
      </c>
      <c r="G14" s="17"/>
      <c r="H14" s="18" t="s">
        <v>24</v>
      </c>
      <c r="I14" s="59"/>
      <c r="J14" s="19"/>
      <c r="K14" s="19"/>
      <c r="L14" s="50" t="s">
        <v>187</v>
      </c>
      <c r="M14" s="73" t="s">
        <v>21</v>
      </c>
      <c r="N14" s="54">
        <f t="shared" ref="N14:N24" si="0">IF(H14="NUMBER",IF(J14&gt;0,INT((J14+1)/2+0.9),0),IF(H14="DATE",7,IF(OR(H14="LONG",H14="LONG RAW"),100000,J14)))</f>
        <v>7</v>
      </c>
      <c r="O14" s="167"/>
      <c r="P14" s="203"/>
      <c r="Q14" s="204"/>
      <c r="R14" s="204"/>
      <c r="S14" s="204"/>
      <c r="T14" s="204"/>
      <c r="U14" s="205"/>
    </row>
    <row r="15" spans="1:21" ht="15.75" customHeight="1">
      <c r="A15" s="85" t="s">
        <v>188</v>
      </c>
      <c r="B15" s="37">
        <f>ROW()-13</f>
        <v>2</v>
      </c>
      <c r="C15" s="145" t="s">
        <v>331</v>
      </c>
      <c r="D15" s="80"/>
      <c r="E15" s="81"/>
      <c r="F15" s="146" t="s">
        <v>332</v>
      </c>
      <c r="G15" s="17"/>
      <c r="H15" s="18" t="s">
        <v>49</v>
      </c>
      <c r="I15" s="59"/>
      <c r="J15" s="19">
        <v>1</v>
      </c>
      <c r="K15" s="19"/>
      <c r="L15" s="50" t="s">
        <v>187</v>
      </c>
      <c r="M15" s="73" t="s">
        <v>21</v>
      </c>
      <c r="N15" s="54">
        <f t="shared" si="0"/>
        <v>1</v>
      </c>
      <c r="O15" s="167"/>
      <c r="P15" s="203"/>
      <c r="Q15" s="204"/>
      <c r="R15" s="204"/>
      <c r="S15" s="204"/>
      <c r="T15" s="204"/>
      <c r="U15" s="205"/>
    </row>
    <row r="16" spans="1:21" ht="27.6" customHeight="1">
      <c r="A16" s="85"/>
      <c r="B16" s="37">
        <f>ROW()-13</f>
        <v>3</v>
      </c>
      <c r="C16" s="145" t="s">
        <v>945</v>
      </c>
      <c r="D16" s="80"/>
      <c r="E16" s="81"/>
      <c r="F16" s="146" t="s">
        <v>946</v>
      </c>
      <c r="G16" s="17"/>
      <c r="H16" s="18" t="s">
        <v>49</v>
      </c>
      <c r="I16" s="59"/>
      <c r="J16" s="19">
        <v>1</v>
      </c>
      <c r="K16" s="19"/>
      <c r="L16" s="50"/>
      <c r="M16" s="73" t="s">
        <v>21</v>
      </c>
      <c r="N16" s="54">
        <f t="shared" si="0"/>
        <v>1</v>
      </c>
      <c r="O16" s="167"/>
      <c r="P16" s="206" t="s">
        <v>947</v>
      </c>
      <c r="Q16" s="204"/>
      <c r="R16" s="204"/>
      <c r="S16" s="204"/>
      <c r="T16" s="204"/>
      <c r="U16" s="205"/>
    </row>
    <row r="17" spans="1:21" ht="15.75" customHeight="1">
      <c r="A17" s="85"/>
      <c r="B17" s="37">
        <f>ROW()-13</f>
        <v>4</v>
      </c>
      <c r="C17" s="145" t="s">
        <v>293</v>
      </c>
      <c r="D17" s="80"/>
      <c r="E17" s="81"/>
      <c r="F17" s="146" t="s">
        <v>294</v>
      </c>
      <c r="G17" s="17"/>
      <c r="H17" s="18" t="s">
        <v>51</v>
      </c>
      <c r="I17" s="59"/>
      <c r="J17" s="19">
        <v>50</v>
      </c>
      <c r="K17" s="19"/>
      <c r="L17" s="50"/>
      <c r="M17" s="73" t="s">
        <v>21</v>
      </c>
      <c r="N17" s="54">
        <f t="shared" si="0"/>
        <v>50</v>
      </c>
      <c r="O17" s="167"/>
      <c r="P17" s="203"/>
      <c r="Q17" s="204"/>
      <c r="R17" s="204"/>
      <c r="S17" s="204"/>
      <c r="T17" s="204"/>
      <c r="U17" s="205"/>
    </row>
    <row r="18" spans="1:21" ht="15.75">
      <c r="A18" s="85"/>
      <c r="B18" s="37">
        <f t="shared" ref="B18:B24" si="1">ROW()-13</f>
        <v>5</v>
      </c>
      <c r="C18" s="107" t="s">
        <v>36</v>
      </c>
      <c r="D18" s="107"/>
      <c r="E18" s="108"/>
      <c r="F18" s="109" t="s">
        <v>78</v>
      </c>
      <c r="G18" s="110"/>
      <c r="H18" s="18" t="s">
        <v>51</v>
      </c>
      <c r="I18" s="59"/>
      <c r="J18" s="113">
        <v>12</v>
      </c>
      <c r="K18" s="113"/>
      <c r="L18" s="114"/>
      <c r="M18" s="115" t="s">
        <v>35</v>
      </c>
      <c r="N18" s="116">
        <f t="shared" si="0"/>
        <v>12</v>
      </c>
      <c r="O18" s="168"/>
      <c r="P18" s="200"/>
      <c r="Q18" s="201"/>
      <c r="R18" s="201"/>
      <c r="S18" s="201"/>
      <c r="T18" s="201"/>
      <c r="U18" s="202"/>
    </row>
    <row r="19" spans="1:21" ht="15.75">
      <c r="A19" s="85"/>
      <c r="B19" s="37">
        <f t="shared" si="1"/>
        <v>6</v>
      </c>
      <c r="C19" s="107" t="s">
        <v>37</v>
      </c>
      <c r="D19" s="107"/>
      <c r="E19" s="108"/>
      <c r="F19" s="109" t="s">
        <v>43</v>
      </c>
      <c r="G19" s="110"/>
      <c r="H19" s="18" t="s">
        <v>51</v>
      </c>
      <c r="I19" s="59"/>
      <c r="J19" s="113">
        <v>10</v>
      </c>
      <c r="K19" s="113"/>
      <c r="L19" s="114"/>
      <c r="M19" s="115" t="s">
        <v>21</v>
      </c>
      <c r="N19" s="116">
        <f t="shared" si="0"/>
        <v>10</v>
      </c>
      <c r="O19" s="168"/>
      <c r="P19" s="200"/>
      <c r="Q19" s="201"/>
      <c r="R19" s="201"/>
      <c r="S19" s="201"/>
      <c r="T19" s="201"/>
      <c r="U19" s="202"/>
    </row>
    <row r="20" spans="1:21" ht="15.75">
      <c r="A20" s="85"/>
      <c r="B20" s="37">
        <f t="shared" si="1"/>
        <v>7</v>
      </c>
      <c r="C20" s="107" t="s">
        <v>38</v>
      </c>
      <c r="D20" s="107"/>
      <c r="E20" s="108"/>
      <c r="F20" s="109" t="s">
        <v>80</v>
      </c>
      <c r="G20" s="110"/>
      <c r="H20" s="18" t="s">
        <v>86</v>
      </c>
      <c r="I20" s="59"/>
      <c r="J20" s="113"/>
      <c r="K20" s="113"/>
      <c r="L20" s="114"/>
      <c r="M20" s="115" t="s">
        <v>21</v>
      </c>
      <c r="N20" s="116">
        <f t="shared" si="0"/>
        <v>0</v>
      </c>
      <c r="O20" s="168"/>
      <c r="P20" s="200"/>
      <c r="Q20" s="201"/>
      <c r="R20" s="201"/>
      <c r="S20" s="201"/>
      <c r="T20" s="201"/>
      <c r="U20" s="202"/>
    </row>
    <row r="21" spans="1:21" ht="15.75">
      <c r="A21" s="85"/>
      <c r="B21" s="37">
        <f t="shared" si="1"/>
        <v>8</v>
      </c>
      <c r="C21" s="107" t="s">
        <v>39</v>
      </c>
      <c r="D21" s="107"/>
      <c r="E21" s="108"/>
      <c r="F21" s="109" t="s">
        <v>79</v>
      </c>
      <c r="G21" s="110"/>
      <c r="H21" s="18" t="s">
        <v>51</v>
      </c>
      <c r="I21" s="59"/>
      <c r="J21" s="113">
        <v>12</v>
      </c>
      <c r="K21" s="113"/>
      <c r="L21" s="114"/>
      <c r="M21" s="115" t="s">
        <v>35</v>
      </c>
      <c r="N21" s="116">
        <f t="shared" si="0"/>
        <v>12</v>
      </c>
      <c r="O21" s="168"/>
      <c r="P21" s="200"/>
      <c r="Q21" s="201"/>
      <c r="R21" s="201"/>
      <c r="S21" s="201"/>
      <c r="T21" s="201"/>
      <c r="U21" s="202"/>
    </row>
    <row r="22" spans="1:21" ht="15.75">
      <c r="A22" s="85"/>
      <c r="B22" s="37">
        <f t="shared" si="1"/>
        <v>9</v>
      </c>
      <c r="C22" s="107" t="s">
        <v>40</v>
      </c>
      <c r="D22" s="107"/>
      <c r="E22" s="108"/>
      <c r="F22" s="109" t="s">
        <v>44</v>
      </c>
      <c r="G22" s="110"/>
      <c r="H22" s="18" t="s">
        <v>51</v>
      </c>
      <c r="I22" s="59"/>
      <c r="J22" s="113">
        <v>10</v>
      </c>
      <c r="K22" s="113"/>
      <c r="L22" s="114"/>
      <c r="M22" s="115" t="s">
        <v>21</v>
      </c>
      <c r="N22" s="116">
        <f t="shared" si="0"/>
        <v>10</v>
      </c>
      <c r="O22" s="168"/>
      <c r="P22" s="200"/>
      <c r="Q22" s="201"/>
      <c r="R22" s="201"/>
      <c r="S22" s="201"/>
      <c r="T22" s="201"/>
      <c r="U22" s="202"/>
    </row>
    <row r="23" spans="1:21" ht="15.75">
      <c r="A23" s="85"/>
      <c r="B23" s="37">
        <f t="shared" si="1"/>
        <v>10</v>
      </c>
      <c r="C23" s="107" t="s">
        <v>41</v>
      </c>
      <c r="D23" s="107"/>
      <c r="E23" s="108"/>
      <c r="F23" s="109" t="s">
        <v>81</v>
      </c>
      <c r="G23" s="110"/>
      <c r="H23" s="18" t="s">
        <v>86</v>
      </c>
      <c r="I23" s="59"/>
      <c r="J23" s="113"/>
      <c r="K23" s="113"/>
      <c r="L23" s="114"/>
      <c r="M23" s="115" t="s">
        <v>21</v>
      </c>
      <c r="N23" s="116">
        <f t="shared" si="0"/>
        <v>0</v>
      </c>
      <c r="O23" s="168"/>
      <c r="P23" s="200"/>
      <c r="Q23" s="201"/>
      <c r="R23" s="201"/>
      <c r="S23" s="201"/>
      <c r="T23" s="201"/>
      <c r="U23" s="202"/>
    </row>
    <row r="24" spans="1:21" ht="15.75">
      <c r="A24" s="85"/>
      <c r="B24" s="37">
        <f t="shared" si="1"/>
        <v>11</v>
      </c>
      <c r="C24" s="80" t="s">
        <v>46</v>
      </c>
      <c r="D24" s="80"/>
      <c r="E24" s="81"/>
      <c r="F24" s="84" t="s">
        <v>71</v>
      </c>
      <c r="G24" s="17"/>
      <c r="H24" s="18" t="s">
        <v>62</v>
      </c>
      <c r="I24" s="59"/>
      <c r="J24" s="19">
        <v>8</v>
      </c>
      <c r="K24" s="19"/>
      <c r="L24" s="50" t="s">
        <v>47</v>
      </c>
      <c r="M24" s="73" t="s">
        <v>35</v>
      </c>
      <c r="N24" s="54">
        <f t="shared" si="0"/>
        <v>8</v>
      </c>
      <c r="O24" s="167">
        <v>0</v>
      </c>
      <c r="P24" s="203" t="s">
        <v>48</v>
      </c>
      <c r="Q24" s="204"/>
      <c r="R24" s="204"/>
      <c r="S24" s="204"/>
      <c r="T24" s="204"/>
      <c r="U24" s="205"/>
    </row>
    <row r="25" spans="1:21" ht="16.5" thickBot="1">
      <c r="A25" s="118"/>
      <c r="B25" s="119"/>
      <c r="C25" s="120"/>
      <c r="D25" s="120"/>
      <c r="E25" s="121"/>
      <c r="F25" s="129"/>
      <c r="G25" s="122"/>
      <c r="H25" s="147"/>
      <c r="I25" s="148"/>
      <c r="J25" s="125"/>
      <c r="K25" s="125"/>
      <c r="L25" s="126"/>
      <c r="M25" s="126"/>
      <c r="N25" s="127"/>
      <c r="O25" s="169"/>
      <c r="P25" s="197"/>
      <c r="Q25" s="198"/>
      <c r="R25" s="198"/>
      <c r="S25" s="198"/>
      <c r="T25" s="198"/>
      <c r="U25" s="199"/>
    </row>
  </sheetData>
  <mergeCells count="42">
    <mergeCell ref="O1:U1"/>
    <mergeCell ref="J2:K2"/>
    <mergeCell ref="L2:M2"/>
    <mergeCell ref="O2:U2"/>
    <mergeCell ref="J3:K3"/>
    <mergeCell ref="L3:M3"/>
    <mergeCell ref="O3:U3"/>
    <mergeCell ref="J4:K4"/>
    <mergeCell ref="L4:M4"/>
    <mergeCell ref="O4:U4"/>
    <mergeCell ref="J5:K5"/>
    <mergeCell ref="L5:M5"/>
    <mergeCell ref="O5:U5"/>
    <mergeCell ref="E6:H6"/>
    <mergeCell ref="K6:M6"/>
    <mergeCell ref="O6:U6"/>
    <mergeCell ref="E7:H7"/>
    <mergeCell ref="K7:M7"/>
    <mergeCell ref="O7:U7"/>
    <mergeCell ref="P15:U15"/>
    <mergeCell ref="E8:H8"/>
    <mergeCell ref="K8:M8"/>
    <mergeCell ref="O8:U8"/>
    <mergeCell ref="E9:H9"/>
    <mergeCell ref="O9:U9"/>
    <mergeCell ref="E10:H10"/>
    <mergeCell ref="O10:U10"/>
    <mergeCell ref="E11:H11"/>
    <mergeCell ref="O11:U11"/>
    <mergeCell ref="O12:U12"/>
    <mergeCell ref="P13:U13"/>
    <mergeCell ref="P14:U14"/>
    <mergeCell ref="P22:U22"/>
    <mergeCell ref="P23:U23"/>
    <mergeCell ref="P24:U24"/>
    <mergeCell ref="P25:U25"/>
    <mergeCell ref="P16:U16"/>
    <mergeCell ref="P17:U17"/>
    <mergeCell ref="P18:U18"/>
    <mergeCell ref="P19:U19"/>
    <mergeCell ref="P20:U20"/>
    <mergeCell ref="P21:U21"/>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7"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55298"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55299"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55300"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55301"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55302"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4DDA749F-548B-4C66-87E7-FC00209F0A88}">
            <xm:f>(AND(H14&lt;&gt;"",ISERROR(VLOOKUP(H14,system!$E:$E,1,FALSE))))</xm:f>
            <x14:dxf>
              <fill>
                <patternFill patternType="solid">
                  <bgColor rgb="FFFF0000"/>
                </patternFill>
              </fill>
            </x14:dxf>
          </x14:cfRule>
          <xm:sqref>H14:H17</xm:sqref>
        </x14:conditionalFormatting>
        <x14:conditionalFormatting xmlns:xm="http://schemas.microsoft.com/office/excel/2006/main">
          <x14:cfRule type="expression" priority="3" id="{2D2D3285-39DF-4CAE-ACE7-5BE4B0E5D423}">
            <xm:f>(AND(H14&lt;&gt;"",ISERROR(VLOOKUP(H14,system!$E:$E,1,FALSE))))</xm:f>
            <x14:dxf>
              <fill>
                <patternFill>
                  <bgColor rgb="FFFF0000"/>
                </patternFill>
              </fill>
            </x14:dxf>
          </x14:cfRule>
          <xm:sqref>I14:I17</xm:sqref>
        </x14:conditionalFormatting>
        <x14:conditionalFormatting xmlns:xm="http://schemas.microsoft.com/office/excel/2006/main">
          <x14:cfRule type="expression" priority="2" id="{5B21F39C-889E-415B-87F2-2B387317F278}">
            <xm:f>(AND(H18&lt;&gt;"",ISERROR(VLOOKUP(H18,system!$E:$E,1,FALSE))))</xm:f>
            <x14:dxf>
              <fill>
                <patternFill patternType="solid">
                  <bgColor rgb="FFFF0000"/>
                </patternFill>
              </fill>
            </x14:dxf>
          </x14:cfRule>
          <xm:sqref>H18:H25</xm:sqref>
        </x14:conditionalFormatting>
        <x14:conditionalFormatting xmlns:xm="http://schemas.microsoft.com/office/excel/2006/main">
          <x14:cfRule type="expression" priority="1" id="{AAB7E60C-06F4-4326-9B84-74A631037CB8}">
            <xm:f>(AND(H18&lt;&gt;"",ISERROR(VLOOKUP(H18,system!$E:$E,1,FALSE))))</xm:f>
            <x14:dxf>
              <fill>
                <patternFill>
                  <bgColor rgb="FFFF0000"/>
                </patternFill>
              </fill>
            </x14:dxf>
          </x14:cfRule>
          <xm:sqref>I18:I25</xm:sqref>
        </x14:conditionalFormatting>
      </x14:conditionalFormatting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pageSetUpPr fitToPage="1"/>
  </sheetPr>
  <dimension ref="A1:U29"/>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7" t="s">
        <v>27</v>
      </c>
      <c r="P1" s="248"/>
      <c r="Q1" s="248"/>
      <c r="R1" s="248"/>
      <c r="S1" s="248"/>
      <c r="T1" s="248"/>
      <c r="U1" s="249"/>
    </row>
    <row r="2" spans="1:21" ht="14.45" customHeight="1">
      <c r="A2" s="39"/>
      <c r="B2" s="100" t="s">
        <v>64</v>
      </c>
      <c r="C2" s="5"/>
      <c r="D2" s="5"/>
      <c r="E2" s="5"/>
      <c r="F2" s="5"/>
      <c r="G2" s="6"/>
      <c r="H2" s="7"/>
      <c r="I2" s="8"/>
      <c r="J2" s="250"/>
      <c r="K2" s="251"/>
      <c r="L2" s="250"/>
      <c r="M2" s="251"/>
      <c r="N2" s="52"/>
      <c r="O2" s="252" t="s">
        <v>950</v>
      </c>
      <c r="P2" s="253"/>
      <c r="Q2" s="253"/>
      <c r="R2" s="253"/>
      <c r="S2" s="253"/>
      <c r="T2" s="253"/>
      <c r="U2" s="254"/>
    </row>
    <row r="3" spans="1:21" ht="14.25" customHeight="1">
      <c r="A3" s="40"/>
      <c r="B3" s="35"/>
      <c r="C3" s="5"/>
      <c r="D3" s="5"/>
      <c r="E3" s="5"/>
      <c r="F3" s="5"/>
      <c r="G3" s="9"/>
      <c r="H3" s="10"/>
      <c r="I3" s="176" t="s">
        <v>1032</v>
      </c>
      <c r="J3" s="255" t="s">
        <v>1032</v>
      </c>
      <c r="K3" s="256"/>
      <c r="L3" s="255" t="s">
        <v>1032</v>
      </c>
      <c r="M3" s="256"/>
      <c r="N3" s="52"/>
      <c r="O3" s="257"/>
      <c r="P3" s="258"/>
      <c r="Q3" s="258"/>
      <c r="R3" s="258"/>
      <c r="S3" s="258"/>
      <c r="T3" s="258"/>
      <c r="U3" s="259"/>
    </row>
    <row r="4" spans="1:21" ht="14.45" customHeight="1">
      <c r="A4" s="41"/>
      <c r="B4" s="36" t="s">
        <v>3</v>
      </c>
      <c r="C4" s="5"/>
      <c r="D4" s="5"/>
      <c r="E4" s="5"/>
      <c r="F4" s="5"/>
      <c r="G4" s="6"/>
      <c r="H4" s="10"/>
      <c r="I4" s="177" t="s">
        <v>1035</v>
      </c>
      <c r="J4" s="240" t="s">
        <v>1034</v>
      </c>
      <c r="K4" s="241"/>
      <c r="L4" s="240" t="s">
        <v>1033</v>
      </c>
      <c r="M4" s="241"/>
      <c r="N4" s="52"/>
      <c r="O4" s="210"/>
      <c r="P4" s="211"/>
      <c r="Q4" s="211"/>
      <c r="R4" s="211"/>
      <c r="S4" s="211"/>
      <c r="T4" s="211"/>
      <c r="U4" s="212"/>
    </row>
    <row r="5" spans="1:21" ht="14.45" customHeight="1" thickBot="1">
      <c r="A5" s="42"/>
      <c r="B5" s="11"/>
      <c r="C5" s="11"/>
      <c r="D5" s="11"/>
      <c r="E5" s="11"/>
      <c r="F5" s="11"/>
      <c r="G5" s="12"/>
      <c r="H5" s="13"/>
      <c r="I5" s="14"/>
      <c r="J5" s="242"/>
      <c r="K5" s="243"/>
      <c r="L5" s="244"/>
      <c r="M5" s="245"/>
      <c r="N5" s="53"/>
      <c r="O5" s="246"/>
      <c r="P5" s="211"/>
      <c r="Q5" s="211"/>
      <c r="R5" s="211"/>
      <c r="S5" s="211"/>
      <c r="T5" s="211"/>
      <c r="U5" s="212"/>
    </row>
    <row r="6" spans="1:21" ht="14.45" customHeight="1">
      <c r="A6" s="43"/>
      <c r="B6" s="101" t="s">
        <v>4</v>
      </c>
      <c r="C6" s="20"/>
      <c r="D6" s="21"/>
      <c r="E6" s="222" t="s">
        <v>65</v>
      </c>
      <c r="F6" s="223"/>
      <c r="G6" s="223"/>
      <c r="H6" s="224"/>
      <c r="I6" s="60" t="s">
        <v>26</v>
      </c>
      <c r="J6" s="26"/>
      <c r="K6" s="225" t="s">
        <v>33</v>
      </c>
      <c r="L6" s="226"/>
      <c r="M6" s="227"/>
      <c r="N6" s="91" t="s">
        <v>5</v>
      </c>
      <c r="O6" s="210"/>
      <c r="P6" s="211"/>
      <c r="Q6" s="211"/>
      <c r="R6" s="211"/>
      <c r="S6" s="211"/>
      <c r="T6" s="211"/>
      <c r="U6" s="212"/>
    </row>
    <row r="7" spans="1:21" ht="15.75" customHeight="1">
      <c r="A7" s="44"/>
      <c r="B7" s="102" t="s">
        <v>6</v>
      </c>
      <c r="C7" s="22"/>
      <c r="D7" s="23"/>
      <c r="E7" s="228" t="s">
        <v>1036</v>
      </c>
      <c r="F7" s="229"/>
      <c r="G7" s="229"/>
      <c r="H7" s="230"/>
      <c r="I7" s="61" t="s">
        <v>28</v>
      </c>
      <c r="J7" s="27"/>
      <c r="K7" s="231" t="s">
        <v>34</v>
      </c>
      <c r="L7" s="232"/>
      <c r="M7" s="233"/>
      <c r="N7" s="92">
        <f>COUNTIF(H14:H14,"LONG")+COUNTIF(H14:H14,"LONG RAW")</f>
        <v>0</v>
      </c>
      <c r="O7" s="210"/>
      <c r="P7" s="211"/>
      <c r="Q7" s="211"/>
      <c r="R7" s="211"/>
      <c r="S7" s="211"/>
      <c r="T7" s="211"/>
      <c r="U7" s="212"/>
    </row>
    <row r="8" spans="1:21" ht="14.45" customHeight="1">
      <c r="A8" s="45"/>
      <c r="B8" s="22" t="s">
        <v>7</v>
      </c>
      <c r="C8" s="22"/>
      <c r="D8" s="23"/>
      <c r="E8" s="228" t="s">
        <v>948</v>
      </c>
      <c r="F8" s="229"/>
      <c r="G8" s="229"/>
      <c r="H8" s="230"/>
      <c r="I8" s="62"/>
      <c r="J8" s="27"/>
      <c r="K8" s="234"/>
      <c r="L8" s="235"/>
      <c r="M8" s="236"/>
      <c r="N8" s="92"/>
      <c r="O8" s="210"/>
      <c r="P8" s="211"/>
      <c r="Q8" s="211"/>
      <c r="R8" s="211"/>
      <c r="S8" s="211"/>
      <c r="T8" s="211"/>
      <c r="U8" s="212"/>
    </row>
    <row r="9" spans="1:21" ht="14.45" customHeight="1">
      <c r="A9" s="45"/>
      <c r="B9" s="22" t="s">
        <v>8</v>
      </c>
      <c r="C9" s="22"/>
      <c r="D9" s="23"/>
      <c r="E9" s="237" t="s">
        <v>68</v>
      </c>
      <c r="F9" s="238"/>
      <c r="G9" s="238"/>
      <c r="H9" s="239"/>
      <c r="I9" s="61" t="s">
        <v>9</v>
      </c>
      <c r="J9" s="27"/>
      <c r="K9" s="86"/>
      <c r="L9" s="88">
        <f>SUM(N14:N30)</f>
        <v>118</v>
      </c>
      <c r="M9" s="82"/>
      <c r="N9" s="93">
        <f>SUMIF(M14:M14,"■",N14:N14)</f>
        <v>0</v>
      </c>
      <c r="O9" s="210"/>
      <c r="P9" s="211"/>
      <c r="Q9" s="211"/>
      <c r="R9" s="211"/>
      <c r="S9" s="211"/>
      <c r="T9" s="211"/>
      <c r="U9" s="212"/>
    </row>
    <row r="10" spans="1:21" ht="14.45" customHeight="1">
      <c r="A10" s="45"/>
      <c r="B10" s="22" t="s">
        <v>10</v>
      </c>
      <c r="C10" s="22"/>
      <c r="D10" s="23"/>
      <c r="E10" s="219" t="s">
        <v>68</v>
      </c>
      <c r="F10" s="220"/>
      <c r="G10" s="220"/>
      <c r="H10" s="221"/>
      <c r="I10" s="61" t="s">
        <v>11</v>
      </c>
      <c r="J10" s="27"/>
      <c r="K10" s="86"/>
      <c r="L10" s="89">
        <f>E11*L9/1000</f>
        <v>0</v>
      </c>
      <c r="M10" s="82"/>
      <c r="N10" s="55"/>
      <c r="O10" s="210"/>
      <c r="P10" s="211"/>
      <c r="Q10" s="211"/>
      <c r="R10" s="211"/>
      <c r="S10" s="211"/>
      <c r="T10" s="211"/>
      <c r="U10" s="212"/>
    </row>
    <row r="11" spans="1:21" ht="17.25" customHeight="1" thickBot="1">
      <c r="A11" s="46"/>
      <c r="B11" s="24" t="s">
        <v>29</v>
      </c>
      <c r="C11" s="24"/>
      <c r="D11" s="25"/>
      <c r="E11" s="207"/>
      <c r="F11" s="208"/>
      <c r="G11" s="208"/>
      <c r="H11" s="209"/>
      <c r="I11" s="103" t="s">
        <v>12</v>
      </c>
      <c r="J11" s="104"/>
      <c r="K11" s="87"/>
      <c r="L11" s="90"/>
      <c r="M11" s="83"/>
      <c r="N11" s="56"/>
      <c r="O11" s="210"/>
      <c r="P11" s="211"/>
      <c r="Q11" s="211"/>
      <c r="R11" s="211"/>
      <c r="S11" s="211"/>
      <c r="T11" s="211"/>
      <c r="U11" s="212"/>
    </row>
    <row r="12" spans="1:21" ht="15.75" customHeight="1" thickBot="1">
      <c r="A12" s="64"/>
      <c r="B12" s="65"/>
      <c r="C12" s="30"/>
      <c r="D12" s="30"/>
      <c r="E12" s="31"/>
      <c r="F12" s="32"/>
      <c r="G12" s="29"/>
      <c r="H12" s="28"/>
      <c r="I12" s="29"/>
      <c r="J12" s="30" t="s">
        <v>13</v>
      </c>
      <c r="K12" s="31"/>
      <c r="L12" s="66"/>
      <c r="M12" s="48"/>
      <c r="N12" s="57">
        <f>COUNTA(H14:H14)</f>
        <v>1</v>
      </c>
      <c r="O12" s="213"/>
      <c r="P12" s="214"/>
      <c r="Q12" s="214"/>
      <c r="R12" s="214"/>
      <c r="S12" s="214"/>
      <c r="T12" s="214"/>
      <c r="U12" s="21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16" t="s">
        <v>32</v>
      </c>
      <c r="Q13" s="217"/>
      <c r="R13" s="217"/>
      <c r="S13" s="217"/>
      <c r="T13" s="217"/>
      <c r="U13" s="218"/>
    </row>
    <row r="14" spans="1:21" ht="15.75" customHeight="1">
      <c r="A14" s="85" t="s">
        <v>188</v>
      </c>
      <c r="B14" s="37">
        <f t="shared" ref="B14:B21" si="0">ROW()-13</f>
        <v>1</v>
      </c>
      <c r="C14" s="145" t="s">
        <v>191</v>
      </c>
      <c r="D14" s="80"/>
      <c r="E14" s="81"/>
      <c r="F14" s="146" t="s">
        <v>1051</v>
      </c>
      <c r="G14" s="17"/>
      <c r="H14" s="18" t="s">
        <v>49</v>
      </c>
      <c r="I14" s="59"/>
      <c r="J14" s="19">
        <v>3</v>
      </c>
      <c r="K14" s="19"/>
      <c r="L14" s="50" t="s">
        <v>187</v>
      </c>
      <c r="M14" s="73" t="s">
        <v>21</v>
      </c>
      <c r="N14" s="54">
        <f t="shared" ref="N14:N28" si="1">IF(H14="NUMBER",IF(J14&gt;0,INT((J14+1)/2+0.9),0),IF(H14="DATE",7,IF(OR(H14="LONG",H14="LONG RAW"),100000,J14)))</f>
        <v>3</v>
      </c>
      <c r="O14" s="167"/>
      <c r="P14" s="203"/>
      <c r="Q14" s="204"/>
      <c r="R14" s="204"/>
      <c r="S14" s="204"/>
      <c r="T14" s="204"/>
      <c r="U14" s="205"/>
    </row>
    <row r="15" spans="1:21" ht="15.75" customHeight="1">
      <c r="A15" s="85" t="s">
        <v>188</v>
      </c>
      <c r="B15" s="37">
        <f t="shared" si="0"/>
        <v>2</v>
      </c>
      <c r="C15" s="145" t="s">
        <v>345</v>
      </c>
      <c r="D15" s="80"/>
      <c r="E15" s="81"/>
      <c r="F15" s="146" t="s">
        <v>346</v>
      </c>
      <c r="G15" s="17"/>
      <c r="H15" s="18" t="s">
        <v>49</v>
      </c>
      <c r="I15" s="59"/>
      <c r="J15" s="19">
        <v>1</v>
      </c>
      <c r="K15" s="19"/>
      <c r="L15" s="50" t="s">
        <v>187</v>
      </c>
      <c r="M15" s="73" t="s">
        <v>21</v>
      </c>
      <c r="N15" s="54">
        <f t="shared" si="1"/>
        <v>1</v>
      </c>
      <c r="O15" s="167"/>
      <c r="P15" s="203" t="s">
        <v>951</v>
      </c>
      <c r="Q15" s="204"/>
      <c r="R15" s="204"/>
      <c r="S15" s="204"/>
      <c r="T15" s="204"/>
      <c r="U15" s="205"/>
    </row>
    <row r="16" spans="1:21" ht="15.75" customHeight="1">
      <c r="A16" s="85" t="s">
        <v>188</v>
      </c>
      <c r="B16" s="37">
        <f t="shared" si="0"/>
        <v>3</v>
      </c>
      <c r="C16" s="145" t="s">
        <v>820</v>
      </c>
      <c r="D16" s="80"/>
      <c r="E16" s="81"/>
      <c r="F16" s="146" t="s">
        <v>821</v>
      </c>
      <c r="G16" s="17"/>
      <c r="H16" s="18" t="s">
        <v>49</v>
      </c>
      <c r="I16" s="59"/>
      <c r="J16" s="19">
        <v>1</v>
      </c>
      <c r="K16" s="19"/>
      <c r="L16" s="50" t="s">
        <v>187</v>
      </c>
      <c r="M16" s="73" t="s">
        <v>21</v>
      </c>
      <c r="N16" s="54">
        <f t="shared" si="1"/>
        <v>1</v>
      </c>
      <c r="O16" s="167"/>
      <c r="P16" s="203" t="s">
        <v>200</v>
      </c>
      <c r="Q16" s="204"/>
      <c r="R16" s="204"/>
      <c r="S16" s="204"/>
      <c r="T16" s="204"/>
      <c r="U16" s="205"/>
    </row>
    <row r="17" spans="1:21" ht="15.75" customHeight="1">
      <c r="A17" s="85"/>
      <c r="B17" s="37">
        <f t="shared" si="0"/>
        <v>4</v>
      </c>
      <c r="C17" s="145" t="s">
        <v>952</v>
      </c>
      <c r="D17" s="80"/>
      <c r="E17" s="81"/>
      <c r="F17" s="146" t="s">
        <v>953</v>
      </c>
      <c r="G17" s="17"/>
      <c r="H17" s="18" t="s">
        <v>49</v>
      </c>
      <c r="I17" s="59"/>
      <c r="J17" s="19">
        <v>5</v>
      </c>
      <c r="K17" s="19"/>
      <c r="L17" s="50"/>
      <c r="M17" s="73" t="s">
        <v>21</v>
      </c>
      <c r="N17" s="54">
        <f t="shared" si="1"/>
        <v>5</v>
      </c>
      <c r="O17" s="167"/>
      <c r="P17" s="203" t="s">
        <v>954</v>
      </c>
      <c r="Q17" s="204"/>
      <c r="R17" s="204"/>
      <c r="S17" s="204"/>
      <c r="T17" s="204"/>
      <c r="U17" s="205"/>
    </row>
    <row r="18" spans="1:21" ht="15.75" customHeight="1">
      <c r="A18" s="85"/>
      <c r="B18" s="37">
        <f t="shared" si="0"/>
        <v>5</v>
      </c>
      <c r="C18" s="145" t="s">
        <v>955</v>
      </c>
      <c r="D18" s="80"/>
      <c r="E18" s="81"/>
      <c r="F18" s="146" t="s">
        <v>956</v>
      </c>
      <c r="G18" s="17"/>
      <c r="H18" s="18" t="s">
        <v>49</v>
      </c>
      <c r="I18" s="59"/>
      <c r="J18" s="19">
        <v>5</v>
      </c>
      <c r="K18" s="19"/>
      <c r="L18" s="50"/>
      <c r="M18" s="73" t="s">
        <v>21</v>
      </c>
      <c r="N18" s="54">
        <f t="shared" si="1"/>
        <v>5</v>
      </c>
      <c r="O18" s="167"/>
      <c r="P18" s="203" t="s">
        <v>954</v>
      </c>
      <c r="Q18" s="204"/>
      <c r="R18" s="204"/>
      <c r="S18" s="204"/>
      <c r="T18" s="204"/>
      <c r="U18" s="205"/>
    </row>
    <row r="19" spans="1:21" ht="15.75" customHeight="1">
      <c r="A19" s="85"/>
      <c r="B19" s="37">
        <f t="shared" si="0"/>
        <v>6</v>
      </c>
      <c r="C19" s="145" t="s">
        <v>957</v>
      </c>
      <c r="D19" s="80"/>
      <c r="E19" s="81"/>
      <c r="F19" s="146" t="s">
        <v>958</v>
      </c>
      <c r="G19" s="17"/>
      <c r="H19" s="18" t="s">
        <v>209</v>
      </c>
      <c r="I19" s="59"/>
      <c r="J19" s="19"/>
      <c r="K19" s="19"/>
      <c r="L19" s="50"/>
      <c r="M19" s="73" t="s">
        <v>21</v>
      </c>
      <c r="N19" s="54">
        <f t="shared" si="1"/>
        <v>0</v>
      </c>
      <c r="O19" s="167"/>
      <c r="P19" s="203"/>
      <c r="Q19" s="204"/>
      <c r="R19" s="204"/>
      <c r="S19" s="204"/>
      <c r="T19" s="204"/>
      <c r="U19" s="205"/>
    </row>
    <row r="20" spans="1:21" ht="15.75" customHeight="1">
      <c r="A20" s="85"/>
      <c r="B20" s="37">
        <f t="shared" si="0"/>
        <v>7</v>
      </c>
      <c r="C20" s="145" t="s">
        <v>959</v>
      </c>
      <c r="D20" s="80"/>
      <c r="E20" s="81"/>
      <c r="F20" s="146" t="s">
        <v>960</v>
      </c>
      <c r="G20" s="17"/>
      <c r="H20" s="18" t="s">
        <v>49</v>
      </c>
      <c r="I20" s="59"/>
      <c r="J20" s="19">
        <v>1</v>
      </c>
      <c r="K20" s="19"/>
      <c r="L20" s="50"/>
      <c r="M20" s="73" t="s">
        <v>21</v>
      </c>
      <c r="N20" s="54">
        <f t="shared" si="1"/>
        <v>1</v>
      </c>
      <c r="O20" s="167"/>
      <c r="P20" s="203"/>
      <c r="Q20" s="204"/>
      <c r="R20" s="204"/>
      <c r="S20" s="204"/>
      <c r="T20" s="204"/>
      <c r="U20" s="205"/>
    </row>
    <row r="21" spans="1:21" ht="15.75" customHeight="1">
      <c r="A21" s="85"/>
      <c r="B21" s="37">
        <f t="shared" si="0"/>
        <v>8</v>
      </c>
      <c r="C21" s="145" t="s">
        <v>293</v>
      </c>
      <c r="D21" s="80"/>
      <c r="E21" s="81"/>
      <c r="F21" s="146" t="s">
        <v>294</v>
      </c>
      <c r="G21" s="17"/>
      <c r="H21" s="18" t="s">
        <v>51</v>
      </c>
      <c r="I21" s="59"/>
      <c r="J21" s="19">
        <v>50</v>
      </c>
      <c r="K21" s="19"/>
      <c r="L21" s="50"/>
      <c r="M21" s="73" t="s">
        <v>21</v>
      </c>
      <c r="N21" s="54">
        <f t="shared" si="1"/>
        <v>50</v>
      </c>
      <c r="O21" s="167"/>
      <c r="P21" s="203"/>
      <c r="Q21" s="204"/>
      <c r="R21" s="204"/>
      <c r="S21" s="204"/>
      <c r="T21" s="204"/>
      <c r="U21" s="205"/>
    </row>
    <row r="22" spans="1:21" ht="15.75">
      <c r="A22" s="85"/>
      <c r="B22" s="37">
        <f t="shared" ref="B22:B28" si="2">ROW()-13</f>
        <v>9</v>
      </c>
      <c r="C22" s="107" t="s">
        <v>36</v>
      </c>
      <c r="D22" s="107"/>
      <c r="E22" s="108"/>
      <c r="F22" s="109" t="s">
        <v>78</v>
      </c>
      <c r="G22" s="110"/>
      <c r="H22" s="18" t="s">
        <v>51</v>
      </c>
      <c r="I22" s="59"/>
      <c r="J22" s="113">
        <v>12</v>
      </c>
      <c r="K22" s="113"/>
      <c r="L22" s="114"/>
      <c r="M22" s="115" t="s">
        <v>35</v>
      </c>
      <c r="N22" s="116">
        <f t="shared" si="1"/>
        <v>12</v>
      </c>
      <c r="O22" s="168"/>
      <c r="P22" s="200"/>
      <c r="Q22" s="201"/>
      <c r="R22" s="201"/>
      <c r="S22" s="201"/>
      <c r="T22" s="201"/>
      <c r="U22" s="202"/>
    </row>
    <row r="23" spans="1:21" ht="15.75">
      <c r="A23" s="85"/>
      <c r="B23" s="37">
        <f t="shared" si="2"/>
        <v>10</v>
      </c>
      <c r="C23" s="107" t="s">
        <v>37</v>
      </c>
      <c r="D23" s="107"/>
      <c r="E23" s="108"/>
      <c r="F23" s="109" t="s">
        <v>43</v>
      </c>
      <c r="G23" s="110"/>
      <c r="H23" s="18" t="s">
        <v>51</v>
      </c>
      <c r="I23" s="59"/>
      <c r="J23" s="113">
        <v>10</v>
      </c>
      <c r="K23" s="113"/>
      <c r="L23" s="114"/>
      <c r="M23" s="115" t="s">
        <v>21</v>
      </c>
      <c r="N23" s="116">
        <f t="shared" si="1"/>
        <v>10</v>
      </c>
      <c r="O23" s="168"/>
      <c r="P23" s="200"/>
      <c r="Q23" s="201"/>
      <c r="R23" s="201"/>
      <c r="S23" s="201"/>
      <c r="T23" s="201"/>
      <c r="U23" s="202"/>
    </row>
    <row r="24" spans="1:21" ht="15.75">
      <c r="A24" s="85"/>
      <c r="B24" s="37">
        <f t="shared" si="2"/>
        <v>11</v>
      </c>
      <c r="C24" s="107" t="s">
        <v>38</v>
      </c>
      <c r="D24" s="107"/>
      <c r="E24" s="108"/>
      <c r="F24" s="109" t="s">
        <v>80</v>
      </c>
      <c r="G24" s="110"/>
      <c r="H24" s="18" t="s">
        <v>86</v>
      </c>
      <c r="I24" s="59"/>
      <c r="J24" s="113"/>
      <c r="K24" s="113"/>
      <c r="L24" s="114"/>
      <c r="M24" s="115" t="s">
        <v>21</v>
      </c>
      <c r="N24" s="116">
        <f t="shared" si="1"/>
        <v>0</v>
      </c>
      <c r="O24" s="168"/>
      <c r="P24" s="200"/>
      <c r="Q24" s="201"/>
      <c r="R24" s="201"/>
      <c r="S24" s="201"/>
      <c r="T24" s="201"/>
      <c r="U24" s="202"/>
    </row>
    <row r="25" spans="1:21" ht="15.75">
      <c r="A25" s="85"/>
      <c r="B25" s="37">
        <f t="shared" si="2"/>
        <v>12</v>
      </c>
      <c r="C25" s="107" t="s">
        <v>39</v>
      </c>
      <c r="D25" s="107"/>
      <c r="E25" s="108"/>
      <c r="F25" s="109" t="s">
        <v>79</v>
      </c>
      <c r="G25" s="110"/>
      <c r="H25" s="18" t="s">
        <v>51</v>
      </c>
      <c r="I25" s="59"/>
      <c r="J25" s="113">
        <v>12</v>
      </c>
      <c r="K25" s="113"/>
      <c r="L25" s="114"/>
      <c r="M25" s="115" t="s">
        <v>35</v>
      </c>
      <c r="N25" s="116">
        <f t="shared" si="1"/>
        <v>12</v>
      </c>
      <c r="O25" s="168"/>
      <c r="P25" s="200"/>
      <c r="Q25" s="201"/>
      <c r="R25" s="201"/>
      <c r="S25" s="201"/>
      <c r="T25" s="201"/>
      <c r="U25" s="202"/>
    </row>
    <row r="26" spans="1:21" ht="15.75">
      <c r="A26" s="85"/>
      <c r="B26" s="37">
        <f t="shared" si="2"/>
        <v>13</v>
      </c>
      <c r="C26" s="107" t="s">
        <v>40</v>
      </c>
      <c r="D26" s="107"/>
      <c r="E26" s="108"/>
      <c r="F26" s="109" t="s">
        <v>44</v>
      </c>
      <c r="G26" s="110"/>
      <c r="H26" s="18" t="s">
        <v>51</v>
      </c>
      <c r="I26" s="59"/>
      <c r="J26" s="113">
        <v>10</v>
      </c>
      <c r="K26" s="113"/>
      <c r="L26" s="114"/>
      <c r="M26" s="115" t="s">
        <v>21</v>
      </c>
      <c r="N26" s="116">
        <f t="shared" si="1"/>
        <v>10</v>
      </c>
      <c r="O26" s="168"/>
      <c r="P26" s="200"/>
      <c r="Q26" s="201"/>
      <c r="R26" s="201"/>
      <c r="S26" s="201"/>
      <c r="T26" s="201"/>
      <c r="U26" s="202"/>
    </row>
    <row r="27" spans="1:21" ht="15.75">
      <c r="A27" s="85"/>
      <c r="B27" s="37">
        <f t="shared" si="2"/>
        <v>14</v>
      </c>
      <c r="C27" s="107" t="s">
        <v>41</v>
      </c>
      <c r="D27" s="107"/>
      <c r="E27" s="108"/>
      <c r="F27" s="109" t="s">
        <v>81</v>
      </c>
      <c r="G27" s="110"/>
      <c r="H27" s="18" t="s">
        <v>86</v>
      </c>
      <c r="I27" s="59"/>
      <c r="J27" s="113"/>
      <c r="K27" s="113"/>
      <c r="L27" s="114"/>
      <c r="M27" s="115" t="s">
        <v>21</v>
      </c>
      <c r="N27" s="116">
        <f t="shared" si="1"/>
        <v>0</v>
      </c>
      <c r="O27" s="168"/>
      <c r="P27" s="200"/>
      <c r="Q27" s="201"/>
      <c r="R27" s="201"/>
      <c r="S27" s="201"/>
      <c r="T27" s="201"/>
      <c r="U27" s="202"/>
    </row>
    <row r="28" spans="1:21" ht="15.75">
      <c r="A28" s="85"/>
      <c r="B28" s="37">
        <f t="shared" si="2"/>
        <v>15</v>
      </c>
      <c r="C28" s="80" t="s">
        <v>46</v>
      </c>
      <c r="D28" s="80"/>
      <c r="E28" s="81"/>
      <c r="F28" s="84" t="s">
        <v>71</v>
      </c>
      <c r="G28" s="17"/>
      <c r="H28" s="18" t="s">
        <v>62</v>
      </c>
      <c r="I28" s="59"/>
      <c r="J28" s="19">
        <v>8</v>
      </c>
      <c r="K28" s="19"/>
      <c r="L28" s="50" t="s">
        <v>47</v>
      </c>
      <c r="M28" s="73" t="s">
        <v>35</v>
      </c>
      <c r="N28" s="54">
        <f t="shared" si="1"/>
        <v>8</v>
      </c>
      <c r="O28" s="167">
        <v>0</v>
      </c>
      <c r="P28" s="203" t="s">
        <v>48</v>
      </c>
      <c r="Q28" s="204"/>
      <c r="R28" s="204"/>
      <c r="S28" s="204"/>
      <c r="T28" s="204"/>
      <c r="U28" s="205"/>
    </row>
    <row r="29" spans="1:21" ht="16.5" thickBot="1">
      <c r="A29" s="118"/>
      <c r="B29" s="119"/>
      <c r="C29" s="120"/>
      <c r="D29" s="120"/>
      <c r="E29" s="121"/>
      <c r="F29" s="129"/>
      <c r="G29" s="122"/>
      <c r="H29" s="147"/>
      <c r="I29" s="148"/>
      <c r="J29" s="125"/>
      <c r="K29" s="125"/>
      <c r="L29" s="126"/>
      <c r="M29" s="126"/>
      <c r="N29" s="127"/>
      <c r="O29" s="169"/>
      <c r="P29" s="197"/>
      <c r="Q29" s="198"/>
      <c r="R29" s="198"/>
      <c r="S29" s="198"/>
      <c r="T29" s="198"/>
      <c r="U29" s="199"/>
    </row>
  </sheetData>
  <mergeCells count="46">
    <mergeCell ref="O1:U1"/>
    <mergeCell ref="J2:K2"/>
    <mergeCell ref="L2:M2"/>
    <mergeCell ref="O2:U2"/>
    <mergeCell ref="J3:K3"/>
    <mergeCell ref="L3:M3"/>
    <mergeCell ref="O3:U3"/>
    <mergeCell ref="J4:K4"/>
    <mergeCell ref="L4:M4"/>
    <mergeCell ref="O4:U4"/>
    <mergeCell ref="J5:K5"/>
    <mergeCell ref="L5:M5"/>
    <mergeCell ref="O5:U5"/>
    <mergeCell ref="E10:H10"/>
    <mergeCell ref="O10:U10"/>
    <mergeCell ref="E6:H6"/>
    <mergeCell ref="K6:M6"/>
    <mergeCell ref="O6:U6"/>
    <mergeCell ref="E7:H7"/>
    <mergeCell ref="K7:M7"/>
    <mergeCell ref="O7:U7"/>
    <mergeCell ref="E8:H8"/>
    <mergeCell ref="K8:M8"/>
    <mergeCell ref="O8:U8"/>
    <mergeCell ref="E9:H9"/>
    <mergeCell ref="O9:U9"/>
    <mergeCell ref="P21:U21"/>
    <mergeCell ref="E11:H11"/>
    <mergeCell ref="O11:U11"/>
    <mergeCell ref="O12:U12"/>
    <mergeCell ref="P13:U13"/>
    <mergeCell ref="P14:U14"/>
    <mergeCell ref="P15:U15"/>
    <mergeCell ref="P16:U16"/>
    <mergeCell ref="P17:U17"/>
    <mergeCell ref="P18:U18"/>
    <mergeCell ref="P19:U19"/>
    <mergeCell ref="P20:U20"/>
    <mergeCell ref="P28:U28"/>
    <mergeCell ref="P29:U29"/>
    <mergeCell ref="P22:U22"/>
    <mergeCell ref="P23:U23"/>
    <mergeCell ref="P24:U24"/>
    <mergeCell ref="P25:U25"/>
    <mergeCell ref="P26:U26"/>
    <mergeCell ref="P27:U27"/>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6321"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56322"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56323"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56324"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56325"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56326"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EA2A5D98-C824-48E1-A772-5CC21B49D7F3}">
            <xm:f>(AND(H14&lt;&gt;"",ISERROR(VLOOKUP(H14,system!$E:$E,1,FALSE))))</xm:f>
            <x14:dxf>
              <fill>
                <patternFill patternType="solid">
                  <bgColor rgb="FFFF0000"/>
                </patternFill>
              </fill>
            </x14:dxf>
          </x14:cfRule>
          <xm:sqref>H14:H21</xm:sqref>
        </x14:conditionalFormatting>
        <x14:conditionalFormatting xmlns:xm="http://schemas.microsoft.com/office/excel/2006/main">
          <x14:cfRule type="expression" priority="3" id="{CABCF13F-EFA3-4592-8AA1-55B3F6C1E34B}">
            <xm:f>(AND(H14&lt;&gt;"",ISERROR(VLOOKUP(H14,system!$E:$E,1,FALSE))))</xm:f>
            <x14:dxf>
              <fill>
                <patternFill>
                  <bgColor rgb="FFFF0000"/>
                </patternFill>
              </fill>
            </x14:dxf>
          </x14:cfRule>
          <xm:sqref>I14:I21</xm:sqref>
        </x14:conditionalFormatting>
        <x14:conditionalFormatting xmlns:xm="http://schemas.microsoft.com/office/excel/2006/main">
          <x14:cfRule type="expression" priority="2" id="{206A9E16-B487-44B9-9B76-1A64DC46B6BF}">
            <xm:f>(AND(H22&lt;&gt;"",ISERROR(VLOOKUP(H22,system!$E:$E,1,FALSE))))</xm:f>
            <x14:dxf>
              <fill>
                <patternFill patternType="solid">
                  <bgColor rgb="FFFF0000"/>
                </patternFill>
              </fill>
            </x14:dxf>
          </x14:cfRule>
          <xm:sqref>H22:H29</xm:sqref>
        </x14:conditionalFormatting>
        <x14:conditionalFormatting xmlns:xm="http://schemas.microsoft.com/office/excel/2006/main">
          <x14:cfRule type="expression" priority="1" id="{0EB8AB29-511D-4CE6-BE79-6234B9C27CE5}">
            <xm:f>(AND(H22&lt;&gt;"",ISERROR(VLOOKUP(H22,system!$E:$E,1,FALSE))))</xm:f>
            <x14:dxf>
              <fill>
                <patternFill>
                  <bgColor rgb="FFFF0000"/>
                </patternFill>
              </fill>
            </x14:dxf>
          </x14:cfRule>
          <xm:sqref>I22:I29</xm:sqref>
        </x14:conditionalFormatting>
      </x14:conditionalFormatting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pageSetUpPr fitToPage="1"/>
  </sheetPr>
  <dimension ref="A1:U27"/>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7" t="s">
        <v>27</v>
      </c>
      <c r="P1" s="248"/>
      <c r="Q1" s="248"/>
      <c r="R1" s="248"/>
      <c r="S1" s="248"/>
      <c r="T1" s="248"/>
      <c r="U1" s="249"/>
    </row>
    <row r="2" spans="1:21" ht="14.45" customHeight="1">
      <c r="A2" s="39"/>
      <c r="B2" s="100" t="s">
        <v>64</v>
      </c>
      <c r="C2" s="5"/>
      <c r="D2" s="5"/>
      <c r="E2" s="5"/>
      <c r="F2" s="5"/>
      <c r="G2" s="6"/>
      <c r="H2" s="7"/>
      <c r="I2" s="8"/>
      <c r="J2" s="250"/>
      <c r="K2" s="251"/>
      <c r="L2" s="250"/>
      <c r="M2" s="251"/>
      <c r="N2" s="52"/>
      <c r="O2" s="252" t="s">
        <v>962</v>
      </c>
      <c r="P2" s="253"/>
      <c r="Q2" s="253"/>
      <c r="R2" s="253"/>
      <c r="S2" s="253"/>
      <c r="T2" s="253"/>
      <c r="U2" s="254"/>
    </row>
    <row r="3" spans="1:21" ht="14.25" customHeight="1">
      <c r="A3" s="40"/>
      <c r="B3" s="35"/>
      <c r="C3" s="5"/>
      <c r="D3" s="5"/>
      <c r="E3" s="5"/>
      <c r="F3" s="5"/>
      <c r="G3" s="9"/>
      <c r="H3" s="10"/>
      <c r="I3" s="176" t="s">
        <v>1032</v>
      </c>
      <c r="J3" s="255" t="s">
        <v>1032</v>
      </c>
      <c r="K3" s="256"/>
      <c r="L3" s="255" t="s">
        <v>1032</v>
      </c>
      <c r="M3" s="256"/>
      <c r="N3" s="52"/>
      <c r="O3" s="257"/>
      <c r="P3" s="258"/>
      <c r="Q3" s="258"/>
      <c r="R3" s="258"/>
      <c r="S3" s="258"/>
      <c r="T3" s="258"/>
      <c r="U3" s="259"/>
    </row>
    <row r="4" spans="1:21" ht="14.45" customHeight="1">
      <c r="A4" s="41"/>
      <c r="B4" s="36" t="s">
        <v>3</v>
      </c>
      <c r="C4" s="5"/>
      <c r="D4" s="5"/>
      <c r="E4" s="5"/>
      <c r="F4" s="5"/>
      <c r="G4" s="6"/>
      <c r="H4" s="10"/>
      <c r="I4" s="177" t="s">
        <v>1035</v>
      </c>
      <c r="J4" s="240" t="s">
        <v>1034</v>
      </c>
      <c r="K4" s="241"/>
      <c r="L4" s="240" t="s">
        <v>1033</v>
      </c>
      <c r="M4" s="241"/>
      <c r="N4" s="52"/>
      <c r="O4" s="210"/>
      <c r="P4" s="211"/>
      <c r="Q4" s="211"/>
      <c r="R4" s="211"/>
      <c r="S4" s="211"/>
      <c r="T4" s="211"/>
      <c r="U4" s="212"/>
    </row>
    <row r="5" spans="1:21" ht="14.45" customHeight="1" thickBot="1">
      <c r="A5" s="42"/>
      <c r="B5" s="11"/>
      <c r="C5" s="11"/>
      <c r="D5" s="11"/>
      <c r="E5" s="11"/>
      <c r="F5" s="11"/>
      <c r="G5" s="12"/>
      <c r="H5" s="13"/>
      <c r="I5" s="14"/>
      <c r="J5" s="242"/>
      <c r="K5" s="243"/>
      <c r="L5" s="244"/>
      <c r="M5" s="245"/>
      <c r="N5" s="53"/>
      <c r="O5" s="246"/>
      <c r="P5" s="211"/>
      <c r="Q5" s="211"/>
      <c r="R5" s="211"/>
      <c r="S5" s="211"/>
      <c r="T5" s="211"/>
      <c r="U5" s="212"/>
    </row>
    <row r="6" spans="1:21" ht="14.45" customHeight="1">
      <c r="A6" s="43"/>
      <c r="B6" s="101" t="s">
        <v>4</v>
      </c>
      <c r="C6" s="20"/>
      <c r="D6" s="21"/>
      <c r="E6" s="222" t="s">
        <v>65</v>
      </c>
      <c r="F6" s="223"/>
      <c r="G6" s="223"/>
      <c r="H6" s="224"/>
      <c r="I6" s="60" t="s">
        <v>26</v>
      </c>
      <c r="J6" s="26"/>
      <c r="K6" s="225" t="s">
        <v>33</v>
      </c>
      <c r="L6" s="226"/>
      <c r="M6" s="227"/>
      <c r="N6" s="91" t="s">
        <v>5</v>
      </c>
      <c r="O6" s="210"/>
      <c r="P6" s="211"/>
      <c r="Q6" s="211"/>
      <c r="R6" s="211"/>
      <c r="S6" s="211"/>
      <c r="T6" s="211"/>
      <c r="U6" s="212"/>
    </row>
    <row r="7" spans="1:21" ht="15.75" customHeight="1">
      <c r="A7" s="44"/>
      <c r="B7" s="102" t="s">
        <v>6</v>
      </c>
      <c r="C7" s="22"/>
      <c r="D7" s="23"/>
      <c r="E7" s="228" t="s">
        <v>174</v>
      </c>
      <c r="F7" s="229"/>
      <c r="G7" s="229"/>
      <c r="H7" s="230"/>
      <c r="I7" s="61" t="s">
        <v>28</v>
      </c>
      <c r="J7" s="27"/>
      <c r="K7" s="231" t="s">
        <v>34</v>
      </c>
      <c r="L7" s="232"/>
      <c r="M7" s="233"/>
      <c r="N7" s="92">
        <f>COUNTIF(H14:H14,"LONG")+COUNTIF(H14:H14,"LONG RAW")</f>
        <v>0</v>
      </c>
      <c r="O7" s="210"/>
      <c r="P7" s="211"/>
      <c r="Q7" s="211"/>
      <c r="R7" s="211"/>
      <c r="S7" s="211"/>
      <c r="T7" s="211"/>
      <c r="U7" s="212"/>
    </row>
    <row r="8" spans="1:21" ht="14.45" customHeight="1">
      <c r="A8" s="45"/>
      <c r="B8" s="22" t="s">
        <v>7</v>
      </c>
      <c r="C8" s="22"/>
      <c r="D8" s="23"/>
      <c r="E8" s="228" t="s">
        <v>1028</v>
      </c>
      <c r="F8" s="229"/>
      <c r="G8" s="229"/>
      <c r="H8" s="230"/>
      <c r="I8" s="62"/>
      <c r="J8" s="27"/>
      <c r="K8" s="234"/>
      <c r="L8" s="235"/>
      <c r="M8" s="236"/>
      <c r="N8" s="92"/>
      <c r="O8" s="210"/>
      <c r="P8" s="211"/>
      <c r="Q8" s="211"/>
      <c r="R8" s="211"/>
      <c r="S8" s="211"/>
      <c r="T8" s="211"/>
      <c r="U8" s="212"/>
    </row>
    <row r="9" spans="1:21" ht="14.45" customHeight="1">
      <c r="A9" s="45"/>
      <c r="B9" s="22" t="s">
        <v>8</v>
      </c>
      <c r="C9" s="22"/>
      <c r="D9" s="23"/>
      <c r="E9" s="237" t="s">
        <v>68</v>
      </c>
      <c r="F9" s="238"/>
      <c r="G9" s="238"/>
      <c r="H9" s="239"/>
      <c r="I9" s="61" t="s">
        <v>9</v>
      </c>
      <c r="J9" s="27"/>
      <c r="K9" s="86"/>
      <c r="L9" s="88">
        <f>SUM(N14:N28)</f>
        <v>254</v>
      </c>
      <c r="M9" s="82"/>
      <c r="N9" s="93">
        <f>SUMIF(M14:M14,"■",N14:N14)</f>
        <v>0</v>
      </c>
      <c r="O9" s="210"/>
      <c r="P9" s="211"/>
      <c r="Q9" s="211"/>
      <c r="R9" s="211"/>
      <c r="S9" s="211"/>
      <c r="T9" s="211"/>
      <c r="U9" s="212"/>
    </row>
    <row r="10" spans="1:21" ht="14.45" customHeight="1">
      <c r="A10" s="45"/>
      <c r="B10" s="22" t="s">
        <v>10</v>
      </c>
      <c r="C10" s="22"/>
      <c r="D10" s="23"/>
      <c r="E10" s="219" t="s">
        <v>68</v>
      </c>
      <c r="F10" s="220"/>
      <c r="G10" s="220"/>
      <c r="H10" s="221"/>
      <c r="I10" s="61" t="s">
        <v>11</v>
      </c>
      <c r="J10" s="27"/>
      <c r="K10" s="86"/>
      <c r="L10" s="89">
        <f>E11*L9/1000</f>
        <v>0</v>
      </c>
      <c r="M10" s="82"/>
      <c r="N10" s="55"/>
      <c r="O10" s="210"/>
      <c r="P10" s="211"/>
      <c r="Q10" s="211"/>
      <c r="R10" s="211"/>
      <c r="S10" s="211"/>
      <c r="T10" s="211"/>
      <c r="U10" s="212"/>
    </row>
    <row r="11" spans="1:21" ht="17.25" customHeight="1" thickBot="1">
      <c r="A11" s="46"/>
      <c r="B11" s="24" t="s">
        <v>29</v>
      </c>
      <c r="C11" s="24"/>
      <c r="D11" s="25"/>
      <c r="E11" s="207"/>
      <c r="F11" s="208"/>
      <c r="G11" s="208"/>
      <c r="H11" s="209"/>
      <c r="I11" s="103" t="s">
        <v>12</v>
      </c>
      <c r="J11" s="104"/>
      <c r="K11" s="87"/>
      <c r="L11" s="90"/>
      <c r="M11" s="83"/>
      <c r="N11" s="56"/>
      <c r="O11" s="210"/>
      <c r="P11" s="211"/>
      <c r="Q11" s="211"/>
      <c r="R11" s="211"/>
      <c r="S11" s="211"/>
      <c r="T11" s="211"/>
      <c r="U11" s="212"/>
    </row>
    <row r="12" spans="1:21" ht="15.75" customHeight="1" thickBot="1">
      <c r="A12" s="64"/>
      <c r="B12" s="65"/>
      <c r="C12" s="30"/>
      <c r="D12" s="30"/>
      <c r="E12" s="31"/>
      <c r="F12" s="32"/>
      <c r="G12" s="29"/>
      <c r="H12" s="28"/>
      <c r="I12" s="29"/>
      <c r="J12" s="30" t="s">
        <v>13</v>
      </c>
      <c r="K12" s="31"/>
      <c r="L12" s="66"/>
      <c r="M12" s="48"/>
      <c r="N12" s="57">
        <f>COUNTA(H14:H14)</f>
        <v>1</v>
      </c>
      <c r="O12" s="213"/>
      <c r="P12" s="214"/>
      <c r="Q12" s="214"/>
      <c r="R12" s="214"/>
      <c r="S12" s="214"/>
      <c r="T12" s="214"/>
      <c r="U12" s="21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16" t="s">
        <v>32</v>
      </c>
      <c r="Q13" s="217"/>
      <c r="R13" s="217"/>
      <c r="S13" s="217"/>
      <c r="T13" s="217"/>
      <c r="U13" s="218"/>
    </row>
    <row r="14" spans="1:21" ht="15.75" customHeight="1">
      <c r="A14" s="85" t="s">
        <v>188</v>
      </c>
      <c r="B14" s="37">
        <f t="shared" ref="B14:B19" si="0">ROW()-13</f>
        <v>1</v>
      </c>
      <c r="C14" s="145" t="s">
        <v>186</v>
      </c>
      <c r="D14" s="80"/>
      <c r="E14" s="81"/>
      <c r="F14" s="146" t="s">
        <v>1029</v>
      </c>
      <c r="G14" s="17"/>
      <c r="H14" s="18" t="s">
        <v>49</v>
      </c>
      <c r="I14" s="59"/>
      <c r="J14" s="19">
        <v>1</v>
      </c>
      <c r="K14" s="19"/>
      <c r="L14" s="50" t="s">
        <v>187</v>
      </c>
      <c r="M14" s="73" t="s">
        <v>21</v>
      </c>
      <c r="N14" s="54">
        <f t="shared" ref="N14:N26" si="1">IF(H14="NUMBER",IF(J14&gt;0,INT((J14+1)/2+0.9),0),IF(H14="DATE",7,IF(OR(H14="LONG",H14="LONG RAW"),100000,J14)))</f>
        <v>1</v>
      </c>
      <c r="O14" s="167"/>
      <c r="P14" s="203" t="s">
        <v>963</v>
      </c>
      <c r="Q14" s="204"/>
      <c r="R14" s="204"/>
      <c r="S14" s="204"/>
      <c r="T14" s="204"/>
      <c r="U14" s="205"/>
    </row>
    <row r="15" spans="1:21" ht="15.75" customHeight="1">
      <c r="A15" s="85"/>
      <c r="B15" s="37">
        <f t="shared" si="0"/>
        <v>2</v>
      </c>
      <c r="C15" s="145" t="s">
        <v>964</v>
      </c>
      <c r="D15" s="80"/>
      <c r="E15" s="81"/>
      <c r="F15" s="146" t="s">
        <v>1030</v>
      </c>
      <c r="G15" s="17"/>
      <c r="H15" s="18" t="s">
        <v>51</v>
      </c>
      <c r="I15" s="59"/>
      <c r="J15" s="19">
        <v>50</v>
      </c>
      <c r="K15" s="19"/>
      <c r="L15" s="50"/>
      <c r="M15" s="73" t="s">
        <v>21</v>
      </c>
      <c r="N15" s="54">
        <f t="shared" si="1"/>
        <v>50</v>
      </c>
      <c r="O15" s="167"/>
      <c r="P15" s="203"/>
      <c r="Q15" s="204"/>
      <c r="R15" s="204"/>
      <c r="S15" s="204"/>
      <c r="T15" s="204"/>
      <c r="U15" s="205"/>
    </row>
    <row r="16" spans="1:21" ht="15.75" customHeight="1">
      <c r="A16" s="85"/>
      <c r="B16" s="37">
        <f t="shared" si="0"/>
        <v>3</v>
      </c>
      <c r="C16" s="145" t="s">
        <v>965</v>
      </c>
      <c r="D16" s="80"/>
      <c r="E16" s="81"/>
      <c r="F16" s="146" t="s">
        <v>1031</v>
      </c>
      <c r="G16" s="17"/>
      <c r="H16" s="18" t="s">
        <v>51</v>
      </c>
      <c r="I16" s="59"/>
      <c r="J16" s="19">
        <v>100</v>
      </c>
      <c r="K16" s="19"/>
      <c r="L16" s="50"/>
      <c r="M16" s="73" t="s">
        <v>21</v>
      </c>
      <c r="N16" s="54">
        <f t="shared" si="1"/>
        <v>100</v>
      </c>
      <c r="O16" s="167"/>
      <c r="P16" s="203"/>
      <c r="Q16" s="204"/>
      <c r="R16" s="204"/>
      <c r="S16" s="204"/>
      <c r="T16" s="204"/>
      <c r="U16" s="205"/>
    </row>
    <row r="17" spans="1:21" ht="15.75" customHeight="1">
      <c r="A17" s="85"/>
      <c r="B17" s="37">
        <f t="shared" si="0"/>
        <v>4</v>
      </c>
      <c r="C17" s="145" t="s">
        <v>807</v>
      </c>
      <c r="D17" s="80"/>
      <c r="E17" s="81"/>
      <c r="F17" s="146" t="s">
        <v>808</v>
      </c>
      <c r="G17" s="17"/>
      <c r="H17" s="18" t="s">
        <v>209</v>
      </c>
      <c r="I17" s="59"/>
      <c r="J17" s="19"/>
      <c r="K17" s="19"/>
      <c r="L17" s="50"/>
      <c r="M17" s="73" t="s">
        <v>21</v>
      </c>
      <c r="N17" s="54">
        <f t="shared" si="1"/>
        <v>0</v>
      </c>
      <c r="O17" s="167"/>
      <c r="P17" s="203"/>
      <c r="Q17" s="204"/>
      <c r="R17" s="204"/>
      <c r="S17" s="204"/>
      <c r="T17" s="204"/>
      <c r="U17" s="205"/>
    </row>
    <row r="18" spans="1:21" ht="27.6" customHeight="1">
      <c r="A18" s="85"/>
      <c r="B18" s="37">
        <f t="shared" si="0"/>
        <v>5</v>
      </c>
      <c r="C18" s="145" t="s">
        <v>225</v>
      </c>
      <c r="D18" s="80"/>
      <c r="E18" s="81"/>
      <c r="F18" s="146" t="s">
        <v>226</v>
      </c>
      <c r="G18" s="17"/>
      <c r="H18" s="18" t="s">
        <v>49</v>
      </c>
      <c r="I18" s="59"/>
      <c r="J18" s="19">
        <v>1</v>
      </c>
      <c r="K18" s="19"/>
      <c r="L18" s="50"/>
      <c r="M18" s="73" t="s">
        <v>21</v>
      </c>
      <c r="N18" s="54">
        <f t="shared" si="1"/>
        <v>1</v>
      </c>
      <c r="O18" s="167"/>
      <c r="P18" s="206" t="s">
        <v>227</v>
      </c>
      <c r="Q18" s="204"/>
      <c r="R18" s="204"/>
      <c r="S18" s="204"/>
      <c r="T18" s="204"/>
      <c r="U18" s="205"/>
    </row>
    <row r="19" spans="1:21" ht="15.75" customHeight="1">
      <c r="A19" s="85"/>
      <c r="B19" s="37">
        <f t="shared" si="0"/>
        <v>6</v>
      </c>
      <c r="C19" s="145" t="s">
        <v>293</v>
      </c>
      <c r="D19" s="80"/>
      <c r="E19" s="81"/>
      <c r="F19" s="146" t="s">
        <v>294</v>
      </c>
      <c r="G19" s="17"/>
      <c r="H19" s="18" t="s">
        <v>51</v>
      </c>
      <c r="I19" s="59"/>
      <c r="J19" s="19">
        <v>50</v>
      </c>
      <c r="K19" s="19"/>
      <c r="L19" s="50"/>
      <c r="M19" s="73" t="s">
        <v>21</v>
      </c>
      <c r="N19" s="54">
        <f t="shared" si="1"/>
        <v>50</v>
      </c>
      <c r="O19" s="167"/>
      <c r="P19" s="203"/>
      <c r="Q19" s="204"/>
      <c r="R19" s="204"/>
      <c r="S19" s="204"/>
      <c r="T19" s="204"/>
      <c r="U19" s="205"/>
    </row>
    <row r="20" spans="1:21" ht="15.75">
      <c r="A20" s="85"/>
      <c r="B20" s="37">
        <f t="shared" ref="B20:B26" si="2">ROW()-13</f>
        <v>7</v>
      </c>
      <c r="C20" s="107" t="s">
        <v>36</v>
      </c>
      <c r="D20" s="107"/>
      <c r="E20" s="108"/>
      <c r="F20" s="109" t="s">
        <v>78</v>
      </c>
      <c r="G20" s="110"/>
      <c r="H20" s="18" t="s">
        <v>51</v>
      </c>
      <c r="I20" s="59"/>
      <c r="J20" s="113">
        <v>12</v>
      </c>
      <c r="K20" s="113"/>
      <c r="L20" s="114"/>
      <c r="M20" s="115" t="s">
        <v>35</v>
      </c>
      <c r="N20" s="116">
        <f t="shared" si="1"/>
        <v>12</v>
      </c>
      <c r="O20" s="168"/>
      <c r="P20" s="200"/>
      <c r="Q20" s="201"/>
      <c r="R20" s="201"/>
      <c r="S20" s="201"/>
      <c r="T20" s="201"/>
      <c r="U20" s="202"/>
    </row>
    <row r="21" spans="1:21" ht="15.75">
      <c r="A21" s="85"/>
      <c r="B21" s="37">
        <f t="shared" si="2"/>
        <v>8</v>
      </c>
      <c r="C21" s="107" t="s">
        <v>37</v>
      </c>
      <c r="D21" s="107"/>
      <c r="E21" s="108"/>
      <c r="F21" s="109" t="s">
        <v>43</v>
      </c>
      <c r="G21" s="110"/>
      <c r="H21" s="18" t="s">
        <v>51</v>
      </c>
      <c r="I21" s="59"/>
      <c r="J21" s="113">
        <v>10</v>
      </c>
      <c r="K21" s="113"/>
      <c r="L21" s="114"/>
      <c r="M21" s="115" t="s">
        <v>21</v>
      </c>
      <c r="N21" s="116">
        <f t="shared" si="1"/>
        <v>10</v>
      </c>
      <c r="O21" s="168"/>
      <c r="P21" s="200"/>
      <c r="Q21" s="201"/>
      <c r="R21" s="201"/>
      <c r="S21" s="201"/>
      <c r="T21" s="201"/>
      <c r="U21" s="202"/>
    </row>
    <row r="22" spans="1:21" ht="15.75">
      <c r="A22" s="85"/>
      <c r="B22" s="37">
        <f t="shared" si="2"/>
        <v>9</v>
      </c>
      <c r="C22" s="107" t="s">
        <v>38</v>
      </c>
      <c r="D22" s="107"/>
      <c r="E22" s="108"/>
      <c r="F22" s="109" t="s">
        <v>80</v>
      </c>
      <c r="G22" s="110"/>
      <c r="H22" s="18" t="s">
        <v>86</v>
      </c>
      <c r="I22" s="59"/>
      <c r="J22" s="113"/>
      <c r="K22" s="113"/>
      <c r="L22" s="114"/>
      <c r="M22" s="115" t="s">
        <v>21</v>
      </c>
      <c r="N22" s="116">
        <f t="shared" si="1"/>
        <v>0</v>
      </c>
      <c r="O22" s="168"/>
      <c r="P22" s="200"/>
      <c r="Q22" s="201"/>
      <c r="R22" s="201"/>
      <c r="S22" s="201"/>
      <c r="T22" s="201"/>
      <c r="U22" s="202"/>
    </row>
    <row r="23" spans="1:21" ht="15.75">
      <c r="A23" s="85"/>
      <c r="B23" s="37">
        <f t="shared" si="2"/>
        <v>10</v>
      </c>
      <c r="C23" s="107" t="s">
        <v>39</v>
      </c>
      <c r="D23" s="107"/>
      <c r="E23" s="108"/>
      <c r="F23" s="109" t="s">
        <v>79</v>
      </c>
      <c r="G23" s="110"/>
      <c r="H23" s="18" t="s">
        <v>51</v>
      </c>
      <c r="I23" s="59"/>
      <c r="J23" s="113">
        <v>12</v>
      </c>
      <c r="K23" s="113"/>
      <c r="L23" s="114"/>
      <c r="M23" s="115" t="s">
        <v>35</v>
      </c>
      <c r="N23" s="116">
        <f t="shared" si="1"/>
        <v>12</v>
      </c>
      <c r="O23" s="168"/>
      <c r="P23" s="200"/>
      <c r="Q23" s="201"/>
      <c r="R23" s="201"/>
      <c r="S23" s="201"/>
      <c r="T23" s="201"/>
      <c r="U23" s="202"/>
    </row>
    <row r="24" spans="1:21" ht="15.75">
      <c r="A24" s="85"/>
      <c r="B24" s="37">
        <f t="shared" si="2"/>
        <v>11</v>
      </c>
      <c r="C24" s="107" t="s">
        <v>40</v>
      </c>
      <c r="D24" s="107"/>
      <c r="E24" s="108"/>
      <c r="F24" s="109" t="s">
        <v>44</v>
      </c>
      <c r="G24" s="110"/>
      <c r="H24" s="18" t="s">
        <v>51</v>
      </c>
      <c r="I24" s="59"/>
      <c r="J24" s="113">
        <v>10</v>
      </c>
      <c r="K24" s="113"/>
      <c r="L24" s="114"/>
      <c r="M24" s="115" t="s">
        <v>21</v>
      </c>
      <c r="N24" s="116">
        <f t="shared" si="1"/>
        <v>10</v>
      </c>
      <c r="O24" s="168"/>
      <c r="P24" s="200"/>
      <c r="Q24" s="201"/>
      <c r="R24" s="201"/>
      <c r="S24" s="201"/>
      <c r="T24" s="201"/>
      <c r="U24" s="202"/>
    </row>
    <row r="25" spans="1:21" ht="15.75">
      <c r="A25" s="85"/>
      <c r="B25" s="37">
        <f t="shared" si="2"/>
        <v>12</v>
      </c>
      <c r="C25" s="107" t="s">
        <v>41</v>
      </c>
      <c r="D25" s="107"/>
      <c r="E25" s="108"/>
      <c r="F25" s="109" t="s">
        <v>81</v>
      </c>
      <c r="G25" s="110"/>
      <c r="H25" s="18" t="s">
        <v>86</v>
      </c>
      <c r="I25" s="59"/>
      <c r="J25" s="113"/>
      <c r="K25" s="113"/>
      <c r="L25" s="114"/>
      <c r="M25" s="115" t="s">
        <v>21</v>
      </c>
      <c r="N25" s="116">
        <f t="shared" si="1"/>
        <v>0</v>
      </c>
      <c r="O25" s="168"/>
      <c r="P25" s="200"/>
      <c r="Q25" s="201"/>
      <c r="R25" s="201"/>
      <c r="S25" s="201"/>
      <c r="T25" s="201"/>
      <c r="U25" s="202"/>
    </row>
    <row r="26" spans="1:21" ht="15.75">
      <c r="A26" s="85"/>
      <c r="B26" s="37">
        <f t="shared" si="2"/>
        <v>13</v>
      </c>
      <c r="C26" s="80" t="s">
        <v>46</v>
      </c>
      <c r="D26" s="80"/>
      <c r="E26" s="81"/>
      <c r="F26" s="84" t="s">
        <v>71</v>
      </c>
      <c r="G26" s="17"/>
      <c r="H26" s="18" t="s">
        <v>62</v>
      </c>
      <c r="I26" s="59"/>
      <c r="J26" s="19">
        <v>8</v>
      </c>
      <c r="K26" s="19"/>
      <c r="L26" s="50" t="s">
        <v>47</v>
      </c>
      <c r="M26" s="73" t="s">
        <v>35</v>
      </c>
      <c r="N26" s="54">
        <f t="shared" si="1"/>
        <v>8</v>
      </c>
      <c r="O26" s="167">
        <v>0</v>
      </c>
      <c r="P26" s="203" t="s">
        <v>48</v>
      </c>
      <c r="Q26" s="204"/>
      <c r="R26" s="204"/>
      <c r="S26" s="204"/>
      <c r="T26" s="204"/>
      <c r="U26" s="205"/>
    </row>
    <row r="27" spans="1:21" ht="16.5" thickBot="1">
      <c r="A27" s="118"/>
      <c r="B27" s="119"/>
      <c r="C27" s="120"/>
      <c r="D27" s="120"/>
      <c r="E27" s="121"/>
      <c r="F27" s="129"/>
      <c r="G27" s="122"/>
      <c r="H27" s="147"/>
      <c r="I27" s="148"/>
      <c r="J27" s="125"/>
      <c r="K27" s="125"/>
      <c r="L27" s="126"/>
      <c r="M27" s="126"/>
      <c r="N27" s="127"/>
      <c r="O27" s="169"/>
      <c r="P27" s="197"/>
      <c r="Q27" s="198"/>
      <c r="R27" s="198"/>
      <c r="S27" s="198"/>
      <c r="T27" s="198"/>
      <c r="U27" s="199"/>
    </row>
  </sheetData>
  <mergeCells count="44">
    <mergeCell ref="O1:U1"/>
    <mergeCell ref="J2:K2"/>
    <mergeCell ref="L2:M2"/>
    <mergeCell ref="O2:U2"/>
    <mergeCell ref="J3:K3"/>
    <mergeCell ref="L3:M3"/>
    <mergeCell ref="O3:U3"/>
    <mergeCell ref="J4:K4"/>
    <mergeCell ref="L4:M4"/>
    <mergeCell ref="O4:U4"/>
    <mergeCell ref="J5:K5"/>
    <mergeCell ref="L5:M5"/>
    <mergeCell ref="O5:U5"/>
    <mergeCell ref="E6:H6"/>
    <mergeCell ref="K6:M6"/>
    <mergeCell ref="O6:U6"/>
    <mergeCell ref="E7:H7"/>
    <mergeCell ref="K7:M7"/>
    <mergeCell ref="O7:U7"/>
    <mergeCell ref="P15:U15"/>
    <mergeCell ref="E8:H8"/>
    <mergeCell ref="K8:M8"/>
    <mergeCell ref="O8:U8"/>
    <mergeCell ref="E9:H9"/>
    <mergeCell ref="O9:U9"/>
    <mergeCell ref="E10:H10"/>
    <mergeCell ref="O10:U10"/>
    <mergeCell ref="E11:H11"/>
    <mergeCell ref="O11:U11"/>
    <mergeCell ref="O12:U12"/>
    <mergeCell ref="P13:U13"/>
    <mergeCell ref="P14:U14"/>
    <mergeCell ref="P27:U27"/>
    <mergeCell ref="P16:U16"/>
    <mergeCell ref="P17:U17"/>
    <mergeCell ref="P18:U18"/>
    <mergeCell ref="P19:U19"/>
    <mergeCell ref="P20:U20"/>
    <mergeCell ref="P21:U21"/>
    <mergeCell ref="P22:U22"/>
    <mergeCell ref="P23:U23"/>
    <mergeCell ref="P24:U24"/>
    <mergeCell ref="P25:U25"/>
    <mergeCell ref="P26:U26"/>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5"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57346"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57347"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57348"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57349"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57350"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987CA7D5-CB66-4C8D-9D72-86108D8C9592}">
            <xm:f>(AND(H14&lt;&gt;"",ISERROR(VLOOKUP(H14,system!$E:$E,1,FALSE))))</xm:f>
            <x14:dxf>
              <fill>
                <patternFill patternType="solid">
                  <bgColor rgb="FFFF0000"/>
                </patternFill>
              </fill>
            </x14:dxf>
          </x14:cfRule>
          <xm:sqref>H14:H19</xm:sqref>
        </x14:conditionalFormatting>
        <x14:conditionalFormatting xmlns:xm="http://schemas.microsoft.com/office/excel/2006/main">
          <x14:cfRule type="expression" priority="3" id="{65237B9A-42C7-402A-A017-C112AA24BF00}">
            <xm:f>(AND(H14&lt;&gt;"",ISERROR(VLOOKUP(H14,system!$E:$E,1,FALSE))))</xm:f>
            <x14:dxf>
              <fill>
                <patternFill>
                  <bgColor rgb="FFFF0000"/>
                </patternFill>
              </fill>
            </x14:dxf>
          </x14:cfRule>
          <xm:sqref>I14:I19</xm:sqref>
        </x14:conditionalFormatting>
        <x14:conditionalFormatting xmlns:xm="http://schemas.microsoft.com/office/excel/2006/main">
          <x14:cfRule type="expression" priority="2" id="{C2C89503-9652-42D8-9EF6-97E31CF15A10}">
            <xm:f>(AND(H20&lt;&gt;"",ISERROR(VLOOKUP(H20,system!$E:$E,1,FALSE))))</xm:f>
            <x14:dxf>
              <fill>
                <patternFill patternType="solid">
                  <bgColor rgb="FFFF0000"/>
                </patternFill>
              </fill>
            </x14:dxf>
          </x14:cfRule>
          <xm:sqref>H20:H27</xm:sqref>
        </x14:conditionalFormatting>
        <x14:conditionalFormatting xmlns:xm="http://schemas.microsoft.com/office/excel/2006/main">
          <x14:cfRule type="expression" priority="1" id="{2E4BDCA5-E74F-4C7F-8ADE-92CF61A4D7A7}">
            <xm:f>(AND(H20&lt;&gt;"",ISERROR(VLOOKUP(H20,system!$E:$E,1,FALSE))))</xm:f>
            <x14:dxf>
              <fill>
                <patternFill>
                  <bgColor rgb="FFFF0000"/>
                </patternFill>
              </fill>
            </x14:dxf>
          </x14:cfRule>
          <xm:sqref>I20:I27</xm:sqref>
        </x14:conditionalFormatting>
      </x14:conditionalFormatting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pageSetUpPr fitToPage="1"/>
  </sheetPr>
  <dimension ref="A1:U26"/>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7" t="s">
        <v>27</v>
      </c>
      <c r="P1" s="248"/>
      <c r="Q1" s="248"/>
      <c r="R1" s="248"/>
      <c r="S1" s="248"/>
      <c r="T1" s="248"/>
      <c r="U1" s="249"/>
    </row>
    <row r="2" spans="1:21" ht="14.45" customHeight="1">
      <c r="A2" s="39"/>
      <c r="B2" s="100" t="s">
        <v>64</v>
      </c>
      <c r="C2" s="5"/>
      <c r="D2" s="5"/>
      <c r="E2" s="5"/>
      <c r="F2" s="5"/>
      <c r="G2" s="6"/>
      <c r="H2" s="7"/>
      <c r="I2" s="8"/>
      <c r="J2" s="250"/>
      <c r="K2" s="251"/>
      <c r="L2" s="250"/>
      <c r="M2" s="251"/>
      <c r="N2" s="52"/>
      <c r="O2" s="252" t="s">
        <v>969</v>
      </c>
      <c r="P2" s="253"/>
      <c r="Q2" s="253"/>
      <c r="R2" s="253"/>
      <c r="S2" s="253"/>
      <c r="T2" s="253"/>
      <c r="U2" s="254"/>
    </row>
    <row r="3" spans="1:21" ht="14.25" customHeight="1">
      <c r="A3" s="40"/>
      <c r="B3" s="35"/>
      <c r="C3" s="5"/>
      <c r="D3" s="5"/>
      <c r="E3" s="5"/>
      <c r="F3" s="5"/>
      <c r="G3" s="9"/>
      <c r="H3" s="10"/>
      <c r="I3" s="176" t="s">
        <v>1032</v>
      </c>
      <c r="J3" s="255" t="s">
        <v>1032</v>
      </c>
      <c r="K3" s="256"/>
      <c r="L3" s="255" t="s">
        <v>1032</v>
      </c>
      <c r="M3" s="256"/>
      <c r="N3" s="52"/>
      <c r="O3" s="257"/>
      <c r="P3" s="258"/>
      <c r="Q3" s="258"/>
      <c r="R3" s="258"/>
      <c r="S3" s="258"/>
      <c r="T3" s="258"/>
      <c r="U3" s="259"/>
    </row>
    <row r="4" spans="1:21" ht="14.45" customHeight="1">
      <c r="A4" s="41"/>
      <c r="B4" s="36" t="s">
        <v>3</v>
      </c>
      <c r="C4" s="5"/>
      <c r="D4" s="5"/>
      <c r="E4" s="5"/>
      <c r="F4" s="5"/>
      <c r="G4" s="6"/>
      <c r="H4" s="10"/>
      <c r="I4" s="177" t="s">
        <v>1035</v>
      </c>
      <c r="J4" s="240" t="s">
        <v>1034</v>
      </c>
      <c r="K4" s="241"/>
      <c r="L4" s="240" t="s">
        <v>1033</v>
      </c>
      <c r="M4" s="241"/>
      <c r="N4" s="52"/>
      <c r="O4" s="210"/>
      <c r="P4" s="211"/>
      <c r="Q4" s="211"/>
      <c r="R4" s="211"/>
      <c r="S4" s="211"/>
      <c r="T4" s="211"/>
      <c r="U4" s="212"/>
    </row>
    <row r="5" spans="1:21" ht="14.45" customHeight="1" thickBot="1">
      <c r="A5" s="42"/>
      <c r="B5" s="11"/>
      <c r="C5" s="11"/>
      <c r="D5" s="11"/>
      <c r="E5" s="11"/>
      <c r="F5" s="11"/>
      <c r="G5" s="12"/>
      <c r="H5" s="13"/>
      <c r="I5" s="14"/>
      <c r="J5" s="242"/>
      <c r="K5" s="243"/>
      <c r="L5" s="244"/>
      <c r="M5" s="245"/>
      <c r="N5" s="53"/>
      <c r="O5" s="246"/>
      <c r="P5" s="211"/>
      <c r="Q5" s="211"/>
      <c r="R5" s="211"/>
      <c r="S5" s="211"/>
      <c r="T5" s="211"/>
      <c r="U5" s="212"/>
    </row>
    <row r="6" spans="1:21" ht="14.45" customHeight="1">
      <c r="A6" s="43"/>
      <c r="B6" s="101" t="s">
        <v>4</v>
      </c>
      <c r="C6" s="20"/>
      <c r="D6" s="21"/>
      <c r="E6" s="222" t="s">
        <v>65</v>
      </c>
      <c r="F6" s="223"/>
      <c r="G6" s="223"/>
      <c r="H6" s="224"/>
      <c r="I6" s="60" t="s">
        <v>26</v>
      </c>
      <c r="J6" s="26"/>
      <c r="K6" s="225" t="s">
        <v>33</v>
      </c>
      <c r="L6" s="226"/>
      <c r="M6" s="227"/>
      <c r="N6" s="91" t="s">
        <v>5</v>
      </c>
      <c r="O6" s="210"/>
      <c r="P6" s="211"/>
      <c r="Q6" s="211"/>
      <c r="R6" s="211"/>
      <c r="S6" s="211"/>
      <c r="T6" s="211"/>
      <c r="U6" s="212"/>
    </row>
    <row r="7" spans="1:21" ht="15.75" customHeight="1">
      <c r="A7" s="44"/>
      <c r="B7" s="102" t="s">
        <v>6</v>
      </c>
      <c r="C7" s="22"/>
      <c r="D7" s="23"/>
      <c r="E7" s="228" t="s">
        <v>175</v>
      </c>
      <c r="F7" s="229"/>
      <c r="G7" s="229"/>
      <c r="H7" s="230"/>
      <c r="I7" s="61" t="s">
        <v>28</v>
      </c>
      <c r="J7" s="27"/>
      <c r="K7" s="231" t="s">
        <v>34</v>
      </c>
      <c r="L7" s="232"/>
      <c r="M7" s="233"/>
      <c r="N7" s="92">
        <f>COUNTIF(H14:H14,"LONG")+COUNTIF(H14:H14,"LONG RAW")</f>
        <v>0</v>
      </c>
      <c r="O7" s="210"/>
      <c r="P7" s="211"/>
      <c r="Q7" s="211"/>
      <c r="R7" s="211"/>
      <c r="S7" s="211"/>
      <c r="T7" s="211"/>
      <c r="U7" s="212"/>
    </row>
    <row r="8" spans="1:21" ht="14.45" customHeight="1">
      <c r="A8" s="45"/>
      <c r="B8" s="22" t="s">
        <v>7</v>
      </c>
      <c r="C8" s="22"/>
      <c r="D8" s="23"/>
      <c r="E8" s="228" t="s">
        <v>966</v>
      </c>
      <c r="F8" s="229"/>
      <c r="G8" s="229"/>
      <c r="H8" s="230"/>
      <c r="I8" s="62"/>
      <c r="J8" s="27"/>
      <c r="K8" s="234"/>
      <c r="L8" s="235"/>
      <c r="M8" s="236"/>
      <c r="N8" s="92"/>
      <c r="O8" s="210"/>
      <c r="P8" s="211"/>
      <c r="Q8" s="211"/>
      <c r="R8" s="211"/>
      <c r="S8" s="211"/>
      <c r="T8" s="211"/>
      <c r="U8" s="212"/>
    </row>
    <row r="9" spans="1:21" ht="14.45" customHeight="1">
      <c r="A9" s="45"/>
      <c r="B9" s="22" t="s">
        <v>8</v>
      </c>
      <c r="C9" s="22"/>
      <c r="D9" s="23"/>
      <c r="E9" s="237" t="s">
        <v>68</v>
      </c>
      <c r="F9" s="238"/>
      <c r="G9" s="238"/>
      <c r="H9" s="239"/>
      <c r="I9" s="61" t="s">
        <v>9</v>
      </c>
      <c r="J9" s="27"/>
      <c r="K9" s="86"/>
      <c r="L9" s="88">
        <f>SUM(N14:N27)</f>
        <v>125</v>
      </c>
      <c r="M9" s="82"/>
      <c r="N9" s="93">
        <f>SUMIF(M14:M14,"■",N14:N14)</f>
        <v>0</v>
      </c>
      <c r="O9" s="210"/>
      <c r="P9" s="211"/>
      <c r="Q9" s="211"/>
      <c r="R9" s="211"/>
      <c r="S9" s="211"/>
      <c r="T9" s="211"/>
      <c r="U9" s="212"/>
    </row>
    <row r="10" spans="1:21" ht="14.45" customHeight="1">
      <c r="A10" s="45"/>
      <c r="B10" s="22" t="s">
        <v>10</v>
      </c>
      <c r="C10" s="22"/>
      <c r="D10" s="23"/>
      <c r="E10" s="219" t="s">
        <v>68</v>
      </c>
      <c r="F10" s="220"/>
      <c r="G10" s="220"/>
      <c r="H10" s="221"/>
      <c r="I10" s="61" t="s">
        <v>11</v>
      </c>
      <c r="J10" s="27"/>
      <c r="K10" s="86"/>
      <c r="L10" s="89">
        <f>E11*L9/1000</f>
        <v>0</v>
      </c>
      <c r="M10" s="82"/>
      <c r="N10" s="55"/>
      <c r="O10" s="210"/>
      <c r="P10" s="211"/>
      <c r="Q10" s="211"/>
      <c r="R10" s="211"/>
      <c r="S10" s="211"/>
      <c r="T10" s="211"/>
      <c r="U10" s="212"/>
    </row>
    <row r="11" spans="1:21" ht="17.25" customHeight="1" thickBot="1">
      <c r="A11" s="46"/>
      <c r="B11" s="24" t="s">
        <v>29</v>
      </c>
      <c r="C11" s="24"/>
      <c r="D11" s="25"/>
      <c r="E11" s="207"/>
      <c r="F11" s="208"/>
      <c r="G11" s="208"/>
      <c r="H11" s="209"/>
      <c r="I11" s="103" t="s">
        <v>12</v>
      </c>
      <c r="J11" s="104"/>
      <c r="K11" s="87"/>
      <c r="L11" s="90"/>
      <c r="M11" s="83"/>
      <c r="N11" s="56"/>
      <c r="O11" s="210"/>
      <c r="P11" s="211"/>
      <c r="Q11" s="211"/>
      <c r="R11" s="211"/>
      <c r="S11" s="211"/>
      <c r="T11" s="211"/>
      <c r="U11" s="212"/>
    </row>
    <row r="12" spans="1:21" ht="15.75" customHeight="1" thickBot="1">
      <c r="A12" s="64"/>
      <c r="B12" s="65"/>
      <c r="C12" s="30"/>
      <c r="D12" s="30"/>
      <c r="E12" s="31"/>
      <c r="F12" s="32"/>
      <c r="G12" s="29"/>
      <c r="H12" s="28"/>
      <c r="I12" s="29"/>
      <c r="J12" s="30" t="s">
        <v>13</v>
      </c>
      <c r="K12" s="31"/>
      <c r="L12" s="66"/>
      <c r="M12" s="48"/>
      <c r="N12" s="57">
        <f>COUNTA(H14:H14)</f>
        <v>1</v>
      </c>
      <c r="O12" s="213"/>
      <c r="P12" s="214"/>
      <c r="Q12" s="214"/>
      <c r="R12" s="214"/>
      <c r="S12" s="214"/>
      <c r="T12" s="214"/>
      <c r="U12" s="21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16" t="s">
        <v>32</v>
      </c>
      <c r="Q13" s="217"/>
      <c r="R13" s="217"/>
      <c r="S13" s="217"/>
      <c r="T13" s="217"/>
      <c r="U13" s="218"/>
    </row>
    <row r="14" spans="1:21" ht="15.75" customHeight="1">
      <c r="A14" s="85" t="s">
        <v>188</v>
      </c>
      <c r="B14" s="37">
        <f>ROW()-13</f>
        <v>1</v>
      </c>
      <c r="C14" s="145" t="s">
        <v>793</v>
      </c>
      <c r="D14" s="80"/>
      <c r="E14" s="81"/>
      <c r="F14" s="146" t="s">
        <v>794</v>
      </c>
      <c r="G14" s="17"/>
      <c r="H14" s="18" t="s">
        <v>49</v>
      </c>
      <c r="I14" s="59"/>
      <c r="J14" s="19">
        <v>2</v>
      </c>
      <c r="K14" s="19"/>
      <c r="L14" s="50" t="s">
        <v>187</v>
      </c>
      <c r="M14" s="73" t="s">
        <v>21</v>
      </c>
      <c r="N14" s="54">
        <f t="shared" ref="N14:N25" si="0">IF(H14="NUMBER",IF(J14&gt;0,INT((J14+1)/2+0.9),0),IF(H14="DATE",7,IF(OR(H14="LONG",H14="LONG RAW"),100000,J14)))</f>
        <v>2</v>
      </c>
      <c r="O14" s="167"/>
      <c r="P14" s="203"/>
      <c r="Q14" s="204"/>
      <c r="R14" s="204"/>
      <c r="S14" s="204"/>
      <c r="T14" s="204"/>
      <c r="U14" s="205"/>
    </row>
    <row r="15" spans="1:21" ht="15.75" customHeight="1">
      <c r="A15" s="85"/>
      <c r="B15" s="37">
        <f>ROW()-13</f>
        <v>2</v>
      </c>
      <c r="C15" s="145" t="s">
        <v>970</v>
      </c>
      <c r="D15" s="80"/>
      <c r="E15" s="81"/>
      <c r="F15" s="146" t="s">
        <v>971</v>
      </c>
      <c r="G15" s="17"/>
      <c r="H15" s="18" t="s">
        <v>51</v>
      </c>
      <c r="I15" s="59"/>
      <c r="J15" s="19">
        <v>20</v>
      </c>
      <c r="K15" s="19"/>
      <c r="L15" s="50" t="s">
        <v>187</v>
      </c>
      <c r="M15" s="73" t="s">
        <v>21</v>
      </c>
      <c r="N15" s="54">
        <f t="shared" si="0"/>
        <v>20</v>
      </c>
      <c r="O15" s="167"/>
      <c r="P15" s="203"/>
      <c r="Q15" s="204"/>
      <c r="R15" s="204"/>
      <c r="S15" s="204"/>
      <c r="T15" s="204"/>
      <c r="U15" s="205"/>
    </row>
    <row r="16" spans="1:21" ht="15.75" customHeight="1">
      <c r="A16" s="85"/>
      <c r="B16" s="37">
        <f>ROW()-13</f>
        <v>3</v>
      </c>
      <c r="C16" s="145" t="s">
        <v>807</v>
      </c>
      <c r="D16" s="80"/>
      <c r="E16" s="81"/>
      <c r="F16" s="146" t="s">
        <v>808</v>
      </c>
      <c r="G16" s="17"/>
      <c r="H16" s="18" t="s">
        <v>209</v>
      </c>
      <c r="I16" s="59"/>
      <c r="J16" s="19"/>
      <c r="K16" s="19"/>
      <c r="L16" s="50"/>
      <c r="M16" s="73" t="s">
        <v>21</v>
      </c>
      <c r="N16" s="54">
        <f t="shared" si="0"/>
        <v>0</v>
      </c>
      <c r="O16" s="167"/>
      <c r="P16" s="203"/>
      <c r="Q16" s="204"/>
      <c r="R16" s="204"/>
      <c r="S16" s="204"/>
      <c r="T16" s="204"/>
      <c r="U16" s="205"/>
    </row>
    <row r="17" spans="1:21" ht="27.6" customHeight="1">
      <c r="A17" s="85"/>
      <c r="B17" s="37">
        <f>ROW()-13</f>
        <v>4</v>
      </c>
      <c r="C17" s="145" t="s">
        <v>225</v>
      </c>
      <c r="D17" s="80"/>
      <c r="E17" s="81"/>
      <c r="F17" s="146" t="s">
        <v>226</v>
      </c>
      <c r="G17" s="17"/>
      <c r="H17" s="18" t="s">
        <v>49</v>
      </c>
      <c r="I17" s="59"/>
      <c r="J17" s="19">
        <v>1</v>
      </c>
      <c r="K17" s="19"/>
      <c r="L17" s="50"/>
      <c r="M17" s="73" t="s">
        <v>21</v>
      </c>
      <c r="N17" s="54">
        <f t="shared" si="0"/>
        <v>1</v>
      </c>
      <c r="O17" s="167"/>
      <c r="P17" s="206" t="s">
        <v>227</v>
      </c>
      <c r="Q17" s="204"/>
      <c r="R17" s="204"/>
      <c r="S17" s="204"/>
      <c r="T17" s="204"/>
      <c r="U17" s="205"/>
    </row>
    <row r="18" spans="1:21" ht="15.75" customHeight="1">
      <c r="A18" s="85"/>
      <c r="B18" s="37">
        <f>ROW()-13</f>
        <v>5</v>
      </c>
      <c r="C18" s="145" t="s">
        <v>293</v>
      </c>
      <c r="D18" s="80"/>
      <c r="E18" s="81"/>
      <c r="F18" s="146" t="s">
        <v>294</v>
      </c>
      <c r="G18" s="17"/>
      <c r="H18" s="18" t="s">
        <v>51</v>
      </c>
      <c r="I18" s="59"/>
      <c r="J18" s="19">
        <v>50</v>
      </c>
      <c r="K18" s="19"/>
      <c r="L18" s="50"/>
      <c r="M18" s="73" t="s">
        <v>21</v>
      </c>
      <c r="N18" s="54">
        <f t="shared" si="0"/>
        <v>50</v>
      </c>
      <c r="O18" s="167"/>
      <c r="P18" s="203"/>
      <c r="Q18" s="204"/>
      <c r="R18" s="204"/>
      <c r="S18" s="204"/>
      <c r="T18" s="204"/>
      <c r="U18" s="205"/>
    </row>
    <row r="19" spans="1:21" ht="15.75">
      <c r="A19" s="85"/>
      <c r="B19" s="37">
        <f t="shared" ref="B19:B25" si="1">ROW()-13</f>
        <v>6</v>
      </c>
      <c r="C19" s="107" t="s">
        <v>36</v>
      </c>
      <c r="D19" s="107"/>
      <c r="E19" s="108"/>
      <c r="F19" s="109" t="s">
        <v>78</v>
      </c>
      <c r="G19" s="110"/>
      <c r="H19" s="18" t="s">
        <v>51</v>
      </c>
      <c r="I19" s="59"/>
      <c r="J19" s="113">
        <v>12</v>
      </c>
      <c r="K19" s="113"/>
      <c r="L19" s="114"/>
      <c r="M19" s="115" t="s">
        <v>35</v>
      </c>
      <c r="N19" s="116">
        <f t="shared" si="0"/>
        <v>12</v>
      </c>
      <c r="O19" s="168"/>
      <c r="P19" s="200"/>
      <c r="Q19" s="201"/>
      <c r="R19" s="201"/>
      <c r="S19" s="201"/>
      <c r="T19" s="201"/>
      <c r="U19" s="202"/>
    </row>
    <row r="20" spans="1:21" ht="15.75">
      <c r="A20" s="85"/>
      <c r="B20" s="37">
        <f t="shared" si="1"/>
        <v>7</v>
      </c>
      <c r="C20" s="107" t="s">
        <v>37</v>
      </c>
      <c r="D20" s="107"/>
      <c r="E20" s="108"/>
      <c r="F20" s="109" t="s">
        <v>43</v>
      </c>
      <c r="G20" s="110"/>
      <c r="H20" s="18" t="s">
        <v>51</v>
      </c>
      <c r="I20" s="59"/>
      <c r="J20" s="113">
        <v>10</v>
      </c>
      <c r="K20" s="113"/>
      <c r="L20" s="114"/>
      <c r="M20" s="115" t="s">
        <v>21</v>
      </c>
      <c r="N20" s="116">
        <f t="shared" si="0"/>
        <v>10</v>
      </c>
      <c r="O20" s="168"/>
      <c r="P20" s="200"/>
      <c r="Q20" s="201"/>
      <c r="R20" s="201"/>
      <c r="S20" s="201"/>
      <c r="T20" s="201"/>
      <c r="U20" s="202"/>
    </row>
    <row r="21" spans="1:21" ht="15.75">
      <c r="A21" s="85"/>
      <c r="B21" s="37">
        <f t="shared" si="1"/>
        <v>8</v>
      </c>
      <c r="C21" s="107" t="s">
        <v>38</v>
      </c>
      <c r="D21" s="107"/>
      <c r="E21" s="108"/>
      <c r="F21" s="109" t="s">
        <v>80</v>
      </c>
      <c r="G21" s="110"/>
      <c r="H21" s="18" t="s">
        <v>86</v>
      </c>
      <c r="I21" s="59"/>
      <c r="J21" s="113"/>
      <c r="K21" s="113"/>
      <c r="L21" s="114"/>
      <c r="M21" s="115" t="s">
        <v>21</v>
      </c>
      <c r="N21" s="116">
        <f t="shared" si="0"/>
        <v>0</v>
      </c>
      <c r="O21" s="168"/>
      <c r="P21" s="200"/>
      <c r="Q21" s="201"/>
      <c r="R21" s="201"/>
      <c r="S21" s="201"/>
      <c r="T21" s="201"/>
      <c r="U21" s="202"/>
    </row>
    <row r="22" spans="1:21" ht="15.75">
      <c r="A22" s="85"/>
      <c r="B22" s="37">
        <f t="shared" si="1"/>
        <v>9</v>
      </c>
      <c r="C22" s="107" t="s">
        <v>39</v>
      </c>
      <c r="D22" s="107"/>
      <c r="E22" s="108"/>
      <c r="F22" s="109" t="s">
        <v>79</v>
      </c>
      <c r="G22" s="110"/>
      <c r="H22" s="18" t="s">
        <v>51</v>
      </c>
      <c r="I22" s="59"/>
      <c r="J22" s="113">
        <v>12</v>
      </c>
      <c r="K22" s="113"/>
      <c r="L22" s="114"/>
      <c r="M22" s="115" t="s">
        <v>35</v>
      </c>
      <c r="N22" s="116">
        <f t="shared" si="0"/>
        <v>12</v>
      </c>
      <c r="O22" s="168"/>
      <c r="P22" s="200"/>
      <c r="Q22" s="201"/>
      <c r="R22" s="201"/>
      <c r="S22" s="201"/>
      <c r="T22" s="201"/>
      <c r="U22" s="202"/>
    </row>
    <row r="23" spans="1:21" ht="15.75">
      <c r="A23" s="85"/>
      <c r="B23" s="37">
        <f t="shared" si="1"/>
        <v>10</v>
      </c>
      <c r="C23" s="107" t="s">
        <v>40</v>
      </c>
      <c r="D23" s="107"/>
      <c r="E23" s="108"/>
      <c r="F23" s="109" t="s">
        <v>44</v>
      </c>
      <c r="G23" s="110"/>
      <c r="H23" s="18" t="s">
        <v>51</v>
      </c>
      <c r="I23" s="59"/>
      <c r="J23" s="113">
        <v>10</v>
      </c>
      <c r="K23" s="113"/>
      <c r="L23" s="114"/>
      <c r="M23" s="115" t="s">
        <v>21</v>
      </c>
      <c r="N23" s="116">
        <f t="shared" si="0"/>
        <v>10</v>
      </c>
      <c r="O23" s="168"/>
      <c r="P23" s="200"/>
      <c r="Q23" s="201"/>
      <c r="R23" s="201"/>
      <c r="S23" s="201"/>
      <c r="T23" s="201"/>
      <c r="U23" s="202"/>
    </row>
    <row r="24" spans="1:21" ht="15.75">
      <c r="A24" s="85"/>
      <c r="B24" s="37">
        <f t="shared" si="1"/>
        <v>11</v>
      </c>
      <c r="C24" s="107" t="s">
        <v>41</v>
      </c>
      <c r="D24" s="107"/>
      <c r="E24" s="108"/>
      <c r="F24" s="109" t="s">
        <v>81</v>
      </c>
      <c r="G24" s="110"/>
      <c r="H24" s="18" t="s">
        <v>86</v>
      </c>
      <c r="I24" s="59"/>
      <c r="J24" s="113"/>
      <c r="K24" s="113"/>
      <c r="L24" s="114"/>
      <c r="M24" s="115" t="s">
        <v>21</v>
      </c>
      <c r="N24" s="116">
        <f t="shared" si="0"/>
        <v>0</v>
      </c>
      <c r="O24" s="168"/>
      <c r="P24" s="200"/>
      <c r="Q24" s="201"/>
      <c r="R24" s="201"/>
      <c r="S24" s="201"/>
      <c r="T24" s="201"/>
      <c r="U24" s="202"/>
    </row>
    <row r="25" spans="1:21" ht="15.75">
      <c r="A25" s="85"/>
      <c r="B25" s="37">
        <f t="shared" si="1"/>
        <v>12</v>
      </c>
      <c r="C25" s="80" t="s">
        <v>46</v>
      </c>
      <c r="D25" s="80"/>
      <c r="E25" s="81"/>
      <c r="F25" s="84" t="s">
        <v>71</v>
      </c>
      <c r="G25" s="17"/>
      <c r="H25" s="18" t="s">
        <v>62</v>
      </c>
      <c r="I25" s="59"/>
      <c r="J25" s="19">
        <v>8</v>
      </c>
      <c r="K25" s="19"/>
      <c r="L25" s="50" t="s">
        <v>47</v>
      </c>
      <c r="M25" s="73" t="s">
        <v>35</v>
      </c>
      <c r="N25" s="54">
        <f t="shared" si="0"/>
        <v>8</v>
      </c>
      <c r="O25" s="167">
        <v>0</v>
      </c>
      <c r="P25" s="203" t="s">
        <v>48</v>
      </c>
      <c r="Q25" s="204"/>
      <c r="R25" s="204"/>
      <c r="S25" s="204"/>
      <c r="T25" s="204"/>
      <c r="U25" s="205"/>
    </row>
    <row r="26" spans="1:21" ht="16.5" thickBot="1">
      <c r="A26" s="118"/>
      <c r="B26" s="119"/>
      <c r="C26" s="120"/>
      <c r="D26" s="120"/>
      <c r="E26" s="121"/>
      <c r="F26" s="129"/>
      <c r="G26" s="122"/>
      <c r="H26" s="147"/>
      <c r="I26" s="148"/>
      <c r="J26" s="125"/>
      <c r="K26" s="125"/>
      <c r="L26" s="126"/>
      <c r="M26" s="126"/>
      <c r="N26" s="127"/>
      <c r="O26" s="169"/>
      <c r="P26" s="197"/>
      <c r="Q26" s="198"/>
      <c r="R26" s="198"/>
      <c r="S26" s="198"/>
      <c r="T26" s="198"/>
      <c r="U26" s="199"/>
    </row>
  </sheetData>
  <mergeCells count="43">
    <mergeCell ref="O1:U1"/>
    <mergeCell ref="J2:K2"/>
    <mergeCell ref="L2:M2"/>
    <mergeCell ref="O2:U2"/>
    <mergeCell ref="J3:K3"/>
    <mergeCell ref="L3:M3"/>
    <mergeCell ref="O3:U3"/>
    <mergeCell ref="J4:K4"/>
    <mergeCell ref="L4:M4"/>
    <mergeCell ref="O4:U4"/>
    <mergeCell ref="J5:K5"/>
    <mergeCell ref="L5:M5"/>
    <mergeCell ref="O5:U5"/>
    <mergeCell ref="E10:H10"/>
    <mergeCell ref="O10:U10"/>
    <mergeCell ref="E6:H6"/>
    <mergeCell ref="K6:M6"/>
    <mergeCell ref="O6:U6"/>
    <mergeCell ref="E7:H7"/>
    <mergeCell ref="K7:M7"/>
    <mergeCell ref="O7:U7"/>
    <mergeCell ref="E8:H8"/>
    <mergeCell ref="K8:M8"/>
    <mergeCell ref="O8:U8"/>
    <mergeCell ref="E9:H9"/>
    <mergeCell ref="O9:U9"/>
    <mergeCell ref="P21:U21"/>
    <mergeCell ref="E11:H11"/>
    <mergeCell ref="O11:U11"/>
    <mergeCell ref="O12:U12"/>
    <mergeCell ref="P13:U13"/>
    <mergeCell ref="P14:U14"/>
    <mergeCell ref="P15:U15"/>
    <mergeCell ref="P16:U16"/>
    <mergeCell ref="P17:U17"/>
    <mergeCell ref="P18:U18"/>
    <mergeCell ref="P19:U19"/>
    <mergeCell ref="P20:U20"/>
    <mergeCell ref="P22:U22"/>
    <mergeCell ref="P23:U23"/>
    <mergeCell ref="P24:U24"/>
    <mergeCell ref="P25:U25"/>
    <mergeCell ref="P26:U26"/>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8369"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58370"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58371"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58372"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58373"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58374"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499F200F-2409-4257-8E32-6655F17CE71A}">
            <xm:f>(AND(H14&lt;&gt;"",ISERROR(VLOOKUP(H14,system!$E:$E,1,FALSE))))</xm:f>
            <x14:dxf>
              <fill>
                <patternFill patternType="solid">
                  <bgColor rgb="FFFF0000"/>
                </patternFill>
              </fill>
            </x14:dxf>
          </x14:cfRule>
          <xm:sqref>H14:H18</xm:sqref>
        </x14:conditionalFormatting>
        <x14:conditionalFormatting xmlns:xm="http://schemas.microsoft.com/office/excel/2006/main">
          <x14:cfRule type="expression" priority="3" id="{7B67608A-AF14-42F4-A74A-5DC16578F691}">
            <xm:f>(AND(H14&lt;&gt;"",ISERROR(VLOOKUP(H14,system!$E:$E,1,FALSE))))</xm:f>
            <x14:dxf>
              <fill>
                <patternFill>
                  <bgColor rgb="FFFF0000"/>
                </patternFill>
              </fill>
            </x14:dxf>
          </x14:cfRule>
          <xm:sqref>I14:I18</xm:sqref>
        </x14:conditionalFormatting>
        <x14:conditionalFormatting xmlns:xm="http://schemas.microsoft.com/office/excel/2006/main">
          <x14:cfRule type="expression" priority="2" id="{9EABDADD-397F-4BA4-88EA-BCCD7D0362BF}">
            <xm:f>(AND(H19&lt;&gt;"",ISERROR(VLOOKUP(H19,system!$E:$E,1,FALSE))))</xm:f>
            <x14:dxf>
              <fill>
                <patternFill patternType="solid">
                  <bgColor rgb="FFFF0000"/>
                </patternFill>
              </fill>
            </x14:dxf>
          </x14:cfRule>
          <xm:sqref>H19:H26</xm:sqref>
        </x14:conditionalFormatting>
        <x14:conditionalFormatting xmlns:xm="http://schemas.microsoft.com/office/excel/2006/main">
          <x14:cfRule type="expression" priority="1" id="{731C2B81-BFD7-4A41-A13D-0230D111BAD0}">
            <xm:f>(AND(H19&lt;&gt;"",ISERROR(VLOOKUP(H19,system!$E:$E,1,FALSE))))</xm:f>
            <x14:dxf>
              <fill>
                <patternFill>
                  <bgColor rgb="FFFF0000"/>
                </patternFill>
              </fill>
            </x14:dxf>
          </x14:cfRule>
          <xm:sqref>I19:I26</xm:sqref>
        </x14:conditionalFormatting>
      </x14:conditionalFormatting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pageSetUpPr fitToPage="1"/>
  </sheetPr>
  <dimension ref="A1:U23"/>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7" t="s">
        <v>27</v>
      </c>
      <c r="P1" s="248"/>
      <c r="Q1" s="248"/>
      <c r="R1" s="248"/>
      <c r="S1" s="248"/>
      <c r="T1" s="248"/>
      <c r="U1" s="249"/>
    </row>
    <row r="2" spans="1:21" ht="14.45" customHeight="1">
      <c r="A2" s="39"/>
      <c r="B2" s="100" t="s">
        <v>64</v>
      </c>
      <c r="C2" s="5"/>
      <c r="D2" s="5"/>
      <c r="E2" s="5"/>
      <c r="F2" s="5"/>
      <c r="G2" s="6"/>
      <c r="H2" s="7"/>
      <c r="I2" s="8"/>
      <c r="J2" s="250"/>
      <c r="K2" s="251"/>
      <c r="L2" s="250"/>
      <c r="M2" s="251"/>
      <c r="N2" s="52"/>
      <c r="O2" s="252" t="s">
        <v>975</v>
      </c>
      <c r="P2" s="253"/>
      <c r="Q2" s="253"/>
      <c r="R2" s="253"/>
      <c r="S2" s="253"/>
      <c r="T2" s="253"/>
      <c r="U2" s="254"/>
    </row>
    <row r="3" spans="1:21" ht="14.25" customHeight="1">
      <c r="A3" s="40"/>
      <c r="B3" s="35"/>
      <c r="C3" s="5"/>
      <c r="D3" s="5"/>
      <c r="E3" s="5"/>
      <c r="F3" s="5"/>
      <c r="G3" s="9"/>
      <c r="H3" s="10"/>
      <c r="I3" s="176" t="s">
        <v>1032</v>
      </c>
      <c r="J3" s="255" t="s">
        <v>1032</v>
      </c>
      <c r="K3" s="256"/>
      <c r="L3" s="255" t="s">
        <v>1032</v>
      </c>
      <c r="M3" s="256"/>
      <c r="N3" s="52"/>
      <c r="O3" s="257"/>
      <c r="P3" s="258"/>
      <c r="Q3" s="258"/>
      <c r="R3" s="258"/>
      <c r="S3" s="258"/>
      <c r="T3" s="258"/>
      <c r="U3" s="259"/>
    </row>
    <row r="4" spans="1:21" ht="14.45" customHeight="1">
      <c r="A4" s="41"/>
      <c r="B4" s="36" t="s">
        <v>3</v>
      </c>
      <c r="C4" s="5"/>
      <c r="D4" s="5"/>
      <c r="E4" s="5"/>
      <c r="F4" s="5"/>
      <c r="G4" s="6"/>
      <c r="H4" s="10"/>
      <c r="I4" s="177" t="s">
        <v>1035</v>
      </c>
      <c r="J4" s="240" t="s">
        <v>1034</v>
      </c>
      <c r="K4" s="241"/>
      <c r="L4" s="240" t="s">
        <v>1033</v>
      </c>
      <c r="M4" s="241"/>
      <c r="N4" s="52"/>
      <c r="O4" s="210"/>
      <c r="P4" s="211"/>
      <c r="Q4" s="211"/>
      <c r="R4" s="211"/>
      <c r="S4" s="211"/>
      <c r="T4" s="211"/>
      <c r="U4" s="212"/>
    </row>
    <row r="5" spans="1:21" ht="14.45" customHeight="1" thickBot="1">
      <c r="A5" s="42"/>
      <c r="B5" s="11"/>
      <c r="C5" s="11"/>
      <c r="D5" s="11"/>
      <c r="E5" s="11"/>
      <c r="F5" s="11"/>
      <c r="G5" s="12"/>
      <c r="H5" s="13"/>
      <c r="I5" s="14"/>
      <c r="J5" s="242"/>
      <c r="K5" s="243"/>
      <c r="L5" s="244"/>
      <c r="M5" s="245"/>
      <c r="N5" s="53"/>
      <c r="O5" s="246"/>
      <c r="P5" s="211"/>
      <c r="Q5" s="211"/>
      <c r="R5" s="211"/>
      <c r="S5" s="211"/>
      <c r="T5" s="211"/>
      <c r="U5" s="212"/>
    </row>
    <row r="6" spans="1:21" ht="14.45" customHeight="1">
      <c r="A6" s="43"/>
      <c r="B6" s="101" t="s">
        <v>4</v>
      </c>
      <c r="C6" s="20"/>
      <c r="D6" s="21"/>
      <c r="E6" s="222" t="s">
        <v>65</v>
      </c>
      <c r="F6" s="223"/>
      <c r="G6" s="223"/>
      <c r="H6" s="224"/>
      <c r="I6" s="60" t="s">
        <v>26</v>
      </c>
      <c r="J6" s="26"/>
      <c r="K6" s="225" t="s">
        <v>33</v>
      </c>
      <c r="L6" s="226"/>
      <c r="M6" s="227"/>
      <c r="N6" s="91" t="s">
        <v>5</v>
      </c>
      <c r="O6" s="210"/>
      <c r="P6" s="211"/>
      <c r="Q6" s="211"/>
      <c r="R6" s="211"/>
      <c r="S6" s="211"/>
      <c r="T6" s="211"/>
      <c r="U6" s="212"/>
    </row>
    <row r="7" spans="1:21" ht="15.75" customHeight="1">
      <c r="A7" s="44"/>
      <c r="B7" s="102" t="s">
        <v>6</v>
      </c>
      <c r="C7" s="22"/>
      <c r="D7" s="23"/>
      <c r="E7" s="228" t="s">
        <v>176</v>
      </c>
      <c r="F7" s="229"/>
      <c r="G7" s="229"/>
      <c r="H7" s="230"/>
      <c r="I7" s="61" t="s">
        <v>28</v>
      </c>
      <c r="J7" s="27"/>
      <c r="K7" s="231" t="s">
        <v>34</v>
      </c>
      <c r="L7" s="232"/>
      <c r="M7" s="233"/>
      <c r="N7" s="92">
        <f>COUNTIF(H14:H14,"LONG")+COUNTIF(H14:H14,"LONG RAW")</f>
        <v>0</v>
      </c>
      <c r="O7" s="210"/>
      <c r="P7" s="211"/>
      <c r="Q7" s="211"/>
      <c r="R7" s="211"/>
      <c r="S7" s="211"/>
      <c r="T7" s="211"/>
      <c r="U7" s="212"/>
    </row>
    <row r="8" spans="1:21" ht="14.45" customHeight="1">
      <c r="A8" s="45"/>
      <c r="B8" s="22" t="s">
        <v>7</v>
      </c>
      <c r="C8" s="22"/>
      <c r="D8" s="23"/>
      <c r="E8" s="228" t="s">
        <v>972</v>
      </c>
      <c r="F8" s="229"/>
      <c r="G8" s="229"/>
      <c r="H8" s="230"/>
      <c r="I8" s="62"/>
      <c r="J8" s="27"/>
      <c r="K8" s="234"/>
      <c r="L8" s="235"/>
      <c r="M8" s="236"/>
      <c r="N8" s="92"/>
      <c r="O8" s="210"/>
      <c r="P8" s="211"/>
      <c r="Q8" s="211"/>
      <c r="R8" s="211"/>
      <c r="S8" s="211"/>
      <c r="T8" s="211"/>
      <c r="U8" s="212"/>
    </row>
    <row r="9" spans="1:21" ht="14.45" customHeight="1">
      <c r="A9" s="45"/>
      <c r="B9" s="22" t="s">
        <v>8</v>
      </c>
      <c r="C9" s="22"/>
      <c r="D9" s="23"/>
      <c r="E9" s="237" t="s">
        <v>68</v>
      </c>
      <c r="F9" s="238"/>
      <c r="G9" s="238"/>
      <c r="H9" s="239"/>
      <c r="I9" s="61" t="s">
        <v>9</v>
      </c>
      <c r="J9" s="27"/>
      <c r="K9" s="86"/>
      <c r="L9" s="88">
        <f>SUM(N14:N24)</f>
        <v>106</v>
      </c>
      <c r="M9" s="82"/>
      <c r="N9" s="93">
        <f>SUMIF(M14:M14,"■",N14:N14)</f>
        <v>0</v>
      </c>
      <c r="O9" s="210"/>
      <c r="P9" s="211"/>
      <c r="Q9" s="211"/>
      <c r="R9" s="211"/>
      <c r="S9" s="211"/>
      <c r="T9" s="211"/>
      <c r="U9" s="212"/>
    </row>
    <row r="10" spans="1:21" ht="14.45" customHeight="1">
      <c r="A10" s="45"/>
      <c r="B10" s="22" t="s">
        <v>10</v>
      </c>
      <c r="C10" s="22"/>
      <c r="D10" s="23"/>
      <c r="E10" s="219" t="s">
        <v>68</v>
      </c>
      <c r="F10" s="220"/>
      <c r="G10" s="220"/>
      <c r="H10" s="221"/>
      <c r="I10" s="61" t="s">
        <v>11</v>
      </c>
      <c r="J10" s="27"/>
      <c r="K10" s="86"/>
      <c r="L10" s="89">
        <f>E11*L9/1000</f>
        <v>0</v>
      </c>
      <c r="M10" s="82"/>
      <c r="N10" s="55"/>
      <c r="O10" s="210"/>
      <c r="P10" s="211"/>
      <c r="Q10" s="211"/>
      <c r="R10" s="211"/>
      <c r="S10" s="211"/>
      <c r="T10" s="211"/>
      <c r="U10" s="212"/>
    </row>
    <row r="11" spans="1:21" ht="17.25" customHeight="1" thickBot="1">
      <c r="A11" s="46"/>
      <c r="B11" s="24" t="s">
        <v>29</v>
      </c>
      <c r="C11" s="24"/>
      <c r="D11" s="25"/>
      <c r="E11" s="207"/>
      <c r="F11" s="208"/>
      <c r="G11" s="208"/>
      <c r="H11" s="209"/>
      <c r="I11" s="103" t="s">
        <v>12</v>
      </c>
      <c r="J11" s="104"/>
      <c r="K11" s="87"/>
      <c r="L11" s="90"/>
      <c r="M11" s="83"/>
      <c r="N11" s="56"/>
      <c r="O11" s="210"/>
      <c r="P11" s="211"/>
      <c r="Q11" s="211"/>
      <c r="R11" s="211"/>
      <c r="S11" s="211"/>
      <c r="T11" s="211"/>
      <c r="U11" s="212"/>
    </row>
    <row r="12" spans="1:21" ht="15.75" customHeight="1" thickBot="1">
      <c r="A12" s="64"/>
      <c r="B12" s="65"/>
      <c r="C12" s="30"/>
      <c r="D12" s="30"/>
      <c r="E12" s="31"/>
      <c r="F12" s="32"/>
      <c r="G12" s="29"/>
      <c r="H12" s="28"/>
      <c r="I12" s="29"/>
      <c r="J12" s="30" t="s">
        <v>13</v>
      </c>
      <c r="K12" s="31"/>
      <c r="L12" s="66"/>
      <c r="M12" s="48"/>
      <c r="N12" s="57">
        <f>COUNTA(H14:H14)</f>
        <v>1</v>
      </c>
      <c r="O12" s="213"/>
      <c r="P12" s="214"/>
      <c r="Q12" s="214"/>
      <c r="R12" s="214"/>
      <c r="S12" s="214"/>
      <c r="T12" s="214"/>
      <c r="U12" s="21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16" t="s">
        <v>32</v>
      </c>
      <c r="Q13" s="217"/>
      <c r="R13" s="217"/>
      <c r="S13" s="217"/>
      <c r="T13" s="217"/>
      <c r="U13" s="218"/>
    </row>
    <row r="14" spans="1:21" ht="15.75" customHeight="1">
      <c r="A14" s="85" t="s">
        <v>188</v>
      </c>
      <c r="B14" s="37">
        <f>ROW()-13</f>
        <v>1</v>
      </c>
      <c r="C14" s="145" t="s">
        <v>976</v>
      </c>
      <c r="D14" s="80"/>
      <c r="E14" s="81"/>
      <c r="F14" s="146" t="s">
        <v>977</v>
      </c>
      <c r="G14" s="17"/>
      <c r="H14" s="18" t="s">
        <v>49</v>
      </c>
      <c r="I14" s="59"/>
      <c r="J14" s="19">
        <v>4</v>
      </c>
      <c r="K14" s="19"/>
      <c r="L14" s="50" t="s">
        <v>187</v>
      </c>
      <c r="M14" s="73" t="s">
        <v>21</v>
      </c>
      <c r="N14" s="54">
        <f t="shared" ref="N14:N22" si="0">IF(H14="NUMBER",IF(J14&gt;0,INT((J14+1)/2+0.9),0),IF(H14="DATE",7,IF(OR(H14="LONG",H14="LONG RAW"),100000,J14)))</f>
        <v>4</v>
      </c>
      <c r="O14" s="167"/>
      <c r="P14" s="203"/>
      <c r="Q14" s="204"/>
      <c r="R14" s="204"/>
      <c r="S14" s="204"/>
      <c r="T14" s="204"/>
      <c r="U14" s="205"/>
    </row>
    <row r="15" spans="1:21" ht="15.75" customHeight="1">
      <c r="A15" s="85"/>
      <c r="B15" s="37">
        <f>ROW()-13</f>
        <v>2</v>
      </c>
      <c r="C15" s="145" t="s">
        <v>978</v>
      </c>
      <c r="D15" s="80"/>
      <c r="E15" s="81"/>
      <c r="F15" s="146" t="s">
        <v>979</v>
      </c>
      <c r="G15" s="17"/>
      <c r="H15" s="18" t="s">
        <v>49</v>
      </c>
      <c r="I15" s="59"/>
      <c r="J15" s="19">
        <v>50</v>
      </c>
      <c r="K15" s="19"/>
      <c r="L15" s="50"/>
      <c r="M15" s="73" t="s">
        <v>21</v>
      </c>
      <c r="N15" s="54">
        <f t="shared" si="0"/>
        <v>50</v>
      </c>
      <c r="O15" s="167"/>
      <c r="P15" s="203"/>
      <c r="Q15" s="204"/>
      <c r="R15" s="204"/>
      <c r="S15" s="204"/>
      <c r="T15" s="204"/>
      <c r="U15" s="205"/>
    </row>
    <row r="16" spans="1:21" ht="15.75">
      <c r="A16" s="85"/>
      <c r="B16" s="37">
        <f t="shared" ref="B16:B22" si="1">ROW()-13</f>
        <v>3</v>
      </c>
      <c r="C16" s="107" t="s">
        <v>36</v>
      </c>
      <c r="D16" s="107"/>
      <c r="E16" s="108"/>
      <c r="F16" s="109" t="s">
        <v>78</v>
      </c>
      <c r="G16" s="110"/>
      <c r="H16" s="18" t="s">
        <v>51</v>
      </c>
      <c r="I16" s="59"/>
      <c r="J16" s="113">
        <v>12</v>
      </c>
      <c r="K16" s="113"/>
      <c r="L16" s="114"/>
      <c r="M16" s="115" t="s">
        <v>35</v>
      </c>
      <c r="N16" s="116">
        <f t="shared" si="0"/>
        <v>12</v>
      </c>
      <c r="O16" s="168"/>
      <c r="P16" s="200"/>
      <c r="Q16" s="201"/>
      <c r="R16" s="201"/>
      <c r="S16" s="201"/>
      <c r="T16" s="201"/>
      <c r="U16" s="202"/>
    </row>
    <row r="17" spans="1:21" ht="15.75">
      <c r="A17" s="85"/>
      <c r="B17" s="37">
        <f t="shared" si="1"/>
        <v>4</v>
      </c>
      <c r="C17" s="107" t="s">
        <v>37</v>
      </c>
      <c r="D17" s="107"/>
      <c r="E17" s="108"/>
      <c r="F17" s="109" t="s">
        <v>43</v>
      </c>
      <c r="G17" s="110"/>
      <c r="H17" s="18" t="s">
        <v>51</v>
      </c>
      <c r="I17" s="59"/>
      <c r="J17" s="113">
        <v>10</v>
      </c>
      <c r="K17" s="113"/>
      <c r="L17" s="114"/>
      <c r="M17" s="115" t="s">
        <v>21</v>
      </c>
      <c r="N17" s="116">
        <f t="shared" si="0"/>
        <v>10</v>
      </c>
      <c r="O17" s="168"/>
      <c r="P17" s="200"/>
      <c r="Q17" s="201"/>
      <c r="R17" s="201"/>
      <c r="S17" s="201"/>
      <c r="T17" s="201"/>
      <c r="U17" s="202"/>
    </row>
    <row r="18" spans="1:21" ht="15.75">
      <c r="A18" s="85"/>
      <c r="B18" s="37">
        <f t="shared" si="1"/>
        <v>5</v>
      </c>
      <c r="C18" s="107" t="s">
        <v>38</v>
      </c>
      <c r="D18" s="107"/>
      <c r="E18" s="108"/>
      <c r="F18" s="109" t="s">
        <v>80</v>
      </c>
      <c r="G18" s="110"/>
      <c r="H18" s="18" t="s">
        <v>86</v>
      </c>
      <c r="I18" s="59"/>
      <c r="J18" s="113"/>
      <c r="K18" s="113"/>
      <c r="L18" s="114"/>
      <c r="M18" s="115" t="s">
        <v>21</v>
      </c>
      <c r="N18" s="116">
        <f t="shared" si="0"/>
        <v>0</v>
      </c>
      <c r="O18" s="168"/>
      <c r="P18" s="200"/>
      <c r="Q18" s="201"/>
      <c r="R18" s="201"/>
      <c r="S18" s="201"/>
      <c r="T18" s="201"/>
      <c r="U18" s="202"/>
    </row>
    <row r="19" spans="1:21" ht="15.75">
      <c r="A19" s="85"/>
      <c r="B19" s="37">
        <f t="shared" si="1"/>
        <v>6</v>
      </c>
      <c r="C19" s="107" t="s">
        <v>39</v>
      </c>
      <c r="D19" s="107"/>
      <c r="E19" s="108"/>
      <c r="F19" s="109" t="s">
        <v>79</v>
      </c>
      <c r="G19" s="110"/>
      <c r="H19" s="18" t="s">
        <v>51</v>
      </c>
      <c r="I19" s="59"/>
      <c r="J19" s="113">
        <v>12</v>
      </c>
      <c r="K19" s="113"/>
      <c r="L19" s="114"/>
      <c r="M19" s="115" t="s">
        <v>35</v>
      </c>
      <c r="N19" s="116">
        <f t="shared" si="0"/>
        <v>12</v>
      </c>
      <c r="O19" s="168"/>
      <c r="P19" s="200"/>
      <c r="Q19" s="201"/>
      <c r="R19" s="201"/>
      <c r="S19" s="201"/>
      <c r="T19" s="201"/>
      <c r="U19" s="202"/>
    </row>
    <row r="20" spans="1:21" ht="15.75">
      <c r="A20" s="85"/>
      <c r="B20" s="37">
        <f t="shared" si="1"/>
        <v>7</v>
      </c>
      <c r="C20" s="107" t="s">
        <v>40</v>
      </c>
      <c r="D20" s="107"/>
      <c r="E20" s="108"/>
      <c r="F20" s="109" t="s">
        <v>44</v>
      </c>
      <c r="G20" s="110"/>
      <c r="H20" s="18" t="s">
        <v>51</v>
      </c>
      <c r="I20" s="59"/>
      <c r="J20" s="113">
        <v>10</v>
      </c>
      <c r="K20" s="113"/>
      <c r="L20" s="114"/>
      <c r="M20" s="115" t="s">
        <v>21</v>
      </c>
      <c r="N20" s="116">
        <f t="shared" si="0"/>
        <v>10</v>
      </c>
      <c r="O20" s="168"/>
      <c r="P20" s="200"/>
      <c r="Q20" s="201"/>
      <c r="R20" s="201"/>
      <c r="S20" s="201"/>
      <c r="T20" s="201"/>
      <c r="U20" s="202"/>
    </row>
    <row r="21" spans="1:21" ht="15.75">
      <c r="A21" s="85"/>
      <c r="B21" s="37">
        <f t="shared" si="1"/>
        <v>8</v>
      </c>
      <c r="C21" s="107" t="s">
        <v>41</v>
      </c>
      <c r="D21" s="107"/>
      <c r="E21" s="108"/>
      <c r="F21" s="109" t="s">
        <v>81</v>
      </c>
      <c r="G21" s="110"/>
      <c r="H21" s="18" t="s">
        <v>86</v>
      </c>
      <c r="I21" s="59"/>
      <c r="J21" s="113"/>
      <c r="K21" s="113"/>
      <c r="L21" s="114"/>
      <c r="M21" s="115" t="s">
        <v>21</v>
      </c>
      <c r="N21" s="116">
        <f t="shared" si="0"/>
        <v>0</v>
      </c>
      <c r="O21" s="168"/>
      <c r="P21" s="200"/>
      <c r="Q21" s="201"/>
      <c r="R21" s="201"/>
      <c r="S21" s="201"/>
      <c r="T21" s="201"/>
      <c r="U21" s="202"/>
    </row>
    <row r="22" spans="1:21" ht="15.75">
      <c r="A22" s="85"/>
      <c r="B22" s="37">
        <f t="shared" si="1"/>
        <v>9</v>
      </c>
      <c r="C22" s="80" t="s">
        <v>46</v>
      </c>
      <c r="D22" s="80"/>
      <c r="E22" s="81"/>
      <c r="F22" s="84" t="s">
        <v>71</v>
      </c>
      <c r="G22" s="17"/>
      <c r="H22" s="18" t="s">
        <v>62</v>
      </c>
      <c r="I22" s="59"/>
      <c r="J22" s="19">
        <v>8</v>
      </c>
      <c r="K22" s="19"/>
      <c r="L22" s="50" t="s">
        <v>47</v>
      </c>
      <c r="M22" s="73" t="s">
        <v>35</v>
      </c>
      <c r="N22" s="54">
        <f t="shared" si="0"/>
        <v>8</v>
      </c>
      <c r="O22" s="167">
        <v>0</v>
      </c>
      <c r="P22" s="203" t="s">
        <v>48</v>
      </c>
      <c r="Q22" s="204"/>
      <c r="R22" s="204"/>
      <c r="S22" s="204"/>
      <c r="T22" s="204"/>
      <c r="U22" s="205"/>
    </row>
    <row r="23" spans="1:21" ht="16.5" thickBot="1">
      <c r="A23" s="118"/>
      <c r="B23" s="119"/>
      <c r="C23" s="120"/>
      <c r="D23" s="120"/>
      <c r="E23" s="121"/>
      <c r="F23" s="129"/>
      <c r="G23" s="122"/>
      <c r="H23" s="147"/>
      <c r="I23" s="148"/>
      <c r="J23" s="125"/>
      <c r="K23" s="125"/>
      <c r="L23" s="126"/>
      <c r="M23" s="126"/>
      <c r="N23" s="127"/>
      <c r="O23" s="169"/>
      <c r="P23" s="197"/>
      <c r="Q23" s="198"/>
      <c r="R23" s="198"/>
      <c r="S23" s="198"/>
      <c r="T23" s="198"/>
      <c r="U23" s="199"/>
    </row>
  </sheetData>
  <mergeCells count="40">
    <mergeCell ref="O1:U1"/>
    <mergeCell ref="J2:K2"/>
    <mergeCell ref="L2:M2"/>
    <mergeCell ref="O2:U2"/>
    <mergeCell ref="J3:K3"/>
    <mergeCell ref="L3:M3"/>
    <mergeCell ref="O3:U3"/>
    <mergeCell ref="J4:K4"/>
    <mergeCell ref="L4:M4"/>
    <mergeCell ref="O4:U4"/>
    <mergeCell ref="J5:K5"/>
    <mergeCell ref="L5:M5"/>
    <mergeCell ref="O5:U5"/>
    <mergeCell ref="E6:H6"/>
    <mergeCell ref="K6:M6"/>
    <mergeCell ref="O6:U6"/>
    <mergeCell ref="E7:H7"/>
    <mergeCell ref="K7:M7"/>
    <mergeCell ref="O7:U7"/>
    <mergeCell ref="P15:U15"/>
    <mergeCell ref="E8:H8"/>
    <mergeCell ref="K8:M8"/>
    <mergeCell ref="O8:U8"/>
    <mergeCell ref="E9:H9"/>
    <mergeCell ref="O9:U9"/>
    <mergeCell ref="E10:H10"/>
    <mergeCell ref="O10:U10"/>
    <mergeCell ref="E11:H11"/>
    <mergeCell ref="O11:U11"/>
    <mergeCell ref="O12:U12"/>
    <mergeCell ref="P13:U13"/>
    <mergeCell ref="P14:U14"/>
    <mergeCell ref="P22:U22"/>
    <mergeCell ref="P23:U23"/>
    <mergeCell ref="P16:U16"/>
    <mergeCell ref="P17:U17"/>
    <mergeCell ref="P18:U18"/>
    <mergeCell ref="P19:U19"/>
    <mergeCell ref="P20:U20"/>
    <mergeCell ref="P21:U21"/>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9393"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59394"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59395"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59396"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59397"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59398"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287DDEFA-F60D-4234-AC12-A69A73CECD93}">
            <xm:f>(AND(H14&lt;&gt;"",ISERROR(VLOOKUP(H14,system!$E:$E,1,FALSE))))</xm:f>
            <x14:dxf>
              <fill>
                <patternFill patternType="solid">
                  <bgColor rgb="FFFF0000"/>
                </patternFill>
              </fill>
            </x14:dxf>
          </x14:cfRule>
          <xm:sqref>H14:H15</xm:sqref>
        </x14:conditionalFormatting>
        <x14:conditionalFormatting xmlns:xm="http://schemas.microsoft.com/office/excel/2006/main">
          <x14:cfRule type="expression" priority="3" id="{6FEE8569-9034-43F3-BC0D-E5B742926BD1}">
            <xm:f>(AND(H14&lt;&gt;"",ISERROR(VLOOKUP(H14,system!$E:$E,1,FALSE))))</xm:f>
            <x14:dxf>
              <fill>
                <patternFill>
                  <bgColor rgb="FFFF0000"/>
                </patternFill>
              </fill>
            </x14:dxf>
          </x14:cfRule>
          <xm:sqref>I14:I15</xm:sqref>
        </x14:conditionalFormatting>
        <x14:conditionalFormatting xmlns:xm="http://schemas.microsoft.com/office/excel/2006/main">
          <x14:cfRule type="expression" priority="2" id="{CC116DEE-3D4F-4F8B-9AF0-67A84E665E1F}">
            <xm:f>(AND(H16&lt;&gt;"",ISERROR(VLOOKUP(H16,system!$E:$E,1,FALSE))))</xm:f>
            <x14:dxf>
              <fill>
                <patternFill patternType="solid">
                  <bgColor rgb="FFFF0000"/>
                </patternFill>
              </fill>
            </x14:dxf>
          </x14:cfRule>
          <xm:sqref>H16:H23</xm:sqref>
        </x14:conditionalFormatting>
        <x14:conditionalFormatting xmlns:xm="http://schemas.microsoft.com/office/excel/2006/main">
          <x14:cfRule type="expression" priority="1" id="{0152FF0E-6865-4A7B-9788-C08596021EE4}">
            <xm:f>(AND(H16&lt;&gt;"",ISERROR(VLOOKUP(H16,system!$E:$E,1,FALSE))))</xm:f>
            <x14:dxf>
              <fill>
                <patternFill>
                  <bgColor rgb="FFFF0000"/>
                </patternFill>
              </fill>
            </x14:dxf>
          </x14:cfRule>
          <xm:sqref>I16:I23</xm:sqref>
        </x14:conditionalFormatting>
      </x14:conditionalFormatting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8">
    <pageSetUpPr fitToPage="1"/>
  </sheetPr>
  <dimension ref="A1:U27"/>
  <sheetViews>
    <sheetView showGridLines="0" zoomScaleNormal="100" workbookViewId="0">
      <pane ySplit="13" topLeftCell="A14" activePane="bottomLeft" state="frozen"/>
      <selection activeCell="D13" sqref="D13"/>
      <selection pane="bottomLeft" activeCell="J15" sqref="J15"/>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7" t="s">
        <v>27</v>
      </c>
      <c r="P1" s="248"/>
      <c r="Q1" s="248"/>
      <c r="R1" s="248"/>
      <c r="S1" s="248"/>
      <c r="T1" s="248"/>
      <c r="U1" s="249"/>
    </row>
    <row r="2" spans="1:21" ht="14.45" customHeight="1">
      <c r="A2" s="39"/>
      <c r="B2" s="100" t="s">
        <v>64</v>
      </c>
      <c r="C2" s="5"/>
      <c r="D2" s="5"/>
      <c r="E2" s="5"/>
      <c r="F2" s="5"/>
      <c r="G2" s="6"/>
      <c r="H2" s="7"/>
      <c r="I2" s="8"/>
      <c r="J2" s="250"/>
      <c r="K2" s="251"/>
      <c r="L2" s="250"/>
      <c r="M2" s="251"/>
      <c r="N2" s="52"/>
      <c r="O2" s="252" t="s">
        <v>983</v>
      </c>
      <c r="P2" s="253"/>
      <c r="Q2" s="253"/>
      <c r="R2" s="253"/>
      <c r="S2" s="253"/>
      <c r="T2" s="253"/>
      <c r="U2" s="254"/>
    </row>
    <row r="3" spans="1:21" ht="14.25" customHeight="1">
      <c r="A3" s="40"/>
      <c r="B3" s="35"/>
      <c r="C3" s="5"/>
      <c r="D3" s="5"/>
      <c r="E3" s="5"/>
      <c r="F3" s="5"/>
      <c r="G3" s="9"/>
      <c r="H3" s="10"/>
      <c r="I3" s="176" t="s">
        <v>1032</v>
      </c>
      <c r="J3" s="255" t="s">
        <v>1032</v>
      </c>
      <c r="K3" s="256"/>
      <c r="L3" s="255" t="s">
        <v>1032</v>
      </c>
      <c r="M3" s="256"/>
      <c r="N3" s="52"/>
      <c r="O3" s="257"/>
      <c r="P3" s="258"/>
      <c r="Q3" s="258"/>
      <c r="R3" s="258"/>
      <c r="S3" s="258"/>
      <c r="T3" s="258"/>
      <c r="U3" s="259"/>
    </row>
    <row r="4" spans="1:21" ht="14.45" customHeight="1">
      <c r="A4" s="41"/>
      <c r="B4" s="36" t="s">
        <v>3</v>
      </c>
      <c r="C4" s="5"/>
      <c r="D4" s="5"/>
      <c r="E4" s="5"/>
      <c r="F4" s="5"/>
      <c r="G4" s="6"/>
      <c r="H4" s="10"/>
      <c r="I4" s="177" t="s">
        <v>1035</v>
      </c>
      <c r="J4" s="240" t="s">
        <v>1034</v>
      </c>
      <c r="K4" s="241"/>
      <c r="L4" s="240" t="s">
        <v>1033</v>
      </c>
      <c r="M4" s="241"/>
      <c r="N4" s="52"/>
      <c r="O4" s="210"/>
      <c r="P4" s="211"/>
      <c r="Q4" s="211"/>
      <c r="R4" s="211"/>
      <c r="S4" s="211"/>
      <c r="T4" s="211"/>
      <c r="U4" s="212"/>
    </row>
    <row r="5" spans="1:21" ht="14.45" customHeight="1" thickBot="1">
      <c r="A5" s="42"/>
      <c r="B5" s="11"/>
      <c r="C5" s="11"/>
      <c r="D5" s="11"/>
      <c r="E5" s="11"/>
      <c r="F5" s="11"/>
      <c r="G5" s="12"/>
      <c r="H5" s="13"/>
      <c r="I5" s="14"/>
      <c r="J5" s="242"/>
      <c r="K5" s="243"/>
      <c r="L5" s="244"/>
      <c r="M5" s="245"/>
      <c r="N5" s="53"/>
      <c r="O5" s="246"/>
      <c r="P5" s="211"/>
      <c r="Q5" s="211"/>
      <c r="R5" s="211"/>
      <c r="S5" s="211"/>
      <c r="T5" s="211"/>
      <c r="U5" s="212"/>
    </row>
    <row r="6" spans="1:21" ht="14.45" customHeight="1">
      <c r="A6" s="43"/>
      <c r="B6" s="101" t="s">
        <v>4</v>
      </c>
      <c r="C6" s="20"/>
      <c r="D6" s="21"/>
      <c r="E6" s="222" t="s">
        <v>65</v>
      </c>
      <c r="F6" s="223"/>
      <c r="G6" s="223"/>
      <c r="H6" s="224"/>
      <c r="I6" s="60" t="s">
        <v>26</v>
      </c>
      <c r="J6" s="26"/>
      <c r="K6" s="225" t="s">
        <v>33</v>
      </c>
      <c r="L6" s="226"/>
      <c r="M6" s="227"/>
      <c r="N6" s="91" t="s">
        <v>5</v>
      </c>
      <c r="O6" s="210"/>
      <c r="P6" s="211"/>
      <c r="Q6" s="211"/>
      <c r="R6" s="211"/>
      <c r="S6" s="211"/>
      <c r="T6" s="211"/>
      <c r="U6" s="212"/>
    </row>
    <row r="7" spans="1:21" ht="15.75" customHeight="1">
      <c r="A7" s="44"/>
      <c r="B7" s="102" t="s">
        <v>6</v>
      </c>
      <c r="C7" s="22"/>
      <c r="D7" s="23"/>
      <c r="E7" s="228" t="s">
        <v>177</v>
      </c>
      <c r="F7" s="229"/>
      <c r="G7" s="229"/>
      <c r="H7" s="230"/>
      <c r="I7" s="61" t="s">
        <v>28</v>
      </c>
      <c r="J7" s="27"/>
      <c r="K7" s="231" t="s">
        <v>34</v>
      </c>
      <c r="L7" s="232"/>
      <c r="M7" s="233"/>
      <c r="N7" s="92">
        <f>COUNTIF(H14:H14,"LONG")+COUNTIF(H14:H14,"LONG RAW")</f>
        <v>0</v>
      </c>
      <c r="O7" s="210"/>
      <c r="P7" s="211"/>
      <c r="Q7" s="211"/>
      <c r="R7" s="211"/>
      <c r="S7" s="211"/>
      <c r="T7" s="211"/>
      <c r="U7" s="212"/>
    </row>
    <row r="8" spans="1:21" ht="14.45" customHeight="1">
      <c r="A8" s="45"/>
      <c r="B8" s="22" t="s">
        <v>7</v>
      </c>
      <c r="C8" s="22"/>
      <c r="D8" s="23"/>
      <c r="E8" s="228" t="s">
        <v>980</v>
      </c>
      <c r="F8" s="229"/>
      <c r="G8" s="229"/>
      <c r="H8" s="230"/>
      <c r="I8" s="62"/>
      <c r="J8" s="27"/>
      <c r="K8" s="234"/>
      <c r="L8" s="235"/>
      <c r="M8" s="236"/>
      <c r="N8" s="92"/>
      <c r="O8" s="210"/>
      <c r="P8" s="211"/>
      <c r="Q8" s="211"/>
      <c r="R8" s="211"/>
      <c r="S8" s="211"/>
      <c r="T8" s="211"/>
      <c r="U8" s="212"/>
    </row>
    <row r="9" spans="1:21" ht="14.45" customHeight="1">
      <c r="A9" s="45"/>
      <c r="B9" s="22" t="s">
        <v>8</v>
      </c>
      <c r="C9" s="22"/>
      <c r="D9" s="23"/>
      <c r="E9" s="237" t="s">
        <v>68</v>
      </c>
      <c r="F9" s="238"/>
      <c r="G9" s="238"/>
      <c r="H9" s="239"/>
      <c r="I9" s="61" t="s">
        <v>9</v>
      </c>
      <c r="J9" s="27"/>
      <c r="K9" s="86"/>
      <c r="L9" s="88">
        <f>SUM(N14:N28)</f>
        <v>154</v>
      </c>
      <c r="M9" s="82"/>
      <c r="N9" s="93">
        <f>SUMIF(M14:M14,"■",N14:N14)</f>
        <v>0</v>
      </c>
      <c r="O9" s="210"/>
      <c r="P9" s="211"/>
      <c r="Q9" s="211"/>
      <c r="R9" s="211"/>
      <c r="S9" s="211"/>
      <c r="T9" s="211"/>
      <c r="U9" s="212"/>
    </row>
    <row r="10" spans="1:21" ht="14.45" customHeight="1">
      <c r="A10" s="45"/>
      <c r="B10" s="22" t="s">
        <v>10</v>
      </c>
      <c r="C10" s="22"/>
      <c r="D10" s="23"/>
      <c r="E10" s="219" t="s">
        <v>68</v>
      </c>
      <c r="F10" s="220"/>
      <c r="G10" s="220"/>
      <c r="H10" s="221"/>
      <c r="I10" s="61" t="s">
        <v>11</v>
      </c>
      <c r="J10" s="27"/>
      <c r="K10" s="86"/>
      <c r="L10" s="89">
        <f>E11*L9/1000</f>
        <v>0</v>
      </c>
      <c r="M10" s="82"/>
      <c r="N10" s="55"/>
      <c r="O10" s="210"/>
      <c r="P10" s="211"/>
      <c r="Q10" s="211"/>
      <c r="R10" s="211"/>
      <c r="S10" s="211"/>
      <c r="T10" s="211"/>
      <c r="U10" s="212"/>
    </row>
    <row r="11" spans="1:21" ht="17.25" customHeight="1" thickBot="1">
      <c r="A11" s="46"/>
      <c r="B11" s="24" t="s">
        <v>29</v>
      </c>
      <c r="C11" s="24"/>
      <c r="D11" s="25"/>
      <c r="E11" s="207"/>
      <c r="F11" s="208"/>
      <c r="G11" s="208"/>
      <c r="H11" s="209"/>
      <c r="I11" s="103" t="s">
        <v>12</v>
      </c>
      <c r="J11" s="104"/>
      <c r="K11" s="87"/>
      <c r="L11" s="90"/>
      <c r="M11" s="83"/>
      <c r="N11" s="56"/>
      <c r="O11" s="210"/>
      <c r="P11" s="211"/>
      <c r="Q11" s="211"/>
      <c r="R11" s="211"/>
      <c r="S11" s="211"/>
      <c r="T11" s="211"/>
      <c r="U11" s="212"/>
    </row>
    <row r="12" spans="1:21" ht="15.75" customHeight="1" thickBot="1">
      <c r="A12" s="64"/>
      <c r="B12" s="65"/>
      <c r="C12" s="30"/>
      <c r="D12" s="30"/>
      <c r="E12" s="31"/>
      <c r="F12" s="32"/>
      <c r="G12" s="29"/>
      <c r="H12" s="28"/>
      <c r="I12" s="29"/>
      <c r="J12" s="30" t="s">
        <v>13</v>
      </c>
      <c r="K12" s="31"/>
      <c r="L12" s="66"/>
      <c r="M12" s="48"/>
      <c r="N12" s="57">
        <f>COUNTA(H14:H14)</f>
        <v>1</v>
      </c>
      <c r="O12" s="213"/>
      <c r="P12" s="214"/>
      <c r="Q12" s="214"/>
      <c r="R12" s="214"/>
      <c r="S12" s="214"/>
      <c r="T12" s="214"/>
      <c r="U12" s="21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16" t="s">
        <v>32</v>
      </c>
      <c r="Q13" s="217"/>
      <c r="R13" s="217"/>
      <c r="S13" s="217"/>
      <c r="T13" s="217"/>
      <c r="U13" s="218"/>
    </row>
    <row r="14" spans="1:21" ht="15.75" customHeight="1">
      <c r="A14" s="85" t="s">
        <v>188</v>
      </c>
      <c r="B14" s="37">
        <f t="shared" ref="B14:B19" si="0">ROW()-13</f>
        <v>1</v>
      </c>
      <c r="C14" s="145" t="s">
        <v>984</v>
      </c>
      <c r="D14" s="80"/>
      <c r="E14" s="81"/>
      <c r="F14" s="146" t="s">
        <v>985</v>
      </c>
      <c r="G14" s="17"/>
      <c r="H14" s="18" t="s">
        <v>51</v>
      </c>
      <c r="I14" s="59"/>
      <c r="J14" s="19">
        <v>15</v>
      </c>
      <c r="K14" s="19"/>
      <c r="L14" s="50" t="s">
        <v>187</v>
      </c>
      <c r="M14" s="73" t="s">
        <v>21</v>
      </c>
      <c r="N14" s="54">
        <f t="shared" ref="N14:N26" si="1">IF(H14="NUMBER",IF(J14&gt;0,INT((J14+1)/2+0.9),0),IF(H14="DATE",7,IF(OR(H14="LONG",H14="LONG RAW"),100000,J14)))</f>
        <v>15</v>
      </c>
      <c r="O14" s="167"/>
      <c r="P14" s="203"/>
      <c r="Q14" s="204"/>
      <c r="R14" s="204"/>
      <c r="S14" s="204"/>
      <c r="T14" s="204"/>
      <c r="U14" s="205"/>
    </row>
    <row r="15" spans="1:21" ht="15.75" customHeight="1">
      <c r="A15" s="85"/>
      <c r="B15" s="37">
        <f t="shared" si="0"/>
        <v>2</v>
      </c>
      <c r="C15" s="145" t="s">
        <v>986</v>
      </c>
      <c r="D15" s="80"/>
      <c r="E15" s="81"/>
      <c r="F15" s="146" t="s">
        <v>987</v>
      </c>
      <c r="G15" s="17"/>
      <c r="H15" s="18" t="s">
        <v>49</v>
      </c>
      <c r="I15" s="59"/>
      <c r="J15" s="19">
        <v>4</v>
      </c>
      <c r="K15" s="19"/>
      <c r="L15" s="50"/>
      <c r="M15" s="73" t="s">
        <v>21</v>
      </c>
      <c r="N15" s="54">
        <f t="shared" si="1"/>
        <v>4</v>
      </c>
      <c r="O15" s="167"/>
      <c r="P15" s="203"/>
      <c r="Q15" s="204"/>
      <c r="R15" s="204"/>
      <c r="S15" s="204"/>
      <c r="T15" s="204"/>
      <c r="U15" s="205"/>
    </row>
    <row r="16" spans="1:21" ht="15.75" customHeight="1">
      <c r="A16" s="85"/>
      <c r="B16" s="37">
        <f t="shared" si="0"/>
        <v>3</v>
      </c>
      <c r="C16" s="145" t="s">
        <v>945</v>
      </c>
      <c r="D16" s="80"/>
      <c r="E16" s="81"/>
      <c r="F16" s="146" t="s">
        <v>946</v>
      </c>
      <c r="G16" s="17"/>
      <c r="H16" s="18" t="s">
        <v>49</v>
      </c>
      <c r="I16" s="59"/>
      <c r="J16" s="19">
        <v>1</v>
      </c>
      <c r="K16" s="19"/>
      <c r="L16" s="50"/>
      <c r="M16" s="73" t="s">
        <v>21</v>
      </c>
      <c r="N16" s="54">
        <f t="shared" si="1"/>
        <v>1</v>
      </c>
      <c r="O16" s="167"/>
      <c r="P16" s="203"/>
      <c r="Q16" s="204"/>
      <c r="R16" s="204"/>
      <c r="S16" s="204"/>
      <c r="T16" s="204"/>
      <c r="U16" s="205"/>
    </row>
    <row r="17" spans="1:21" ht="15.75" customHeight="1">
      <c r="A17" s="85"/>
      <c r="B17" s="37">
        <f t="shared" si="0"/>
        <v>4</v>
      </c>
      <c r="C17" s="145" t="s">
        <v>988</v>
      </c>
      <c r="D17" s="80"/>
      <c r="E17" s="81"/>
      <c r="F17" s="146" t="s">
        <v>989</v>
      </c>
      <c r="G17" s="17"/>
      <c r="H17" s="18" t="s">
        <v>49</v>
      </c>
      <c r="I17" s="59"/>
      <c r="J17" s="19">
        <v>2</v>
      </c>
      <c r="K17" s="19"/>
      <c r="L17" s="50"/>
      <c r="M17" s="73" t="s">
        <v>21</v>
      </c>
      <c r="N17" s="54">
        <f t="shared" si="1"/>
        <v>2</v>
      </c>
      <c r="O17" s="167"/>
      <c r="P17" s="203"/>
      <c r="Q17" s="204"/>
      <c r="R17" s="204"/>
      <c r="S17" s="204"/>
      <c r="T17" s="204"/>
      <c r="U17" s="205"/>
    </row>
    <row r="18" spans="1:21" ht="15.75" customHeight="1">
      <c r="A18" s="85"/>
      <c r="B18" s="37">
        <f t="shared" si="0"/>
        <v>5</v>
      </c>
      <c r="C18" s="145" t="s">
        <v>990</v>
      </c>
      <c r="D18" s="80"/>
      <c r="E18" s="81"/>
      <c r="F18" s="146" t="s">
        <v>991</v>
      </c>
      <c r="G18" s="17"/>
      <c r="H18" s="18" t="s">
        <v>51</v>
      </c>
      <c r="I18" s="59"/>
      <c r="J18" s="19">
        <v>30</v>
      </c>
      <c r="K18" s="19"/>
      <c r="L18" s="50"/>
      <c r="M18" s="73" t="s">
        <v>21</v>
      </c>
      <c r="N18" s="54">
        <f t="shared" si="1"/>
        <v>30</v>
      </c>
      <c r="O18" s="167"/>
      <c r="P18" s="203"/>
      <c r="Q18" s="204"/>
      <c r="R18" s="204"/>
      <c r="S18" s="204"/>
      <c r="T18" s="204"/>
      <c r="U18" s="205"/>
    </row>
    <row r="19" spans="1:21" ht="15.75" customHeight="1">
      <c r="A19" s="85"/>
      <c r="B19" s="37">
        <f t="shared" si="0"/>
        <v>6</v>
      </c>
      <c r="C19" s="145" t="s">
        <v>293</v>
      </c>
      <c r="D19" s="80"/>
      <c r="E19" s="81"/>
      <c r="F19" s="146" t="s">
        <v>294</v>
      </c>
      <c r="G19" s="17"/>
      <c r="H19" s="18" t="s">
        <v>51</v>
      </c>
      <c r="I19" s="59"/>
      <c r="J19" s="19">
        <v>50</v>
      </c>
      <c r="K19" s="19"/>
      <c r="L19" s="50"/>
      <c r="M19" s="73" t="s">
        <v>21</v>
      </c>
      <c r="N19" s="54">
        <f t="shared" si="1"/>
        <v>50</v>
      </c>
      <c r="O19" s="167"/>
      <c r="P19" s="203"/>
      <c r="Q19" s="204"/>
      <c r="R19" s="204"/>
      <c r="S19" s="204"/>
      <c r="T19" s="204"/>
      <c r="U19" s="205"/>
    </row>
    <row r="20" spans="1:21" ht="15.75">
      <c r="A20" s="85"/>
      <c r="B20" s="37">
        <f t="shared" ref="B20:B26" si="2">ROW()-13</f>
        <v>7</v>
      </c>
      <c r="C20" s="107" t="s">
        <v>36</v>
      </c>
      <c r="D20" s="107"/>
      <c r="E20" s="108"/>
      <c r="F20" s="109" t="s">
        <v>78</v>
      </c>
      <c r="G20" s="110"/>
      <c r="H20" s="18" t="s">
        <v>51</v>
      </c>
      <c r="I20" s="59"/>
      <c r="J20" s="113">
        <v>12</v>
      </c>
      <c r="K20" s="113"/>
      <c r="L20" s="114"/>
      <c r="M20" s="115" t="s">
        <v>35</v>
      </c>
      <c r="N20" s="116">
        <f t="shared" si="1"/>
        <v>12</v>
      </c>
      <c r="O20" s="168"/>
      <c r="P20" s="200"/>
      <c r="Q20" s="201"/>
      <c r="R20" s="201"/>
      <c r="S20" s="201"/>
      <c r="T20" s="201"/>
      <c r="U20" s="202"/>
    </row>
    <row r="21" spans="1:21" ht="15.75">
      <c r="A21" s="85"/>
      <c r="B21" s="37">
        <f t="shared" si="2"/>
        <v>8</v>
      </c>
      <c r="C21" s="107" t="s">
        <v>37</v>
      </c>
      <c r="D21" s="107"/>
      <c r="E21" s="108"/>
      <c r="F21" s="109" t="s">
        <v>43</v>
      </c>
      <c r="G21" s="110"/>
      <c r="H21" s="18" t="s">
        <v>51</v>
      </c>
      <c r="I21" s="59"/>
      <c r="J21" s="113">
        <v>10</v>
      </c>
      <c r="K21" s="113"/>
      <c r="L21" s="114"/>
      <c r="M21" s="115" t="s">
        <v>21</v>
      </c>
      <c r="N21" s="116">
        <f t="shared" si="1"/>
        <v>10</v>
      </c>
      <c r="O21" s="168"/>
      <c r="P21" s="200"/>
      <c r="Q21" s="201"/>
      <c r="R21" s="201"/>
      <c r="S21" s="201"/>
      <c r="T21" s="201"/>
      <c r="U21" s="202"/>
    </row>
    <row r="22" spans="1:21" ht="15.75">
      <c r="A22" s="85"/>
      <c r="B22" s="37">
        <f t="shared" si="2"/>
        <v>9</v>
      </c>
      <c r="C22" s="107" t="s">
        <v>38</v>
      </c>
      <c r="D22" s="107"/>
      <c r="E22" s="108"/>
      <c r="F22" s="109" t="s">
        <v>80</v>
      </c>
      <c r="G22" s="110"/>
      <c r="H22" s="18" t="s">
        <v>86</v>
      </c>
      <c r="I22" s="59"/>
      <c r="J22" s="113"/>
      <c r="K22" s="113"/>
      <c r="L22" s="114"/>
      <c r="M22" s="115" t="s">
        <v>21</v>
      </c>
      <c r="N22" s="116">
        <f t="shared" si="1"/>
        <v>0</v>
      </c>
      <c r="O22" s="168"/>
      <c r="P22" s="200"/>
      <c r="Q22" s="201"/>
      <c r="R22" s="201"/>
      <c r="S22" s="201"/>
      <c r="T22" s="201"/>
      <c r="U22" s="202"/>
    </row>
    <row r="23" spans="1:21" ht="15.75">
      <c r="A23" s="85"/>
      <c r="B23" s="37">
        <f t="shared" si="2"/>
        <v>10</v>
      </c>
      <c r="C23" s="107" t="s">
        <v>39</v>
      </c>
      <c r="D23" s="107"/>
      <c r="E23" s="108"/>
      <c r="F23" s="109" t="s">
        <v>79</v>
      </c>
      <c r="G23" s="110"/>
      <c r="H23" s="18" t="s">
        <v>51</v>
      </c>
      <c r="I23" s="59"/>
      <c r="J23" s="113">
        <v>12</v>
      </c>
      <c r="K23" s="113"/>
      <c r="L23" s="114"/>
      <c r="M23" s="115" t="s">
        <v>35</v>
      </c>
      <c r="N23" s="116">
        <f t="shared" si="1"/>
        <v>12</v>
      </c>
      <c r="O23" s="168"/>
      <c r="P23" s="200"/>
      <c r="Q23" s="201"/>
      <c r="R23" s="201"/>
      <c r="S23" s="201"/>
      <c r="T23" s="201"/>
      <c r="U23" s="202"/>
    </row>
    <row r="24" spans="1:21" ht="15.75">
      <c r="A24" s="85"/>
      <c r="B24" s="37">
        <f t="shared" si="2"/>
        <v>11</v>
      </c>
      <c r="C24" s="107" t="s">
        <v>40</v>
      </c>
      <c r="D24" s="107"/>
      <c r="E24" s="108"/>
      <c r="F24" s="109" t="s">
        <v>44</v>
      </c>
      <c r="G24" s="110"/>
      <c r="H24" s="18" t="s">
        <v>51</v>
      </c>
      <c r="I24" s="59"/>
      <c r="J24" s="113">
        <v>10</v>
      </c>
      <c r="K24" s="113"/>
      <c r="L24" s="114"/>
      <c r="M24" s="115" t="s">
        <v>21</v>
      </c>
      <c r="N24" s="116">
        <f t="shared" si="1"/>
        <v>10</v>
      </c>
      <c r="O24" s="168"/>
      <c r="P24" s="200"/>
      <c r="Q24" s="201"/>
      <c r="R24" s="201"/>
      <c r="S24" s="201"/>
      <c r="T24" s="201"/>
      <c r="U24" s="202"/>
    </row>
    <row r="25" spans="1:21" ht="15.75">
      <c r="A25" s="85"/>
      <c r="B25" s="37">
        <f t="shared" si="2"/>
        <v>12</v>
      </c>
      <c r="C25" s="107" t="s">
        <v>41</v>
      </c>
      <c r="D25" s="107"/>
      <c r="E25" s="108"/>
      <c r="F25" s="109" t="s">
        <v>81</v>
      </c>
      <c r="G25" s="110"/>
      <c r="H25" s="18" t="s">
        <v>86</v>
      </c>
      <c r="I25" s="59"/>
      <c r="J25" s="113"/>
      <c r="K25" s="113"/>
      <c r="L25" s="114"/>
      <c r="M25" s="115" t="s">
        <v>21</v>
      </c>
      <c r="N25" s="116">
        <f t="shared" si="1"/>
        <v>0</v>
      </c>
      <c r="O25" s="168"/>
      <c r="P25" s="200"/>
      <c r="Q25" s="201"/>
      <c r="R25" s="201"/>
      <c r="S25" s="201"/>
      <c r="T25" s="201"/>
      <c r="U25" s="202"/>
    </row>
    <row r="26" spans="1:21" ht="15.75">
      <c r="A26" s="85"/>
      <c r="B26" s="37">
        <f t="shared" si="2"/>
        <v>13</v>
      </c>
      <c r="C26" s="80" t="s">
        <v>46</v>
      </c>
      <c r="D26" s="80"/>
      <c r="E26" s="81"/>
      <c r="F26" s="84" t="s">
        <v>71</v>
      </c>
      <c r="G26" s="17"/>
      <c r="H26" s="18" t="s">
        <v>62</v>
      </c>
      <c r="I26" s="59"/>
      <c r="J26" s="19">
        <v>8</v>
      </c>
      <c r="K26" s="19"/>
      <c r="L26" s="50" t="s">
        <v>47</v>
      </c>
      <c r="M26" s="73" t="s">
        <v>35</v>
      </c>
      <c r="N26" s="54">
        <f t="shared" si="1"/>
        <v>8</v>
      </c>
      <c r="O26" s="167">
        <v>0</v>
      </c>
      <c r="P26" s="203" t="s">
        <v>48</v>
      </c>
      <c r="Q26" s="204"/>
      <c r="R26" s="204"/>
      <c r="S26" s="204"/>
      <c r="T26" s="204"/>
      <c r="U26" s="205"/>
    </row>
    <row r="27" spans="1:21" ht="16.5" thickBot="1">
      <c r="A27" s="118"/>
      <c r="B27" s="119"/>
      <c r="C27" s="120"/>
      <c r="D27" s="120"/>
      <c r="E27" s="121"/>
      <c r="F27" s="129"/>
      <c r="G27" s="122"/>
      <c r="H27" s="147"/>
      <c r="I27" s="148"/>
      <c r="J27" s="125"/>
      <c r="K27" s="125"/>
      <c r="L27" s="126"/>
      <c r="M27" s="126"/>
      <c r="N27" s="127"/>
      <c r="O27" s="169"/>
      <c r="P27" s="197"/>
      <c r="Q27" s="198"/>
      <c r="R27" s="198"/>
      <c r="S27" s="198"/>
      <c r="T27" s="198"/>
      <c r="U27" s="199"/>
    </row>
  </sheetData>
  <mergeCells count="44">
    <mergeCell ref="O1:U1"/>
    <mergeCell ref="J2:K2"/>
    <mergeCell ref="L2:M2"/>
    <mergeCell ref="O2:U2"/>
    <mergeCell ref="J3:K3"/>
    <mergeCell ref="L3:M3"/>
    <mergeCell ref="O3:U3"/>
    <mergeCell ref="J4:K4"/>
    <mergeCell ref="L4:M4"/>
    <mergeCell ref="O4:U4"/>
    <mergeCell ref="J5:K5"/>
    <mergeCell ref="L5:M5"/>
    <mergeCell ref="O5:U5"/>
    <mergeCell ref="E6:H6"/>
    <mergeCell ref="K6:M6"/>
    <mergeCell ref="O6:U6"/>
    <mergeCell ref="E7:H7"/>
    <mergeCell ref="K7:M7"/>
    <mergeCell ref="O7:U7"/>
    <mergeCell ref="P15:U15"/>
    <mergeCell ref="E8:H8"/>
    <mergeCell ref="K8:M8"/>
    <mergeCell ref="O8:U8"/>
    <mergeCell ref="E9:H9"/>
    <mergeCell ref="O9:U9"/>
    <mergeCell ref="E10:H10"/>
    <mergeCell ref="O10:U10"/>
    <mergeCell ref="E11:H11"/>
    <mergeCell ref="O11:U11"/>
    <mergeCell ref="O12:U12"/>
    <mergeCell ref="P13:U13"/>
    <mergeCell ref="P14:U14"/>
    <mergeCell ref="P27:U27"/>
    <mergeCell ref="P16:U16"/>
    <mergeCell ref="P17:U17"/>
    <mergeCell ref="P18:U18"/>
    <mergeCell ref="P19:U19"/>
    <mergeCell ref="P20:U20"/>
    <mergeCell ref="P21:U21"/>
    <mergeCell ref="P22:U22"/>
    <mergeCell ref="P23:U23"/>
    <mergeCell ref="P24:U24"/>
    <mergeCell ref="P25:U25"/>
    <mergeCell ref="P26:U26"/>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0417"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60418"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60419"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60420"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60421"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60422"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5CA5998D-A130-4DE1-BC86-3288350FE70C}">
            <xm:f>(AND(H14&lt;&gt;"",ISERROR(VLOOKUP(H14,system!$E:$E,1,FALSE))))</xm:f>
            <x14:dxf>
              <fill>
                <patternFill patternType="solid">
                  <bgColor rgb="FFFF0000"/>
                </patternFill>
              </fill>
            </x14:dxf>
          </x14:cfRule>
          <xm:sqref>H14:H19</xm:sqref>
        </x14:conditionalFormatting>
        <x14:conditionalFormatting xmlns:xm="http://schemas.microsoft.com/office/excel/2006/main">
          <x14:cfRule type="expression" priority="3" id="{AE512513-4884-4F8F-9085-5DB61DA17330}">
            <xm:f>(AND(H14&lt;&gt;"",ISERROR(VLOOKUP(H14,system!$E:$E,1,FALSE))))</xm:f>
            <x14:dxf>
              <fill>
                <patternFill>
                  <bgColor rgb="FFFF0000"/>
                </patternFill>
              </fill>
            </x14:dxf>
          </x14:cfRule>
          <xm:sqref>I14:I19</xm:sqref>
        </x14:conditionalFormatting>
        <x14:conditionalFormatting xmlns:xm="http://schemas.microsoft.com/office/excel/2006/main">
          <x14:cfRule type="expression" priority="2" id="{5884C344-2C32-45F3-B5AF-A1D11451ACED}">
            <xm:f>(AND(H20&lt;&gt;"",ISERROR(VLOOKUP(H20,system!$E:$E,1,FALSE))))</xm:f>
            <x14:dxf>
              <fill>
                <patternFill patternType="solid">
                  <bgColor rgb="FFFF0000"/>
                </patternFill>
              </fill>
            </x14:dxf>
          </x14:cfRule>
          <xm:sqref>H20:H27</xm:sqref>
        </x14:conditionalFormatting>
        <x14:conditionalFormatting xmlns:xm="http://schemas.microsoft.com/office/excel/2006/main">
          <x14:cfRule type="expression" priority="1" id="{AF93815E-19A8-4A52-83EB-1DB0B8C726BD}">
            <xm:f>(AND(H20&lt;&gt;"",ISERROR(VLOOKUP(H20,system!$E:$E,1,FALSE))))</xm:f>
            <x14:dxf>
              <fill>
                <patternFill>
                  <bgColor rgb="FFFF0000"/>
                </patternFill>
              </fill>
            </x14:dxf>
          </x14:cfRule>
          <xm:sqref>I20:I27</xm:sqref>
        </x14:conditionalFormatting>
      </x14:conditionalFormatting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pageSetUpPr fitToPage="1"/>
  </sheetPr>
  <dimension ref="A1:U26"/>
  <sheetViews>
    <sheetView showGridLines="0" zoomScaleNormal="100" workbookViewId="0">
      <pane ySplit="13" topLeftCell="A20"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7" t="s">
        <v>27</v>
      </c>
      <c r="P1" s="248"/>
      <c r="Q1" s="248"/>
      <c r="R1" s="248"/>
      <c r="S1" s="248"/>
      <c r="T1" s="248"/>
      <c r="U1" s="249"/>
    </row>
    <row r="2" spans="1:21" ht="14.45" customHeight="1">
      <c r="A2" s="39"/>
      <c r="B2" s="100" t="s">
        <v>64</v>
      </c>
      <c r="C2" s="5"/>
      <c r="D2" s="5"/>
      <c r="E2" s="5"/>
      <c r="F2" s="5"/>
      <c r="G2" s="6"/>
      <c r="H2" s="7"/>
      <c r="I2" s="8"/>
      <c r="J2" s="250"/>
      <c r="K2" s="251"/>
      <c r="L2" s="250"/>
      <c r="M2" s="251"/>
      <c r="N2" s="52"/>
      <c r="O2" s="252" t="s">
        <v>994</v>
      </c>
      <c r="P2" s="253"/>
      <c r="Q2" s="253"/>
      <c r="R2" s="253"/>
      <c r="S2" s="253"/>
      <c r="T2" s="253"/>
      <c r="U2" s="254"/>
    </row>
    <row r="3" spans="1:21" ht="14.25" customHeight="1">
      <c r="A3" s="40"/>
      <c r="B3" s="35"/>
      <c r="C3" s="5"/>
      <c r="D3" s="5"/>
      <c r="E3" s="5"/>
      <c r="F3" s="5"/>
      <c r="G3" s="9"/>
      <c r="H3" s="10"/>
      <c r="I3" s="176" t="s">
        <v>1032</v>
      </c>
      <c r="J3" s="255" t="s">
        <v>1032</v>
      </c>
      <c r="K3" s="256"/>
      <c r="L3" s="255" t="s">
        <v>1032</v>
      </c>
      <c r="M3" s="256"/>
      <c r="N3" s="52"/>
      <c r="O3" s="257"/>
      <c r="P3" s="258"/>
      <c r="Q3" s="258"/>
      <c r="R3" s="258"/>
      <c r="S3" s="258"/>
      <c r="T3" s="258"/>
      <c r="U3" s="259"/>
    </row>
    <row r="4" spans="1:21" ht="14.45" customHeight="1">
      <c r="A4" s="41"/>
      <c r="B4" s="36" t="s">
        <v>3</v>
      </c>
      <c r="C4" s="5"/>
      <c r="D4" s="5"/>
      <c r="E4" s="5"/>
      <c r="F4" s="5"/>
      <c r="G4" s="6"/>
      <c r="H4" s="10"/>
      <c r="I4" s="177" t="s">
        <v>1035</v>
      </c>
      <c r="J4" s="240" t="s">
        <v>1034</v>
      </c>
      <c r="K4" s="241"/>
      <c r="L4" s="240" t="s">
        <v>1033</v>
      </c>
      <c r="M4" s="241"/>
      <c r="N4" s="52"/>
      <c r="O4" s="210"/>
      <c r="P4" s="211"/>
      <c r="Q4" s="211"/>
      <c r="R4" s="211"/>
      <c r="S4" s="211"/>
      <c r="T4" s="211"/>
      <c r="U4" s="212"/>
    </row>
    <row r="5" spans="1:21" ht="14.45" customHeight="1" thickBot="1">
      <c r="A5" s="42"/>
      <c r="B5" s="11"/>
      <c r="C5" s="11"/>
      <c r="D5" s="11"/>
      <c r="E5" s="11"/>
      <c r="F5" s="11"/>
      <c r="G5" s="12"/>
      <c r="H5" s="13"/>
      <c r="I5" s="14"/>
      <c r="J5" s="242"/>
      <c r="K5" s="243"/>
      <c r="L5" s="244"/>
      <c r="M5" s="245"/>
      <c r="N5" s="53"/>
      <c r="O5" s="246"/>
      <c r="P5" s="211"/>
      <c r="Q5" s="211"/>
      <c r="R5" s="211"/>
      <c r="S5" s="211"/>
      <c r="T5" s="211"/>
      <c r="U5" s="212"/>
    </row>
    <row r="6" spans="1:21" ht="14.45" customHeight="1">
      <c r="A6" s="43"/>
      <c r="B6" s="101" t="s">
        <v>4</v>
      </c>
      <c r="C6" s="20"/>
      <c r="D6" s="21"/>
      <c r="E6" s="222" t="s">
        <v>65</v>
      </c>
      <c r="F6" s="223"/>
      <c r="G6" s="223"/>
      <c r="H6" s="224"/>
      <c r="I6" s="60" t="s">
        <v>26</v>
      </c>
      <c r="J6" s="26"/>
      <c r="K6" s="225" t="s">
        <v>33</v>
      </c>
      <c r="L6" s="226"/>
      <c r="M6" s="227"/>
      <c r="N6" s="91" t="s">
        <v>5</v>
      </c>
      <c r="O6" s="210"/>
      <c r="P6" s="211"/>
      <c r="Q6" s="211"/>
      <c r="R6" s="211"/>
      <c r="S6" s="211"/>
      <c r="T6" s="211"/>
      <c r="U6" s="212"/>
    </row>
    <row r="7" spans="1:21" ht="15.75" customHeight="1">
      <c r="A7" s="44"/>
      <c r="B7" s="102" t="s">
        <v>6</v>
      </c>
      <c r="C7" s="22"/>
      <c r="D7" s="23"/>
      <c r="E7" s="228" t="s">
        <v>178</v>
      </c>
      <c r="F7" s="229"/>
      <c r="G7" s="229"/>
      <c r="H7" s="230"/>
      <c r="I7" s="61" t="s">
        <v>28</v>
      </c>
      <c r="J7" s="27"/>
      <c r="K7" s="231" t="s">
        <v>34</v>
      </c>
      <c r="L7" s="232"/>
      <c r="M7" s="233"/>
      <c r="N7" s="92">
        <f>COUNTIF(H14:H14,"LONG")+COUNTIF(H14:H14,"LONG RAW")</f>
        <v>0</v>
      </c>
      <c r="O7" s="210"/>
      <c r="P7" s="211"/>
      <c r="Q7" s="211"/>
      <c r="R7" s="211"/>
      <c r="S7" s="211"/>
      <c r="T7" s="211"/>
      <c r="U7" s="212"/>
    </row>
    <row r="8" spans="1:21" ht="14.45" customHeight="1">
      <c r="A8" s="45"/>
      <c r="B8" s="22" t="s">
        <v>7</v>
      </c>
      <c r="C8" s="22"/>
      <c r="D8" s="23"/>
      <c r="E8" s="228" t="s">
        <v>1027</v>
      </c>
      <c r="F8" s="229"/>
      <c r="G8" s="229"/>
      <c r="H8" s="230"/>
      <c r="I8" s="62"/>
      <c r="J8" s="27"/>
      <c r="K8" s="234"/>
      <c r="L8" s="235"/>
      <c r="M8" s="236"/>
      <c r="N8" s="92"/>
      <c r="O8" s="210"/>
      <c r="P8" s="211"/>
      <c r="Q8" s="211"/>
      <c r="R8" s="211"/>
      <c r="S8" s="211"/>
      <c r="T8" s="211"/>
      <c r="U8" s="212"/>
    </row>
    <row r="9" spans="1:21" ht="14.45" customHeight="1">
      <c r="A9" s="45"/>
      <c r="B9" s="22" t="s">
        <v>8</v>
      </c>
      <c r="C9" s="22"/>
      <c r="D9" s="23"/>
      <c r="E9" s="237" t="s">
        <v>68</v>
      </c>
      <c r="F9" s="238"/>
      <c r="G9" s="238"/>
      <c r="H9" s="239"/>
      <c r="I9" s="61" t="s">
        <v>9</v>
      </c>
      <c r="J9" s="27"/>
      <c r="K9" s="86"/>
      <c r="L9" s="88">
        <f>SUM(N14:N27)</f>
        <v>132</v>
      </c>
      <c r="M9" s="82"/>
      <c r="N9" s="93">
        <f>SUMIF(M14:M14,"■",N14:N14)</f>
        <v>0</v>
      </c>
      <c r="O9" s="210"/>
      <c r="P9" s="211"/>
      <c r="Q9" s="211"/>
      <c r="R9" s="211"/>
      <c r="S9" s="211"/>
      <c r="T9" s="211"/>
      <c r="U9" s="212"/>
    </row>
    <row r="10" spans="1:21" ht="14.45" customHeight="1">
      <c r="A10" s="45"/>
      <c r="B10" s="22" t="s">
        <v>10</v>
      </c>
      <c r="C10" s="22"/>
      <c r="D10" s="23"/>
      <c r="E10" s="219" t="s">
        <v>68</v>
      </c>
      <c r="F10" s="220"/>
      <c r="G10" s="220"/>
      <c r="H10" s="221"/>
      <c r="I10" s="61" t="s">
        <v>11</v>
      </c>
      <c r="J10" s="27"/>
      <c r="K10" s="86"/>
      <c r="L10" s="89">
        <f>E11*L9/1000</f>
        <v>0</v>
      </c>
      <c r="M10" s="82"/>
      <c r="N10" s="55"/>
      <c r="O10" s="210"/>
      <c r="P10" s="211"/>
      <c r="Q10" s="211"/>
      <c r="R10" s="211"/>
      <c r="S10" s="211"/>
      <c r="T10" s="211"/>
      <c r="U10" s="212"/>
    </row>
    <row r="11" spans="1:21" ht="17.25" customHeight="1" thickBot="1">
      <c r="A11" s="46"/>
      <c r="B11" s="24" t="s">
        <v>29</v>
      </c>
      <c r="C11" s="24"/>
      <c r="D11" s="25"/>
      <c r="E11" s="207"/>
      <c r="F11" s="208"/>
      <c r="G11" s="208"/>
      <c r="H11" s="209"/>
      <c r="I11" s="103" t="s">
        <v>12</v>
      </c>
      <c r="J11" s="104"/>
      <c r="K11" s="87"/>
      <c r="L11" s="90"/>
      <c r="M11" s="83"/>
      <c r="N11" s="56"/>
      <c r="O11" s="210"/>
      <c r="P11" s="211"/>
      <c r="Q11" s="211"/>
      <c r="R11" s="211"/>
      <c r="S11" s="211"/>
      <c r="T11" s="211"/>
      <c r="U11" s="212"/>
    </row>
    <row r="12" spans="1:21" ht="15.75" customHeight="1" thickBot="1">
      <c r="A12" s="64"/>
      <c r="B12" s="65"/>
      <c r="C12" s="30"/>
      <c r="D12" s="30"/>
      <c r="E12" s="31"/>
      <c r="F12" s="32"/>
      <c r="G12" s="29"/>
      <c r="H12" s="28"/>
      <c r="I12" s="29"/>
      <c r="J12" s="30" t="s">
        <v>13</v>
      </c>
      <c r="K12" s="31"/>
      <c r="L12" s="66"/>
      <c r="M12" s="48"/>
      <c r="N12" s="57">
        <f>COUNTA(H14:H14)</f>
        <v>1</v>
      </c>
      <c r="O12" s="213"/>
      <c r="P12" s="214"/>
      <c r="Q12" s="214"/>
      <c r="R12" s="214"/>
      <c r="S12" s="214"/>
      <c r="T12" s="214"/>
      <c r="U12" s="21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16" t="s">
        <v>32</v>
      </c>
      <c r="Q13" s="217"/>
      <c r="R13" s="217"/>
      <c r="S13" s="217"/>
      <c r="T13" s="217"/>
      <c r="U13" s="218"/>
    </row>
    <row r="14" spans="1:21" ht="15.75" customHeight="1">
      <c r="A14" s="85" t="s">
        <v>188</v>
      </c>
      <c r="B14" s="37">
        <f>ROW()-13</f>
        <v>1</v>
      </c>
      <c r="C14" s="145" t="s">
        <v>995</v>
      </c>
      <c r="D14" s="80"/>
      <c r="E14" s="81"/>
      <c r="F14" s="146" t="s">
        <v>996</v>
      </c>
      <c r="G14" s="17"/>
      <c r="H14" s="18" t="s">
        <v>49</v>
      </c>
      <c r="I14" s="59"/>
      <c r="J14" s="19">
        <v>2</v>
      </c>
      <c r="K14" s="19"/>
      <c r="L14" s="50" t="s">
        <v>187</v>
      </c>
      <c r="M14" s="73" t="s">
        <v>21</v>
      </c>
      <c r="N14" s="54">
        <f t="shared" ref="N14:N25" si="0">IF(H14="NUMBER",IF(J14&gt;0,INT((J14+1)/2+0.9),0),IF(H14="DATE",7,IF(OR(H14="LONG",H14="LONG RAW"),100000,J14)))</f>
        <v>2</v>
      </c>
      <c r="O14" s="167"/>
      <c r="P14" s="203"/>
      <c r="Q14" s="204"/>
      <c r="R14" s="204"/>
      <c r="S14" s="204"/>
      <c r="T14" s="204"/>
      <c r="U14" s="205"/>
    </row>
    <row r="15" spans="1:21" ht="15.75" customHeight="1">
      <c r="A15" s="85" t="s">
        <v>188</v>
      </c>
      <c r="B15" s="37">
        <f>ROW()-13</f>
        <v>2</v>
      </c>
      <c r="C15" s="145" t="s">
        <v>997</v>
      </c>
      <c r="D15" s="80"/>
      <c r="E15" s="81"/>
      <c r="F15" s="146" t="s">
        <v>998</v>
      </c>
      <c r="G15" s="17"/>
      <c r="H15" s="18" t="s">
        <v>51</v>
      </c>
      <c r="I15" s="59"/>
      <c r="J15" s="19">
        <v>8</v>
      </c>
      <c r="K15" s="19"/>
      <c r="L15" s="50" t="s">
        <v>187</v>
      </c>
      <c r="M15" s="73" t="s">
        <v>21</v>
      </c>
      <c r="N15" s="54">
        <f t="shared" si="0"/>
        <v>8</v>
      </c>
      <c r="O15" s="167"/>
      <c r="P15" s="203"/>
      <c r="Q15" s="204"/>
      <c r="R15" s="204"/>
      <c r="S15" s="204"/>
      <c r="T15" s="204"/>
      <c r="U15" s="205"/>
    </row>
    <row r="16" spans="1:21" ht="15.75" customHeight="1">
      <c r="A16" s="85"/>
      <c r="B16" s="37">
        <f>ROW()-13</f>
        <v>3</v>
      </c>
      <c r="C16" s="145" t="s">
        <v>999</v>
      </c>
      <c r="D16" s="80"/>
      <c r="E16" s="81"/>
      <c r="F16" s="146" t="s">
        <v>1000</v>
      </c>
      <c r="G16" s="17"/>
      <c r="H16" s="18" t="s">
        <v>51</v>
      </c>
      <c r="I16" s="59"/>
      <c r="J16" s="19">
        <v>10</v>
      </c>
      <c r="K16" s="19"/>
      <c r="L16" s="50"/>
      <c r="M16" s="73" t="s">
        <v>21</v>
      </c>
      <c r="N16" s="54">
        <f t="shared" si="0"/>
        <v>10</v>
      </c>
      <c r="O16" s="167"/>
      <c r="P16" s="203"/>
      <c r="Q16" s="204"/>
      <c r="R16" s="204"/>
      <c r="S16" s="204"/>
      <c r="T16" s="204"/>
      <c r="U16" s="205"/>
    </row>
    <row r="17" spans="1:21" ht="15.75" customHeight="1">
      <c r="A17" s="85"/>
      <c r="B17" s="37">
        <f>ROW()-13</f>
        <v>4</v>
      </c>
      <c r="C17" s="145" t="s">
        <v>1001</v>
      </c>
      <c r="D17" s="80"/>
      <c r="E17" s="81"/>
      <c r="F17" s="146" t="s">
        <v>1002</v>
      </c>
      <c r="G17" s="17"/>
      <c r="H17" s="18" t="s">
        <v>56</v>
      </c>
      <c r="I17" s="59"/>
      <c r="J17" s="19">
        <v>10</v>
      </c>
      <c r="K17" s="19">
        <v>0</v>
      </c>
      <c r="L17" s="50" t="s">
        <v>187</v>
      </c>
      <c r="M17" s="73" t="s">
        <v>21</v>
      </c>
      <c r="N17" s="54">
        <f t="shared" si="0"/>
        <v>10</v>
      </c>
      <c r="O17" s="167"/>
      <c r="P17" s="203"/>
      <c r="Q17" s="204"/>
      <c r="R17" s="204"/>
      <c r="S17" s="204"/>
      <c r="T17" s="204"/>
      <c r="U17" s="205"/>
    </row>
    <row r="18" spans="1:21" ht="15.75" customHeight="1">
      <c r="A18" s="85"/>
      <c r="B18" s="37">
        <f>ROW()-13</f>
        <v>5</v>
      </c>
      <c r="C18" s="145" t="s">
        <v>293</v>
      </c>
      <c r="D18" s="80"/>
      <c r="E18" s="81"/>
      <c r="F18" s="146" t="s">
        <v>294</v>
      </c>
      <c r="G18" s="17"/>
      <c r="H18" s="18" t="s">
        <v>51</v>
      </c>
      <c r="I18" s="59"/>
      <c r="J18" s="19">
        <v>50</v>
      </c>
      <c r="K18" s="19"/>
      <c r="L18" s="50"/>
      <c r="M18" s="73" t="s">
        <v>21</v>
      </c>
      <c r="N18" s="54">
        <f t="shared" si="0"/>
        <v>50</v>
      </c>
      <c r="O18" s="167"/>
      <c r="P18" s="203"/>
      <c r="Q18" s="204"/>
      <c r="R18" s="204"/>
      <c r="S18" s="204"/>
      <c r="T18" s="204"/>
      <c r="U18" s="205"/>
    </row>
    <row r="19" spans="1:21" ht="15.75">
      <c r="A19" s="85"/>
      <c r="B19" s="37">
        <f t="shared" ref="B19:B25" si="1">ROW()-13</f>
        <v>6</v>
      </c>
      <c r="C19" s="107" t="s">
        <v>36</v>
      </c>
      <c r="D19" s="107"/>
      <c r="E19" s="108"/>
      <c r="F19" s="109" t="s">
        <v>78</v>
      </c>
      <c r="G19" s="110"/>
      <c r="H19" s="18" t="s">
        <v>51</v>
      </c>
      <c r="I19" s="59"/>
      <c r="J19" s="113">
        <v>12</v>
      </c>
      <c r="K19" s="113"/>
      <c r="L19" s="114"/>
      <c r="M19" s="115" t="s">
        <v>35</v>
      </c>
      <c r="N19" s="116">
        <f t="shared" si="0"/>
        <v>12</v>
      </c>
      <c r="O19" s="168"/>
      <c r="P19" s="200"/>
      <c r="Q19" s="201"/>
      <c r="R19" s="201"/>
      <c r="S19" s="201"/>
      <c r="T19" s="201"/>
      <c r="U19" s="202"/>
    </row>
    <row r="20" spans="1:21" ht="15.75">
      <c r="A20" s="85"/>
      <c r="B20" s="37">
        <f t="shared" si="1"/>
        <v>7</v>
      </c>
      <c r="C20" s="107" t="s">
        <v>37</v>
      </c>
      <c r="D20" s="107"/>
      <c r="E20" s="108"/>
      <c r="F20" s="109" t="s">
        <v>43</v>
      </c>
      <c r="G20" s="110"/>
      <c r="H20" s="18" t="s">
        <v>51</v>
      </c>
      <c r="I20" s="59"/>
      <c r="J20" s="113">
        <v>10</v>
      </c>
      <c r="K20" s="113"/>
      <c r="L20" s="114"/>
      <c r="M20" s="115" t="s">
        <v>21</v>
      </c>
      <c r="N20" s="116">
        <f t="shared" si="0"/>
        <v>10</v>
      </c>
      <c r="O20" s="168"/>
      <c r="P20" s="200"/>
      <c r="Q20" s="201"/>
      <c r="R20" s="201"/>
      <c r="S20" s="201"/>
      <c r="T20" s="201"/>
      <c r="U20" s="202"/>
    </row>
    <row r="21" spans="1:21" ht="15.75">
      <c r="A21" s="85"/>
      <c r="B21" s="37">
        <f t="shared" si="1"/>
        <v>8</v>
      </c>
      <c r="C21" s="107" t="s">
        <v>38</v>
      </c>
      <c r="D21" s="107"/>
      <c r="E21" s="108"/>
      <c r="F21" s="109" t="s">
        <v>80</v>
      </c>
      <c r="G21" s="110"/>
      <c r="H21" s="18" t="s">
        <v>86</v>
      </c>
      <c r="I21" s="59"/>
      <c r="J21" s="113"/>
      <c r="K21" s="113"/>
      <c r="L21" s="114"/>
      <c r="M21" s="115" t="s">
        <v>21</v>
      </c>
      <c r="N21" s="116">
        <f t="shared" si="0"/>
        <v>0</v>
      </c>
      <c r="O21" s="168"/>
      <c r="P21" s="200"/>
      <c r="Q21" s="201"/>
      <c r="R21" s="201"/>
      <c r="S21" s="201"/>
      <c r="T21" s="201"/>
      <c r="U21" s="202"/>
    </row>
    <row r="22" spans="1:21" ht="15.75">
      <c r="A22" s="85"/>
      <c r="B22" s="37">
        <f t="shared" si="1"/>
        <v>9</v>
      </c>
      <c r="C22" s="107" t="s">
        <v>39</v>
      </c>
      <c r="D22" s="107"/>
      <c r="E22" s="108"/>
      <c r="F22" s="109" t="s">
        <v>79</v>
      </c>
      <c r="G22" s="110"/>
      <c r="H22" s="18" t="s">
        <v>51</v>
      </c>
      <c r="I22" s="59"/>
      <c r="J22" s="113">
        <v>12</v>
      </c>
      <c r="K22" s="113"/>
      <c r="L22" s="114"/>
      <c r="M22" s="115" t="s">
        <v>35</v>
      </c>
      <c r="N22" s="116">
        <f t="shared" si="0"/>
        <v>12</v>
      </c>
      <c r="O22" s="168"/>
      <c r="P22" s="200"/>
      <c r="Q22" s="201"/>
      <c r="R22" s="201"/>
      <c r="S22" s="201"/>
      <c r="T22" s="201"/>
      <c r="U22" s="202"/>
    </row>
    <row r="23" spans="1:21" ht="15.75">
      <c r="A23" s="85"/>
      <c r="B23" s="37">
        <f t="shared" si="1"/>
        <v>10</v>
      </c>
      <c r="C23" s="107" t="s">
        <v>40</v>
      </c>
      <c r="D23" s="107"/>
      <c r="E23" s="108"/>
      <c r="F23" s="109" t="s">
        <v>44</v>
      </c>
      <c r="G23" s="110"/>
      <c r="H23" s="18" t="s">
        <v>51</v>
      </c>
      <c r="I23" s="59"/>
      <c r="J23" s="113">
        <v>10</v>
      </c>
      <c r="K23" s="113"/>
      <c r="L23" s="114"/>
      <c r="M23" s="115" t="s">
        <v>21</v>
      </c>
      <c r="N23" s="116">
        <f t="shared" si="0"/>
        <v>10</v>
      </c>
      <c r="O23" s="168"/>
      <c r="P23" s="200"/>
      <c r="Q23" s="201"/>
      <c r="R23" s="201"/>
      <c r="S23" s="201"/>
      <c r="T23" s="201"/>
      <c r="U23" s="202"/>
    </row>
    <row r="24" spans="1:21" ht="15.75">
      <c r="A24" s="85"/>
      <c r="B24" s="37">
        <f t="shared" si="1"/>
        <v>11</v>
      </c>
      <c r="C24" s="107" t="s">
        <v>41</v>
      </c>
      <c r="D24" s="107"/>
      <c r="E24" s="108"/>
      <c r="F24" s="109" t="s">
        <v>81</v>
      </c>
      <c r="G24" s="110"/>
      <c r="H24" s="18" t="s">
        <v>86</v>
      </c>
      <c r="I24" s="59"/>
      <c r="J24" s="113"/>
      <c r="K24" s="113"/>
      <c r="L24" s="114"/>
      <c r="M24" s="115" t="s">
        <v>21</v>
      </c>
      <c r="N24" s="116">
        <f t="shared" si="0"/>
        <v>0</v>
      </c>
      <c r="O24" s="168"/>
      <c r="P24" s="200"/>
      <c r="Q24" s="201"/>
      <c r="R24" s="201"/>
      <c r="S24" s="201"/>
      <c r="T24" s="201"/>
      <c r="U24" s="202"/>
    </row>
    <row r="25" spans="1:21" ht="15.75">
      <c r="A25" s="85"/>
      <c r="B25" s="37">
        <f t="shared" si="1"/>
        <v>12</v>
      </c>
      <c r="C25" s="80" t="s">
        <v>46</v>
      </c>
      <c r="D25" s="80"/>
      <c r="E25" s="81"/>
      <c r="F25" s="84" t="s">
        <v>71</v>
      </c>
      <c r="G25" s="17"/>
      <c r="H25" s="18" t="s">
        <v>62</v>
      </c>
      <c r="I25" s="59"/>
      <c r="J25" s="19">
        <v>8</v>
      </c>
      <c r="K25" s="19"/>
      <c r="L25" s="50" t="s">
        <v>47</v>
      </c>
      <c r="M25" s="73" t="s">
        <v>35</v>
      </c>
      <c r="N25" s="54">
        <f t="shared" si="0"/>
        <v>8</v>
      </c>
      <c r="O25" s="167">
        <v>0</v>
      </c>
      <c r="P25" s="203" t="s">
        <v>48</v>
      </c>
      <c r="Q25" s="204"/>
      <c r="R25" s="204"/>
      <c r="S25" s="204"/>
      <c r="T25" s="204"/>
      <c r="U25" s="205"/>
    </row>
    <row r="26" spans="1:21" ht="16.5" thickBot="1">
      <c r="A26" s="118"/>
      <c r="B26" s="119"/>
      <c r="C26" s="120"/>
      <c r="D26" s="120"/>
      <c r="E26" s="121"/>
      <c r="F26" s="129"/>
      <c r="G26" s="122"/>
      <c r="H26" s="147"/>
      <c r="I26" s="148"/>
      <c r="J26" s="125"/>
      <c r="K26" s="125"/>
      <c r="L26" s="126"/>
      <c r="M26" s="126"/>
      <c r="N26" s="127"/>
      <c r="O26" s="169"/>
      <c r="P26" s="197"/>
      <c r="Q26" s="198"/>
      <c r="R26" s="198"/>
      <c r="S26" s="198"/>
      <c r="T26" s="198"/>
      <c r="U26" s="199"/>
    </row>
  </sheetData>
  <mergeCells count="43">
    <mergeCell ref="O1:U1"/>
    <mergeCell ref="J2:K2"/>
    <mergeCell ref="L2:M2"/>
    <mergeCell ref="O2:U2"/>
    <mergeCell ref="J3:K3"/>
    <mergeCell ref="L3:M3"/>
    <mergeCell ref="O3:U3"/>
    <mergeCell ref="J4:K4"/>
    <mergeCell ref="L4:M4"/>
    <mergeCell ref="O4:U4"/>
    <mergeCell ref="J5:K5"/>
    <mergeCell ref="L5:M5"/>
    <mergeCell ref="O5:U5"/>
    <mergeCell ref="E10:H10"/>
    <mergeCell ref="O10:U10"/>
    <mergeCell ref="E6:H6"/>
    <mergeCell ref="K6:M6"/>
    <mergeCell ref="O6:U6"/>
    <mergeCell ref="E7:H7"/>
    <mergeCell ref="K7:M7"/>
    <mergeCell ref="O7:U7"/>
    <mergeCell ref="E8:H8"/>
    <mergeCell ref="K8:M8"/>
    <mergeCell ref="O8:U8"/>
    <mergeCell ref="E9:H9"/>
    <mergeCell ref="O9:U9"/>
    <mergeCell ref="P21:U21"/>
    <mergeCell ref="E11:H11"/>
    <mergeCell ref="O11:U11"/>
    <mergeCell ref="O12:U12"/>
    <mergeCell ref="P13:U13"/>
    <mergeCell ref="P14:U14"/>
    <mergeCell ref="P15:U15"/>
    <mergeCell ref="P16:U16"/>
    <mergeCell ref="P17:U17"/>
    <mergeCell ref="P18:U18"/>
    <mergeCell ref="P19:U19"/>
    <mergeCell ref="P20:U20"/>
    <mergeCell ref="P22:U22"/>
    <mergeCell ref="P23:U23"/>
    <mergeCell ref="P24:U24"/>
    <mergeCell ref="P25:U25"/>
    <mergeCell ref="P26:U26"/>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41"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61442"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61443"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61444"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61445"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61446"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6DA4C7F6-0DFF-4932-B827-9663FDEA98DB}">
            <xm:f>(AND(H14&lt;&gt;"",ISERROR(VLOOKUP(H14,system!$E:$E,1,FALSE))))</xm:f>
            <x14:dxf>
              <fill>
                <patternFill patternType="solid">
                  <bgColor rgb="FFFF0000"/>
                </patternFill>
              </fill>
            </x14:dxf>
          </x14:cfRule>
          <xm:sqref>H14:H18</xm:sqref>
        </x14:conditionalFormatting>
        <x14:conditionalFormatting xmlns:xm="http://schemas.microsoft.com/office/excel/2006/main">
          <x14:cfRule type="expression" priority="3" id="{82F99D54-5962-4A79-9948-BA73A3E28B8F}">
            <xm:f>(AND(H14&lt;&gt;"",ISERROR(VLOOKUP(H14,system!$E:$E,1,FALSE))))</xm:f>
            <x14:dxf>
              <fill>
                <patternFill>
                  <bgColor rgb="FFFF0000"/>
                </patternFill>
              </fill>
            </x14:dxf>
          </x14:cfRule>
          <xm:sqref>I14:I18</xm:sqref>
        </x14:conditionalFormatting>
        <x14:conditionalFormatting xmlns:xm="http://schemas.microsoft.com/office/excel/2006/main">
          <x14:cfRule type="expression" priority="2" id="{782E7519-9E08-4B9D-AABB-54A7A37D441F}">
            <xm:f>(AND(H19&lt;&gt;"",ISERROR(VLOOKUP(H19,system!$E:$E,1,FALSE))))</xm:f>
            <x14:dxf>
              <fill>
                <patternFill patternType="solid">
                  <bgColor rgb="FFFF0000"/>
                </patternFill>
              </fill>
            </x14:dxf>
          </x14:cfRule>
          <xm:sqref>H19:H26</xm:sqref>
        </x14:conditionalFormatting>
        <x14:conditionalFormatting xmlns:xm="http://schemas.microsoft.com/office/excel/2006/main">
          <x14:cfRule type="expression" priority="1" id="{F51D6966-8DAF-4E94-B2A1-61AB5E98B7A3}">
            <xm:f>(AND(H19&lt;&gt;"",ISERROR(VLOOKUP(H19,system!$E:$E,1,FALSE))))</xm:f>
            <x14:dxf>
              <fill>
                <patternFill>
                  <bgColor rgb="FFFF0000"/>
                </patternFill>
              </fill>
            </x14:dxf>
          </x14:cfRule>
          <xm:sqref>I19:I26</xm:sqref>
        </x14:conditionalFormatting>
      </x14:conditionalFormatting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0">
    <pageSetUpPr fitToPage="1"/>
  </sheetPr>
  <dimension ref="A1:U26"/>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7" t="s">
        <v>27</v>
      </c>
      <c r="P1" s="248"/>
      <c r="Q1" s="248"/>
      <c r="R1" s="248"/>
      <c r="S1" s="248"/>
      <c r="T1" s="248"/>
      <c r="U1" s="249"/>
    </row>
    <row r="2" spans="1:21" ht="14.45" customHeight="1">
      <c r="A2" s="39"/>
      <c r="B2" s="100" t="s">
        <v>64</v>
      </c>
      <c r="C2" s="5"/>
      <c r="D2" s="5"/>
      <c r="E2" s="5"/>
      <c r="F2" s="5"/>
      <c r="G2" s="6"/>
      <c r="H2" s="7"/>
      <c r="I2" s="8"/>
      <c r="J2" s="250"/>
      <c r="K2" s="251"/>
      <c r="L2" s="250"/>
      <c r="M2" s="251"/>
      <c r="N2" s="52"/>
      <c r="O2" s="252" t="s">
        <v>1006</v>
      </c>
      <c r="P2" s="253"/>
      <c r="Q2" s="253"/>
      <c r="R2" s="253"/>
      <c r="S2" s="253"/>
      <c r="T2" s="253"/>
      <c r="U2" s="254"/>
    </row>
    <row r="3" spans="1:21" ht="14.25" customHeight="1">
      <c r="A3" s="40"/>
      <c r="B3" s="35"/>
      <c r="C3" s="5"/>
      <c r="D3" s="5"/>
      <c r="E3" s="5"/>
      <c r="F3" s="5"/>
      <c r="G3" s="9"/>
      <c r="H3" s="10"/>
      <c r="I3" s="176" t="s">
        <v>1032</v>
      </c>
      <c r="J3" s="255" t="s">
        <v>1032</v>
      </c>
      <c r="K3" s="256"/>
      <c r="L3" s="255" t="s">
        <v>1032</v>
      </c>
      <c r="M3" s="256"/>
      <c r="N3" s="52"/>
      <c r="O3" s="257"/>
      <c r="P3" s="258"/>
      <c r="Q3" s="258"/>
      <c r="R3" s="258"/>
      <c r="S3" s="258"/>
      <c r="T3" s="258"/>
      <c r="U3" s="259"/>
    </row>
    <row r="4" spans="1:21" ht="14.45" customHeight="1">
      <c r="A4" s="41"/>
      <c r="B4" s="36" t="s">
        <v>3</v>
      </c>
      <c r="C4" s="5"/>
      <c r="D4" s="5"/>
      <c r="E4" s="5"/>
      <c r="F4" s="5"/>
      <c r="G4" s="6"/>
      <c r="H4" s="10"/>
      <c r="I4" s="177" t="s">
        <v>1035</v>
      </c>
      <c r="J4" s="240" t="s">
        <v>1034</v>
      </c>
      <c r="K4" s="241"/>
      <c r="L4" s="240" t="s">
        <v>1033</v>
      </c>
      <c r="M4" s="241"/>
      <c r="N4" s="52"/>
      <c r="O4" s="210"/>
      <c r="P4" s="211"/>
      <c r="Q4" s="211"/>
      <c r="R4" s="211"/>
      <c r="S4" s="211"/>
      <c r="T4" s="211"/>
      <c r="U4" s="212"/>
    </row>
    <row r="5" spans="1:21" ht="14.45" customHeight="1" thickBot="1">
      <c r="A5" s="42"/>
      <c r="B5" s="11"/>
      <c r="C5" s="11"/>
      <c r="D5" s="11"/>
      <c r="E5" s="11"/>
      <c r="F5" s="11"/>
      <c r="G5" s="12"/>
      <c r="H5" s="13"/>
      <c r="I5" s="14"/>
      <c r="J5" s="242"/>
      <c r="K5" s="243"/>
      <c r="L5" s="244"/>
      <c r="M5" s="245"/>
      <c r="N5" s="53"/>
      <c r="O5" s="246"/>
      <c r="P5" s="211"/>
      <c r="Q5" s="211"/>
      <c r="R5" s="211"/>
      <c r="S5" s="211"/>
      <c r="T5" s="211"/>
      <c r="U5" s="212"/>
    </row>
    <row r="6" spans="1:21" ht="14.45" customHeight="1">
      <c r="A6" s="43"/>
      <c r="B6" s="101" t="s">
        <v>4</v>
      </c>
      <c r="C6" s="20"/>
      <c r="D6" s="21"/>
      <c r="E6" s="222" t="s">
        <v>65</v>
      </c>
      <c r="F6" s="223"/>
      <c r="G6" s="223"/>
      <c r="H6" s="224"/>
      <c r="I6" s="60" t="s">
        <v>26</v>
      </c>
      <c r="J6" s="26"/>
      <c r="K6" s="225" t="s">
        <v>33</v>
      </c>
      <c r="L6" s="226"/>
      <c r="M6" s="227"/>
      <c r="N6" s="91" t="s">
        <v>5</v>
      </c>
      <c r="O6" s="210"/>
      <c r="P6" s="211"/>
      <c r="Q6" s="211"/>
      <c r="R6" s="211"/>
      <c r="S6" s="211"/>
      <c r="T6" s="211"/>
      <c r="U6" s="212"/>
    </row>
    <row r="7" spans="1:21" ht="15.75" customHeight="1">
      <c r="A7" s="44"/>
      <c r="B7" s="102" t="s">
        <v>6</v>
      </c>
      <c r="C7" s="22"/>
      <c r="D7" s="23"/>
      <c r="E7" s="228" t="s">
        <v>179</v>
      </c>
      <c r="F7" s="229"/>
      <c r="G7" s="229"/>
      <c r="H7" s="230"/>
      <c r="I7" s="61" t="s">
        <v>28</v>
      </c>
      <c r="J7" s="27"/>
      <c r="K7" s="231" t="s">
        <v>34</v>
      </c>
      <c r="L7" s="232"/>
      <c r="M7" s="233"/>
      <c r="N7" s="92">
        <f>COUNTIF(H14:H14,"LONG")+COUNTIF(H14:H14,"LONG RAW")</f>
        <v>0</v>
      </c>
      <c r="O7" s="210"/>
      <c r="P7" s="211"/>
      <c r="Q7" s="211"/>
      <c r="R7" s="211"/>
      <c r="S7" s="211"/>
      <c r="T7" s="211"/>
      <c r="U7" s="212"/>
    </row>
    <row r="8" spans="1:21" ht="14.45" customHeight="1">
      <c r="A8" s="45"/>
      <c r="B8" s="22" t="s">
        <v>7</v>
      </c>
      <c r="C8" s="22"/>
      <c r="D8" s="23"/>
      <c r="E8" s="228" t="s">
        <v>1003</v>
      </c>
      <c r="F8" s="229"/>
      <c r="G8" s="229"/>
      <c r="H8" s="230"/>
      <c r="I8" s="62"/>
      <c r="J8" s="27"/>
      <c r="K8" s="234"/>
      <c r="L8" s="235"/>
      <c r="M8" s="236"/>
      <c r="N8" s="92"/>
      <c r="O8" s="210"/>
      <c r="P8" s="211"/>
      <c r="Q8" s="211"/>
      <c r="R8" s="211"/>
      <c r="S8" s="211"/>
      <c r="T8" s="211"/>
      <c r="U8" s="212"/>
    </row>
    <row r="9" spans="1:21" ht="14.45" customHeight="1">
      <c r="A9" s="45"/>
      <c r="B9" s="22" t="s">
        <v>8</v>
      </c>
      <c r="C9" s="22"/>
      <c r="D9" s="23"/>
      <c r="E9" s="237" t="s">
        <v>68</v>
      </c>
      <c r="F9" s="238"/>
      <c r="G9" s="238"/>
      <c r="H9" s="239"/>
      <c r="I9" s="61" t="s">
        <v>9</v>
      </c>
      <c r="J9" s="27"/>
      <c r="K9" s="86"/>
      <c r="L9" s="88">
        <f>SUM(N14:N27)</f>
        <v>119</v>
      </c>
      <c r="M9" s="82"/>
      <c r="N9" s="93">
        <f>SUMIF(M14:M14,"■",N14:N14)</f>
        <v>0</v>
      </c>
      <c r="O9" s="210"/>
      <c r="P9" s="211"/>
      <c r="Q9" s="211"/>
      <c r="R9" s="211"/>
      <c r="S9" s="211"/>
      <c r="T9" s="211"/>
      <c r="U9" s="212"/>
    </row>
    <row r="10" spans="1:21" ht="14.45" customHeight="1">
      <c r="A10" s="45"/>
      <c r="B10" s="22" t="s">
        <v>10</v>
      </c>
      <c r="C10" s="22"/>
      <c r="D10" s="23"/>
      <c r="E10" s="219" t="s">
        <v>68</v>
      </c>
      <c r="F10" s="220"/>
      <c r="G10" s="220"/>
      <c r="H10" s="221"/>
      <c r="I10" s="61" t="s">
        <v>11</v>
      </c>
      <c r="J10" s="27"/>
      <c r="K10" s="86"/>
      <c r="L10" s="89">
        <f>E11*L9/1000</f>
        <v>0</v>
      </c>
      <c r="M10" s="82"/>
      <c r="N10" s="55"/>
      <c r="O10" s="210"/>
      <c r="P10" s="211"/>
      <c r="Q10" s="211"/>
      <c r="R10" s="211"/>
      <c r="S10" s="211"/>
      <c r="T10" s="211"/>
      <c r="U10" s="212"/>
    </row>
    <row r="11" spans="1:21" ht="17.25" customHeight="1" thickBot="1">
      <c r="A11" s="46"/>
      <c r="B11" s="24" t="s">
        <v>29</v>
      </c>
      <c r="C11" s="24"/>
      <c r="D11" s="25"/>
      <c r="E11" s="207"/>
      <c r="F11" s="208"/>
      <c r="G11" s="208"/>
      <c r="H11" s="209"/>
      <c r="I11" s="103" t="s">
        <v>12</v>
      </c>
      <c r="J11" s="104"/>
      <c r="K11" s="87"/>
      <c r="L11" s="90"/>
      <c r="M11" s="83"/>
      <c r="N11" s="56"/>
      <c r="O11" s="210"/>
      <c r="P11" s="211"/>
      <c r="Q11" s="211"/>
      <c r="R11" s="211"/>
      <c r="S11" s="211"/>
      <c r="T11" s="211"/>
      <c r="U11" s="212"/>
    </row>
    <row r="12" spans="1:21" ht="15.75" customHeight="1" thickBot="1">
      <c r="A12" s="64"/>
      <c r="B12" s="65"/>
      <c r="C12" s="30"/>
      <c r="D12" s="30"/>
      <c r="E12" s="31"/>
      <c r="F12" s="32"/>
      <c r="G12" s="29"/>
      <c r="H12" s="28"/>
      <c r="I12" s="29"/>
      <c r="J12" s="30" t="s">
        <v>13</v>
      </c>
      <c r="K12" s="31"/>
      <c r="L12" s="66"/>
      <c r="M12" s="48"/>
      <c r="N12" s="57">
        <f>COUNTA(H14:H14)</f>
        <v>1</v>
      </c>
      <c r="O12" s="213"/>
      <c r="P12" s="214"/>
      <c r="Q12" s="214"/>
      <c r="R12" s="214"/>
      <c r="S12" s="214"/>
      <c r="T12" s="214"/>
      <c r="U12" s="21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16" t="s">
        <v>32</v>
      </c>
      <c r="Q13" s="217"/>
      <c r="R13" s="217"/>
      <c r="S13" s="217"/>
      <c r="T13" s="217"/>
      <c r="U13" s="218"/>
    </row>
    <row r="14" spans="1:21" ht="27.6" customHeight="1">
      <c r="A14" s="85" t="s">
        <v>188</v>
      </c>
      <c r="B14" s="37">
        <f>ROW()-13</f>
        <v>1</v>
      </c>
      <c r="C14" s="145" t="s">
        <v>869</v>
      </c>
      <c r="D14" s="80"/>
      <c r="E14" s="81"/>
      <c r="F14" s="146" t="s">
        <v>870</v>
      </c>
      <c r="G14" s="17"/>
      <c r="H14" s="18" t="s">
        <v>209</v>
      </c>
      <c r="I14" s="59"/>
      <c r="J14" s="19"/>
      <c r="K14" s="19"/>
      <c r="L14" s="50" t="s">
        <v>187</v>
      </c>
      <c r="M14" s="73" t="s">
        <v>21</v>
      </c>
      <c r="N14" s="54">
        <f t="shared" ref="N14:N25" si="0">IF(H14="NUMBER",IF(J14&gt;0,INT((J14+1)/2+0.9),0),IF(H14="DATE",7,IF(OR(H14="LONG",H14="LONG RAW"),100000,J14)))</f>
        <v>0</v>
      </c>
      <c r="O14" s="167"/>
      <c r="P14" s="206" t="s">
        <v>871</v>
      </c>
      <c r="Q14" s="204"/>
      <c r="R14" s="204"/>
      <c r="S14" s="204"/>
      <c r="T14" s="204"/>
      <c r="U14" s="205"/>
    </row>
    <row r="15" spans="1:21" ht="15.75" customHeight="1">
      <c r="A15" s="85"/>
      <c r="B15" s="37">
        <f>ROW()-13</f>
        <v>2</v>
      </c>
      <c r="C15" s="145" t="s">
        <v>354</v>
      </c>
      <c r="D15" s="80"/>
      <c r="E15" s="81"/>
      <c r="F15" s="146" t="s">
        <v>355</v>
      </c>
      <c r="G15" s="17"/>
      <c r="H15" s="18" t="s">
        <v>51</v>
      </c>
      <c r="I15" s="59"/>
      <c r="J15" s="19">
        <v>4</v>
      </c>
      <c r="K15" s="19"/>
      <c r="L15" s="50" t="s">
        <v>187</v>
      </c>
      <c r="M15" s="73" t="s">
        <v>21</v>
      </c>
      <c r="N15" s="54">
        <f t="shared" si="0"/>
        <v>4</v>
      </c>
      <c r="O15" s="167"/>
      <c r="P15" s="203" t="s">
        <v>200</v>
      </c>
      <c r="Q15" s="204"/>
      <c r="R15" s="204"/>
      <c r="S15" s="204"/>
      <c r="T15" s="204"/>
      <c r="U15" s="205"/>
    </row>
    <row r="16" spans="1:21" ht="15.75" customHeight="1">
      <c r="A16" s="85"/>
      <c r="B16" s="37">
        <f>ROW()-13</f>
        <v>3</v>
      </c>
      <c r="C16" s="145" t="s">
        <v>1007</v>
      </c>
      <c r="D16" s="80"/>
      <c r="E16" s="81"/>
      <c r="F16" s="146" t="s">
        <v>1008</v>
      </c>
      <c r="G16" s="17"/>
      <c r="H16" s="18" t="s">
        <v>49</v>
      </c>
      <c r="I16" s="59"/>
      <c r="J16" s="19">
        <v>12</v>
      </c>
      <c r="K16" s="19"/>
      <c r="L16" s="50"/>
      <c r="M16" s="73" t="s">
        <v>21</v>
      </c>
      <c r="N16" s="54">
        <f t="shared" si="0"/>
        <v>12</v>
      </c>
      <c r="O16" s="167"/>
      <c r="P16" s="203" t="s">
        <v>1009</v>
      </c>
      <c r="Q16" s="204"/>
      <c r="R16" s="204"/>
      <c r="S16" s="204"/>
      <c r="T16" s="204"/>
      <c r="U16" s="205"/>
    </row>
    <row r="17" spans="1:21" ht="27.6" customHeight="1">
      <c r="A17" s="85"/>
      <c r="B17" s="37">
        <f>ROW()-13</f>
        <v>4</v>
      </c>
      <c r="C17" s="145" t="s">
        <v>1010</v>
      </c>
      <c r="D17" s="80"/>
      <c r="E17" s="81"/>
      <c r="F17" s="146" t="s">
        <v>1011</v>
      </c>
      <c r="G17" s="17"/>
      <c r="H17" s="18" t="s">
        <v>49</v>
      </c>
      <c r="I17" s="59"/>
      <c r="J17" s="19">
        <v>1</v>
      </c>
      <c r="K17" s="19"/>
      <c r="L17" s="50" t="s">
        <v>187</v>
      </c>
      <c r="M17" s="73" t="s">
        <v>21</v>
      </c>
      <c r="N17" s="54">
        <f t="shared" si="0"/>
        <v>1</v>
      </c>
      <c r="O17" s="167">
        <v>0</v>
      </c>
      <c r="P17" s="206" t="s">
        <v>1012</v>
      </c>
      <c r="Q17" s="204"/>
      <c r="R17" s="204"/>
      <c r="S17" s="204"/>
      <c r="T17" s="204"/>
      <c r="U17" s="205"/>
    </row>
    <row r="18" spans="1:21" ht="15.75" customHeight="1">
      <c r="A18" s="85"/>
      <c r="B18" s="37">
        <f>ROW()-13</f>
        <v>5</v>
      </c>
      <c r="C18" s="145" t="s">
        <v>293</v>
      </c>
      <c r="D18" s="80"/>
      <c r="E18" s="81"/>
      <c r="F18" s="146" t="s">
        <v>294</v>
      </c>
      <c r="G18" s="17"/>
      <c r="H18" s="18" t="s">
        <v>51</v>
      </c>
      <c r="I18" s="59"/>
      <c r="J18" s="19">
        <v>50</v>
      </c>
      <c r="K18" s="19"/>
      <c r="L18" s="50"/>
      <c r="M18" s="73" t="s">
        <v>21</v>
      </c>
      <c r="N18" s="54">
        <f t="shared" si="0"/>
        <v>50</v>
      </c>
      <c r="O18" s="167"/>
      <c r="P18" s="203"/>
      <c r="Q18" s="204"/>
      <c r="R18" s="204"/>
      <c r="S18" s="204"/>
      <c r="T18" s="204"/>
      <c r="U18" s="205"/>
    </row>
    <row r="19" spans="1:21" ht="15.75">
      <c r="A19" s="85"/>
      <c r="B19" s="37">
        <f t="shared" ref="B19:B25" si="1">ROW()-13</f>
        <v>6</v>
      </c>
      <c r="C19" s="107" t="s">
        <v>36</v>
      </c>
      <c r="D19" s="107"/>
      <c r="E19" s="108"/>
      <c r="F19" s="109" t="s">
        <v>78</v>
      </c>
      <c r="G19" s="110"/>
      <c r="H19" s="18" t="s">
        <v>51</v>
      </c>
      <c r="I19" s="59"/>
      <c r="J19" s="113">
        <v>12</v>
      </c>
      <c r="K19" s="113"/>
      <c r="L19" s="114"/>
      <c r="M19" s="115" t="s">
        <v>35</v>
      </c>
      <c r="N19" s="116">
        <f t="shared" si="0"/>
        <v>12</v>
      </c>
      <c r="O19" s="168"/>
      <c r="P19" s="200"/>
      <c r="Q19" s="201"/>
      <c r="R19" s="201"/>
      <c r="S19" s="201"/>
      <c r="T19" s="201"/>
      <c r="U19" s="202"/>
    </row>
    <row r="20" spans="1:21" ht="15.75">
      <c r="A20" s="85"/>
      <c r="B20" s="37">
        <f t="shared" si="1"/>
        <v>7</v>
      </c>
      <c r="C20" s="107" t="s">
        <v>37</v>
      </c>
      <c r="D20" s="107"/>
      <c r="E20" s="108"/>
      <c r="F20" s="109" t="s">
        <v>43</v>
      </c>
      <c r="G20" s="110"/>
      <c r="H20" s="18" t="s">
        <v>51</v>
      </c>
      <c r="I20" s="59"/>
      <c r="J20" s="113">
        <v>10</v>
      </c>
      <c r="K20" s="113"/>
      <c r="L20" s="114"/>
      <c r="M20" s="115" t="s">
        <v>21</v>
      </c>
      <c r="N20" s="116">
        <f t="shared" si="0"/>
        <v>10</v>
      </c>
      <c r="O20" s="168"/>
      <c r="P20" s="200"/>
      <c r="Q20" s="201"/>
      <c r="R20" s="201"/>
      <c r="S20" s="201"/>
      <c r="T20" s="201"/>
      <c r="U20" s="202"/>
    </row>
    <row r="21" spans="1:21" ht="15.75">
      <c r="A21" s="85"/>
      <c r="B21" s="37">
        <f t="shared" si="1"/>
        <v>8</v>
      </c>
      <c r="C21" s="107" t="s">
        <v>38</v>
      </c>
      <c r="D21" s="107"/>
      <c r="E21" s="108"/>
      <c r="F21" s="109" t="s">
        <v>80</v>
      </c>
      <c r="G21" s="110"/>
      <c r="H21" s="18" t="s">
        <v>86</v>
      </c>
      <c r="I21" s="59"/>
      <c r="J21" s="113"/>
      <c r="K21" s="113"/>
      <c r="L21" s="114"/>
      <c r="M21" s="115" t="s">
        <v>21</v>
      </c>
      <c r="N21" s="116">
        <f t="shared" si="0"/>
        <v>0</v>
      </c>
      <c r="O21" s="168"/>
      <c r="P21" s="200"/>
      <c r="Q21" s="201"/>
      <c r="R21" s="201"/>
      <c r="S21" s="201"/>
      <c r="T21" s="201"/>
      <c r="U21" s="202"/>
    </row>
    <row r="22" spans="1:21" ht="15.75">
      <c r="A22" s="85"/>
      <c r="B22" s="37">
        <f t="shared" si="1"/>
        <v>9</v>
      </c>
      <c r="C22" s="107" t="s">
        <v>39</v>
      </c>
      <c r="D22" s="107"/>
      <c r="E22" s="108"/>
      <c r="F22" s="109" t="s">
        <v>79</v>
      </c>
      <c r="G22" s="110"/>
      <c r="H22" s="18" t="s">
        <v>51</v>
      </c>
      <c r="I22" s="59"/>
      <c r="J22" s="113">
        <v>12</v>
      </c>
      <c r="K22" s="113"/>
      <c r="L22" s="114"/>
      <c r="M22" s="115" t="s">
        <v>35</v>
      </c>
      <c r="N22" s="116">
        <f t="shared" si="0"/>
        <v>12</v>
      </c>
      <c r="O22" s="168"/>
      <c r="P22" s="200"/>
      <c r="Q22" s="201"/>
      <c r="R22" s="201"/>
      <c r="S22" s="201"/>
      <c r="T22" s="201"/>
      <c r="U22" s="202"/>
    </row>
    <row r="23" spans="1:21" ht="15.75">
      <c r="A23" s="85"/>
      <c r="B23" s="37">
        <f t="shared" si="1"/>
        <v>10</v>
      </c>
      <c r="C23" s="107" t="s">
        <v>40</v>
      </c>
      <c r="D23" s="107"/>
      <c r="E23" s="108"/>
      <c r="F23" s="109" t="s">
        <v>44</v>
      </c>
      <c r="G23" s="110"/>
      <c r="H23" s="18" t="s">
        <v>51</v>
      </c>
      <c r="I23" s="59"/>
      <c r="J23" s="113">
        <v>10</v>
      </c>
      <c r="K23" s="113"/>
      <c r="L23" s="114"/>
      <c r="M23" s="115" t="s">
        <v>21</v>
      </c>
      <c r="N23" s="116">
        <f t="shared" si="0"/>
        <v>10</v>
      </c>
      <c r="O23" s="168"/>
      <c r="P23" s="200"/>
      <c r="Q23" s="201"/>
      <c r="R23" s="201"/>
      <c r="S23" s="201"/>
      <c r="T23" s="201"/>
      <c r="U23" s="202"/>
    </row>
    <row r="24" spans="1:21" ht="15.75">
      <c r="A24" s="85"/>
      <c r="B24" s="37">
        <f t="shared" si="1"/>
        <v>11</v>
      </c>
      <c r="C24" s="107" t="s">
        <v>41</v>
      </c>
      <c r="D24" s="107"/>
      <c r="E24" s="108"/>
      <c r="F24" s="109" t="s">
        <v>81</v>
      </c>
      <c r="G24" s="110"/>
      <c r="H24" s="18" t="s">
        <v>86</v>
      </c>
      <c r="I24" s="59"/>
      <c r="J24" s="113"/>
      <c r="K24" s="113"/>
      <c r="L24" s="114"/>
      <c r="M24" s="115" t="s">
        <v>21</v>
      </c>
      <c r="N24" s="116">
        <f t="shared" si="0"/>
        <v>0</v>
      </c>
      <c r="O24" s="168"/>
      <c r="P24" s="200"/>
      <c r="Q24" s="201"/>
      <c r="R24" s="201"/>
      <c r="S24" s="201"/>
      <c r="T24" s="201"/>
      <c r="U24" s="202"/>
    </row>
    <row r="25" spans="1:21" ht="15.75">
      <c r="A25" s="85"/>
      <c r="B25" s="37">
        <f t="shared" si="1"/>
        <v>12</v>
      </c>
      <c r="C25" s="80" t="s">
        <v>46</v>
      </c>
      <c r="D25" s="80"/>
      <c r="E25" s="81"/>
      <c r="F25" s="84" t="s">
        <v>71</v>
      </c>
      <c r="G25" s="17"/>
      <c r="H25" s="18" t="s">
        <v>62</v>
      </c>
      <c r="I25" s="59"/>
      <c r="J25" s="19">
        <v>8</v>
      </c>
      <c r="K25" s="19"/>
      <c r="L25" s="50" t="s">
        <v>47</v>
      </c>
      <c r="M25" s="73" t="s">
        <v>35</v>
      </c>
      <c r="N25" s="54">
        <f t="shared" si="0"/>
        <v>8</v>
      </c>
      <c r="O25" s="167">
        <v>0</v>
      </c>
      <c r="P25" s="203" t="s">
        <v>48</v>
      </c>
      <c r="Q25" s="204"/>
      <c r="R25" s="204"/>
      <c r="S25" s="204"/>
      <c r="T25" s="204"/>
      <c r="U25" s="205"/>
    </row>
    <row r="26" spans="1:21" ht="16.5" thickBot="1">
      <c r="A26" s="118"/>
      <c r="B26" s="119"/>
      <c r="C26" s="120"/>
      <c r="D26" s="120"/>
      <c r="E26" s="121"/>
      <c r="F26" s="129"/>
      <c r="G26" s="122"/>
      <c r="H26" s="147"/>
      <c r="I26" s="148"/>
      <c r="J26" s="125"/>
      <c r="K26" s="125"/>
      <c r="L26" s="126"/>
      <c r="M26" s="126"/>
      <c r="N26" s="127"/>
      <c r="O26" s="169"/>
      <c r="P26" s="197"/>
      <c r="Q26" s="198"/>
      <c r="R26" s="198"/>
      <c r="S26" s="198"/>
      <c r="T26" s="198"/>
      <c r="U26" s="199"/>
    </row>
  </sheetData>
  <mergeCells count="43">
    <mergeCell ref="O1:U1"/>
    <mergeCell ref="J2:K2"/>
    <mergeCell ref="L2:M2"/>
    <mergeCell ref="O2:U2"/>
    <mergeCell ref="J3:K3"/>
    <mergeCell ref="L3:M3"/>
    <mergeCell ref="O3:U3"/>
    <mergeCell ref="J4:K4"/>
    <mergeCell ref="L4:M4"/>
    <mergeCell ref="O4:U4"/>
    <mergeCell ref="J5:K5"/>
    <mergeCell ref="L5:M5"/>
    <mergeCell ref="O5:U5"/>
    <mergeCell ref="E10:H10"/>
    <mergeCell ref="O10:U10"/>
    <mergeCell ref="E6:H6"/>
    <mergeCell ref="K6:M6"/>
    <mergeCell ref="O6:U6"/>
    <mergeCell ref="E7:H7"/>
    <mergeCell ref="K7:M7"/>
    <mergeCell ref="O7:U7"/>
    <mergeCell ref="E8:H8"/>
    <mergeCell ref="K8:M8"/>
    <mergeCell ref="O8:U8"/>
    <mergeCell ref="E9:H9"/>
    <mergeCell ref="O9:U9"/>
    <mergeCell ref="P21:U21"/>
    <mergeCell ref="E11:H11"/>
    <mergeCell ref="O11:U11"/>
    <mergeCell ref="O12:U12"/>
    <mergeCell ref="P13:U13"/>
    <mergeCell ref="P14:U14"/>
    <mergeCell ref="P15:U15"/>
    <mergeCell ref="P16:U16"/>
    <mergeCell ref="P17:U17"/>
    <mergeCell ref="P18:U18"/>
    <mergeCell ref="P19:U19"/>
    <mergeCell ref="P20:U20"/>
    <mergeCell ref="P22:U22"/>
    <mergeCell ref="P23:U23"/>
    <mergeCell ref="P24:U24"/>
    <mergeCell ref="P25:U25"/>
    <mergeCell ref="P26:U26"/>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2465"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62466"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62467"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62468"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62469"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62470"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22D2CF91-A8E6-446A-B1EA-3B91A5882CBB}">
            <xm:f>(AND(H14&lt;&gt;"",ISERROR(VLOOKUP(H14,system!$E:$E,1,FALSE))))</xm:f>
            <x14:dxf>
              <fill>
                <patternFill patternType="solid">
                  <bgColor rgb="FFFF0000"/>
                </patternFill>
              </fill>
            </x14:dxf>
          </x14:cfRule>
          <xm:sqref>H14:H18</xm:sqref>
        </x14:conditionalFormatting>
        <x14:conditionalFormatting xmlns:xm="http://schemas.microsoft.com/office/excel/2006/main">
          <x14:cfRule type="expression" priority="3" id="{AEDEF3AE-8272-4918-B081-3F5614BB519F}">
            <xm:f>(AND(H14&lt;&gt;"",ISERROR(VLOOKUP(H14,system!$E:$E,1,FALSE))))</xm:f>
            <x14:dxf>
              <fill>
                <patternFill>
                  <bgColor rgb="FFFF0000"/>
                </patternFill>
              </fill>
            </x14:dxf>
          </x14:cfRule>
          <xm:sqref>I14:I18</xm:sqref>
        </x14:conditionalFormatting>
        <x14:conditionalFormatting xmlns:xm="http://schemas.microsoft.com/office/excel/2006/main">
          <x14:cfRule type="expression" priority="2" id="{EC5A0329-0D62-4207-A7EE-7463887BDD31}">
            <xm:f>(AND(H19&lt;&gt;"",ISERROR(VLOOKUP(H19,system!$E:$E,1,FALSE))))</xm:f>
            <x14:dxf>
              <fill>
                <patternFill patternType="solid">
                  <bgColor rgb="FFFF0000"/>
                </patternFill>
              </fill>
            </x14:dxf>
          </x14:cfRule>
          <xm:sqref>H19:H26</xm:sqref>
        </x14:conditionalFormatting>
        <x14:conditionalFormatting xmlns:xm="http://schemas.microsoft.com/office/excel/2006/main">
          <x14:cfRule type="expression" priority="1" id="{FA8182AC-96EC-4A9A-B197-21EF15A25E4C}">
            <xm:f>(AND(H19&lt;&gt;"",ISERROR(VLOOKUP(H19,system!$E:$E,1,FALSE))))</xm:f>
            <x14:dxf>
              <fill>
                <patternFill>
                  <bgColor rgb="FFFF0000"/>
                </patternFill>
              </fill>
            </x14:dxf>
          </x14:cfRule>
          <xm:sqref>I19:I26</xm:sqref>
        </x14:conditionalFormatting>
      </x14:conditionalFormattings>
    </ext>
  </extLs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1">
    <pageSetUpPr fitToPage="1"/>
  </sheetPr>
  <dimension ref="A1:U25"/>
  <sheetViews>
    <sheetView showGridLines="0" zoomScaleNormal="100" workbookViewId="0">
      <pane ySplit="13" topLeftCell="A14" activePane="bottomLeft" state="frozen"/>
      <selection activeCell="D13" sqref="D13"/>
      <selection pane="bottomLeft" sqref="A1:XFD1048576"/>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7" t="s">
        <v>27</v>
      </c>
      <c r="P1" s="248"/>
      <c r="Q1" s="248"/>
      <c r="R1" s="248"/>
      <c r="S1" s="248"/>
      <c r="T1" s="248"/>
      <c r="U1" s="249"/>
    </row>
    <row r="2" spans="1:21" ht="14.45" customHeight="1">
      <c r="A2" s="39"/>
      <c r="B2" s="100" t="s">
        <v>64</v>
      </c>
      <c r="C2" s="5"/>
      <c r="D2" s="5"/>
      <c r="E2" s="5"/>
      <c r="F2" s="5"/>
      <c r="G2" s="6"/>
      <c r="H2" s="7"/>
      <c r="I2" s="8"/>
      <c r="J2" s="250"/>
      <c r="K2" s="251"/>
      <c r="L2" s="250"/>
      <c r="M2" s="251"/>
      <c r="N2" s="52"/>
      <c r="O2" s="252" t="s">
        <v>1016</v>
      </c>
      <c r="P2" s="253"/>
      <c r="Q2" s="253"/>
      <c r="R2" s="253"/>
      <c r="S2" s="253"/>
      <c r="T2" s="253"/>
      <c r="U2" s="254"/>
    </row>
    <row r="3" spans="1:21" ht="14.25" customHeight="1">
      <c r="A3" s="40"/>
      <c r="B3" s="35"/>
      <c r="C3" s="5"/>
      <c r="D3" s="5"/>
      <c r="E3" s="5"/>
      <c r="F3" s="5"/>
      <c r="G3" s="9"/>
      <c r="H3" s="10"/>
      <c r="I3" s="176" t="s">
        <v>1032</v>
      </c>
      <c r="J3" s="255" t="s">
        <v>1032</v>
      </c>
      <c r="K3" s="256"/>
      <c r="L3" s="255" t="s">
        <v>1032</v>
      </c>
      <c r="M3" s="256"/>
      <c r="N3" s="52"/>
      <c r="O3" s="257"/>
      <c r="P3" s="258"/>
      <c r="Q3" s="258"/>
      <c r="R3" s="258"/>
      <c r="S3" s="258"/>
      <c r="T3" s="258"/>
      <c r="U3" s="259"/>
    </row>
    <row r="4" spans="1:21" ht="14.45" customHeight="1">
      <c r="A4" s="41"/>
      <c r="B4" s="36" t="s">
        <v>3</v>
      </c>
      <c r="C4" s="5"/>
      <c r="D4" s="5"/>
      <c r="E4" s="5"/>
      <c r="F4" s="5"/>
      <c r="G4" s="6"/>
      <c r="H4" s="10"/>
      <c r="I4" s="177" t="s">
        <v>1035</v>
      </c>
      <c r="J4" s="240" t="s">
        <v>1034</v>
      </c>
      <c r="K4" s="241"/>
      <c r="L4" s="240" t="s">
        <v>1033</v>
      </c>
      <c r="M4" s="241"/>
      <c r="N4" s="52"/>
      <c r="O4" s="210"/>
      <c r="P4" s="211"/>
      <c r="Q4" s="211"/>
      <c r="R4" s="211"/>
      <c r="S4" s="211"/>
      <c r="T4" s="211"/>
      <c r="U4" s="212"/>
    </row>
    <row r="5" spans="1:21" ht="14.45" customHeight="1" thickBot="1">
      <c r="A5" s="42"/>
      <c r="B5" s="11"/>
      <c r="C5" s="11"/>
      <c r="D5" s="11"/>
      <c r="E5" s="11"/>
      <c r="F5" s="11"/>
      <c r="G5" s="12"/>
      <c r="H5" s="13"/>
      <c r="I5" s="14"/>
      <c r="J5" s="242"/>
      <c r="K5" s="243"/>
      <c r="L5" s="244"/>
      <c r="M5" s="245"/>
      <c r="N5" s="53"/>
      <c r="O5" s="246"/>
      <c r="P5" s="211"/>
      <c r="Q5" s="211"/>
      <c r="R5" s="211"/>
      <c r="S5" s="211"/>
      <c r="T5" s="211"/>
      <c r="U5" s="212"/>
    </row>
    <row r="6" spans="1:21" ht="14.45" customHeight="1">
      <c r="A6" s="43"/>
      <c r="B6" s="101" t="s">
        <v>4</v>
      </c>
      <c r="C6" s="20"/>
      <c r="D6" s="21"/>
      <c r="E6" s="222" t="s">
        <v>65</v>
      </c>
      <c r="F6" s="223"/>
      <c r="G6" s="223"/>
      <c r="H6" s="224"/>
      <c r="I6" s="60" t="s">
        <v>26</v>
      </c>
      <c r="J6" s="26"/>
      <c r="K6" s="225" t="s">
        <v>33</v>
      </c>
      <c r="L6" s="226"/>
      <c r="M6" s="227"/>
      <c r="N6" s="91" t="s">
        <v>5</v>
      </c>
      <c r="O6" s="210"/>
      <c r="P6" s="211"/>
      <c r="Q6" s="211"/>
      <c r="R6" s="211"/>
      <c r="S6" s="211"/>
      <c r="T6" s="211"/>
      <c r="U6" s="212"/>
    </row>
    <row r="7" spans="1:21" ht="15.75" customHeight="1">
      <c r="A7" s="44"/>
      <c r="B7" s="102" t="s">
        <v>6</v>
      </c>
      <c r="C7" s="22"/>
      <c r="D7" s="23"/>
      <c r="E7" s="228" t="s">
        <v>180</v>
      </c>
      <c r="F7" s="229"/>
      <c r="G7" s="229"/>
      <c r="H7" s="230"/>
      <c r="I7" s="61" t="s">
        <v>28</v>
      </c>
      <c r="J7" s="27"/>
      <c r="K7" s="231" t="s">
        <v>34</v>
      </c>
      <c r="L7" s="232"/>
      <c r="M7" s="233"/>
      <c r="N7" s="92">
        <f>COUNTIF(H14:H14,"LONG")+COUNTIF(H14:H14,"LONG RAW")</f>
        <v>0</v>
      </c>
      <c r="O7" s="210"/>
      <c r="P7" s="211"/>
      <c r="Q7" s="211"/>
      <c r="R7" s="211"/>
      <c r="S7" s="211"/>
      <c r="T7" s="211"/>
      <c r="U7" s="212"/>
    </row>
    <row r="8" spans="1:21" ht="14.45" customHeight="1">
      <c r="A8" s="45"/>
      <c r="B8" s="22" t="s">
        <v>7</v>
      </c>
      <c r="C8" s="22"/>
      <c r="D8" s="23"/>
      <c r="E8" s="228" t="s">
        <v>1013</v>
      </c>
      <c r="F8" s="229"/>
      <c r="G8" s="229"/>
      <c r="H8" s="230"/>
      <c r="I8" s="62"/>
      <c r="J8" s="27"/>
      <c r="K8" s="234"/>
      <c r="L8" s="235"/>
      <c r="M8" s="236"/>
      <c r="N8" s="92"/>
      <c r="O8" s="210"/>
      <c r="P8" s="211"/>
      <c r="Q8" s="211"/>
      <c r="R8" s="211"/>
      <c r="S8" s="211"/>
      <c r="T8" s="211"/>
      <c r="U8" s="212"/>
    </row>
    <row r="9" spans="1:21" ht="14.45" customHeight="1">
      <c r="A9" s="45"/>
      <c r="B9" s="22" t="s">
        <v>8</v>
      </c>
      <c r="C9" s="22"/>
      <c r="D9" s="23"/>
      <c r="E9" s="237" t="s">
        <v>68</v>
      </c>
      <c r="F9" s="238"/>
      <c r="G9" s="238"/>
      <c r="H9" s="239"/>
      <c r="I9" s="61" t="s">
        <v>9</v>
      </c>
      <c r="J9" s="27"/>
      <c r="K9" s="86"/>
      <c r="L9" s="88">
        <f>SUM(N14:N26)</f>
        <v>115</v>
      </c>
      <c r="M9" s="82"/>
      <c r="N9" s="93">
        <f>SUMIF(M14:M14,"■",N14:N14)</f>
        <v>0</v>
      </c>
      <c r="O9" s="210"/>
      <c r="P9" s="211"/>
      <c r="Q9" s="211"/>
      <c r="R9" s="211"/>
      <c r="S9" s="211"/>
      <c r="T9" s="211"/>
      <c r="U9" s="212"/>
    </row>
    <row r="10" spans="1:21" ht="14.45" customHeight="1">
      <c r="A10" s="45"/>
      <c r="B10" s="22" t="s">
        <v>10</v>
      </c>
      <c r="C10" s="22"/>
      <c r="D10" s="23"/>
      <c r="E10" s="219" t="s">
        <v>68</v>
      </c>
      <c r="F10" s="220"/>
      <c r="G10" s="220"/>
      <c r="H10" s="221"/>
      <c r="I10" s="61" t="s">
        <v>11</v>
      </c>
      <c r="J10" s="27"/>
      <c r="K10" s="86"/>
      <c r="L10" s="89">
        <f>E11*L9/1000</f>
        <v>0</v>
      </c>
      <c r="M10" s="82"/>
      <c r="N10" s="55"/>
      <c r="O10" s="210"/>
      <c r="P10" s="211"/>
      <c r="Q10" s="211"/>
      <c r="R10" s="211"/>
      <c r="S10" s="211"/>
      <c r="T10" s="211"/>
      <c r="U10" s="212"/>
    </row>
    <row r="11" spans="1:21" ht="17.25" customHeight="1" thickBot="1">
      <c r="A11" s="46"/>
      <c r="B11" s="24" t="s">
        <v>29</v>
      </c>
      <c r="C11" s="24"/>
      <c r="D11" s="25"/>
      <c r="E11" s="207"/>
      <c r="F11" s="208"/>
      <c r="G11" s="208"/>
      <c r="H11" s="209"/>
      <c r="I11" s="103" t="s">
        <v>12</v>
      </c>
      <c r="J11" s="104"/>
      <c r="K11" s="87"/>
      <c r="L11" s="90"/>
      <c r="M11" s="83"/>
      <c r="N11" s="56"/>
      <c r="O11" s="210"/>
      <c r="P11" s="211"/>
      <c r="Q11" s="211"/>
      <c r="R11" s="211"/>
      <c r="S11" s="211"/>
      <c r="T11" s="211"/>
      <c r="U11" s="212"/>
    </row>
    <row r="12" spans="1:21" ht="15.75" customHeight="1" thickBot="1">
      <c r="A12" s="64"/>
      <c r="B12" s="65"/>
      <c r="C12" s="30"/>
      <c r="D12" s="30"/>
      <c r="E12" s="31"/>
      <c r="F12" s="32"/>
      <c r="G12" s="29"/>
      <c r="H12" s="28"/>
      <c r="I12" s="29"/>
      <c r="J12" s="30" t="s">
        <v>13</v>
      </c>
      <c r="K12" s="31"/>
      <c r="L12" s="66"/>
      <c r="M12" s="48"/>
      <c r="N12" s="57">
        <f>COUNTA(H14:H14)</f>
        <v>1</v>
      </c>
      <c r="O12" s="213"/>
      <c r="P12" s="214"/>
      <c r="Q12" s="214"/>
      <c r="R12" s="214"/>
      <c r="S12" s="214"/>
      <c r="T12" s="214"/>
      <c r="U12" s="215"/>
    </row>
    <row r="13" spans="1:21" ht="32.25" customHeight="1" thickBot="1">
      <c r="A13" s="105" t="s">
        <v>14</v>
      </c>
      <c r="B13" s="94"/>
      <c r="C13" s="95" t="s">
        <v>15</v>
      </c>
      <c r="D13" s="72"/>
      <c r="E13" s="71"/>
      <c r="F13" s="72" t="s">
        <v>16</v>
      </c>
      <c r="G13" s="71"/>
      <c r="H13" s="72" t="s">
        <v>17</v>
      </c>
      <c r="I13" s="71"/>
      <c r="J13" s="165" t="s">
        <v>18</v>
      </c>
      <c r="K13" s="165" t="s">
        <v>19</v>
      </c>
      <c r="L13" s="98" t="s">
        <v>30</v>
      </c>
      <c r="M13" s="99" t="s">
        <v>20</v>
      </c>
      <c r="N13" s="106">
        <f>COUNTIF(M14:M14,"■")</f>
        <v>0</v>
      </c>
      <c r="O13" s="164" t="s">
        <v>31</v>
      </c>
      <c r="P13" s="216" t="s">
        <v>32</v>
      </c>
      <c r="Q13" s="217"/>
      <c r="R13" s="217"/>
      <c r="S13" s="217"/>
      <c r="T13" s="217"/>
      <c r="U13" s="218"/>
    </row>
    <row r="14" spans="1:21" ht="15.75" customHeight="1">
      <c r="A14" s="85" t="s">
        <v>188</v>
      </c>
      <c r="B14" s="37">
        <f>ROW()-13</f>
        <v>1</v>
      </c>
      <c r="C14" s="145" t="s">
        <v>1007</v>
      </c>
      <c r="D14" s="80"/>
      <c r="E14" s="81"/>
      <c r="F14" s="146" t="s">
        <v>1008</v>
      </c>
      <c r="G14" s="17"/>
      <c r="H14" s="18" t="s">
        <v>49</v>
      </c>
      <c r="I14" s="59"/>
      <c r="J14" s="19">
        <v>12</v>
      </c>
      <c r="K14" s="19"/>
      <c r="L14" s="50" t="s">
        <v>187</v>
      </c>
      <c r="M14" s="73" t="s">
        <v>21</v>
      </c>
      <c r="N14" s="54">
        <f t="shared" ref="N14:N24" si="0">IF(H14="NUMBER",IF(J14&gt;0,INT((J14+1)/2+0.9),0),IF(H14="DATE",7,IF(OR(H14="LONG",H14="LONG RAW"),100000,J14)))</f>
        <v>12</v>
      </c>
      <c r="O14" s="167"/>
      <c r="P14" s="203" t="s">
        <v>1017</v>
      </c>
      <c r="Q14" s="204"/>
      <c r="R14" s="204"/>
      <c r="S14" s="204"/>
      <c r="T14" s="204"/>
      <c r="U14" s="205"/>
    </row>
    <row r="15" spans="1:21" ht="15.75" customHeight="1">
      <c r="A15" s="85"/>
      <c r="B15" s="37">
        <f>ROW()-13</f>
        <v>2</v>
      </c>
      <c r="C15" s="145" t="s">
        <v>1018</v>
      </c>
      <c r="D15" s="80"/>
      <c r="E15" s="81"/>
      <c r="F15" s="146" t="s">
        <v>1019</v>
      </c>
      <c r="G15" s="17"/>
      <c r="H15" s="18" t="s">
        <v>209</v>
      </c>
      <c r="I15" s="59"/>
      <c r="J15" s="19"/>
      <c r="K15" s="19"/>
      <c r="L15" s="50" t="s">
        <v>187</v>
      </c>
      <c r="M15" s="73" t="s">
        <v>21</v>
      </c>
      <c r="N15" s="54">
        <f t="shared" si="0"/>
        <v>0</v>
      </c>
      <c r="O15" s="167"/>
      <c r="P15" s="203" t="s">
        <v>1020</v>
      </c>
      <c r="Q15" s="204"/>
      <c r="R15" s="204"/>
      <c r="S15" s="204"/>
      <c r="T15" s="204"/>
      <c r="U15" s="205"/>
    </row>
    <row r="16" spans="1:21" ht="15.75" customHeight="1">
      <c r="A16" s="85"/>
      <c r="B16" s="37">
        <f>ROW()-13</f>
        <v>3</v>
      </c>
      <c r="C16" s="145" t="s">
        <v>1021</v>
      </c>
      <c r="D16" s="80"/>
      <c r="E16" s="81"/>
      <c r="F16" s="146" t="s">
        <v>1022</v>
      </c>
      <c r="G16" s="17"/>
      <c r="H16" s="18" t="s">
        <v>49</v>
      </c>
      <c r="I16" s="59"/>
      <c r="J16" s="19">
        <v>1</v>
      </c>
      <c r="K16" s="19"/>
      <c r="L16" s="50" t="s">
        <v>187</v>
      </c>
      <c r="M16" s="73" t="s">
        <v>21</v>
      </c>
      <c r="N16" s="54">
        <f t="shared" si="0"/>
        <v>1</v>
      </c>
      <c r="O16" s="167"/>
      <c r="P16" s="203" t="s">
        <v>1023</v>
      </c>
      <c r="Q16" s="204"/>
      <c r="R16" s="204"/>
      <c r="S16" s="204"/>
      <c r="T16" s="204"/>
      <c r="U16" s="205"/>
    </row>
    <row r="17" spans="1:21" ht="15.75" customHeight="1">
      <c r="A17" s="85"/>
      <c r="B17" s="37">
        <f>ROW()-13</f>
        <v>4</v>
      </c>
      <c r="C17" s="145" t="s">
        <v>293</v>
      </c>
      <c r="D17" s="80"/>
      <c r="E17" s="81"/>
      <c r="F17" s="146" t="s">
        <v>1055</v>
      </c>
      <c r="G17" s="17"/>
      <c r="H17" s="18" t="s">
        <v>51</v>
      </c>
      <c r="I17" s="59"/>
      <c r="J17" s="19">
        <v>50</v>
      </c>
      <c r="K17" s="19"/>
      <c r="L17" s="50"/>
      <c r="M17" s="73" t="s">
        <v>21</v>
      </c>
      <c r="N17" s="54">
        <f t="shared" si="0"/>
        <v>50</v>
      </c>
      <c r="O17" s="167"/>
      <c r="P17" s="203"/>
      <c r="Q17" s="204"/>
      <c r="R17" s="204"/>
      <c r="S17" s="204"/>
      <c r="T17" s="204"/>
      <c r="U17" s="205"/>
    </row>
    <row r="18" spans="1:21" ht="15.75">
      <c r="A18" s="85"/>
      <c r="B18" s="37">
        <f t="shared" ref="B18:B24" si="1">ROW()-13</f>
        <v>5</v>
      </c>
      <c r="C18" s="107" t="s">
        <v>36</v>
      </c>
      <c r="D18" s="107"/>
      <c r="E18" s="108"/>
      <c r="F18" s="109" t="s">
        <v>78</v>
      </c>
      <c r="G18" s="110"/>
      <c r="H18" s="18" t="s">
        <v>51</v>
      </c>
      <c r="I18" s="59"/>
      <c r="J18" s="113">
        <v>12</v>
      </c>
      <c r="K18" s="113"/>
      <c r="L18" s="114"/>
      <c r="M18" s="115" t="s">
        <v>35</v>
      </c>
      <c r="N18" s="116">
        <f t="shared" si="0"/>
        <v>12</v>
      </c>
      <c r="O18" s="168"/>
      <c r="P18" s="200"/>
      <c r="Q18" s="201"/>
      <c r="R18" s="201"/>
      <c r="S18" s="201"/>
      <c r="T18" s="201"/>
      <c r="U18" s="202"/>
    </row>
    <row r="19" spans="1:21" ht="15.75">
      <c r="A19" s="85"/>
      <c r="B19" s="37">
        <f t="shared" si="1"/>
        <v>6</v>
      </c>
      <c r="C19" s="107" t="s">
        <v>37</v>
      </c>
      <c r="D19" s="107"/>
      <c r="E19" s="108"/>
      <c r="F19" s="109" t="s">
        <v>43</v>
      </c>
      <c r="G19" s="110"/>
      <c r="H19" s="18" t="s">
        <v>51</v>
      </c>
      <c r="I19" s="59"/>
      <c r="J19" s="113">
        <v>10</v>
      </c>
      <c r="K19" s="113"/>
      <c r="L19" s="114"/>
      <c r="M19" s="115" t="s">
        <v>21</v>
      </c>
      <c r="N19" s="116">
        <f t="shared" si="0"/>
        <v>10</v>
      </c>
      <c r="O19" s="168"/>
      <c r="P19" s="200"/>
      <c r="Q19" s="201"/>
      <c r="R19" s="201"/>
      <c r="S19" s="201"/>
      <c r="T19" s="201"/>
      <c r="U19" s="202"/>
    </row>
    <row r="20" spans="1:21" ht="15.75">
      <c r="A20" s="85"/>
      <c r="B20" s="37">
        <f t="shared" si="1"/>
        <v>7</v>
      </c>
      <c r="C20" s="107" t="s">
        <v>38</v>
      </c>
      <c r="D20" s="107"/>
      <c r="E20" s="108"/>
      <c r="F20" s="109" t="s">
        <v>80</v>
      </c>
      <c r="G20" s="110"/>
      <c r="H20" s="18" t="s">
        <v>86</v>
      </c>
      <c r="I20" s="59"/>
      <c r="J20" s="113"/>
      <c r="K20" s="113"/>
      <c r="L20" s="114"/>
      <c r="M20" s="115" t="s">
        <v>21</v>
      </c>
      <c r="N20" s="116">
        <f t="shared" si="0"/>
        <v>0</v>
      </c>
      <c r="O20" s="168"/>
      <c r="P20" s="200"/>
      <c r="Q20" s="201"/>
      <c r="R20" s="201"/>
      <c r="S20" s="201"/>
      <c r="T20" s="201"/>
      <c r="U20" s="202"/>
    </row>
    <row r="21" spans="1:21" ht="15.75">
      <c r="A21" s="85"/>
      <c r="B21" s="37">
        <f t="shared" si="1"/>
        <v>8</v>
      </c>
      <c r="C21" s="107" t="s">
        <v>39</v>
      </c>
      <c r="D21" s="107"/>
      <c r="E21" s="108"/>
      <c r="F21" s="109" t="s">
        <v>79</v>
      </c>
      <c r="G21" s="110"/>
      <c r="H21" s="18" t="s">
        <v>51</v>
      </c>
      <c r="I21" s="59"/>
      <c r="J21" s="113">
        <v>12</v>
      </c>
      <c r="K21" s="113"/>
      <c r="L21" s="114"/>
      <c r="M21" s="115" t="s">
        <v>35</v>
      </c>
      <c r="N21" s="116">
        <f t="shared" si="0"/>
        <v>12</v>
      </c>
      <c r="O21" s="168"/>
      <c r="P21" s="200"/>
      <c r="Q21" s="201"/>
      <c r="R21" s="201"/>
      <c r="S21" s="201"/>
      <c r="T21" s="201"/>
      <c r="U21" s="202"/>
    </row>
    <row r="22" spans="1:21" ht="15.75">
      <c r="A22" s="85"/>
      <c r="B22" s="37">
        <f t="shared" si="1"/>
        <v>9</v>
      </c>
      <c r="C22" s="107" t="s">
        <v>40</v>
      </c>
      <c r="D22" s="107"/>
      <c r="E22" s="108"/>
      <c r="F22" s="109" t="s">
        <v>44</v>
      </c>
      <c r="G22" s="110"/>
      <c r="H22" s="18" t="s">
        <v>51</v>
      </c>
      <c r="I22" s="59"/>
      <c r="J22" s="113">
        <v>10</v>
      </c>
      <c r="K22" s="113"/>
      <c r="L22" s="114"/>
      <c r="M22" s="115" t="s">
        <v>21</v>
      </c>
      <c r="N22" s="116">
        <f t="shared" si="0"/>
        <v>10</v>
      </c>
      <c r="O22" s="168"/>
      <c r="P22" s="200"/>
      <c r="Q22" s="201"/>
      <c r="R22" s="201"/>
      <c r="S22" s="201"/>
      <c r="T22" s="201"/>
      <c r="U22" s="202"/>
    </row>
    <row r="23" spans="1:21" ht="15.75">
      <c r="A23" s="85"/>
      <c r="B23" s="37">
        <f t="shared" si="1"/>
        <v>10</v>
      </c>
      <c r="C23" s="107" t="s">
        <v>41</v>
      </c>
      <c r="D23" s="107"/>
      <c r="E23" s="108"/>
      <c r="F23" s="109" t="s">
        <v>81</v>
      </c>
      <c r="G23" s="110"/>
      <c r="H23" s="18" t="s">
        <v>86</v>
      </c>
      <c r="I23" s="59"/>
      <c r="J23" s="113"/>
      <c r="K23" s="113"/>
      <c r="L23" s="114"/>
      <c r="M23" s="115" t="s">
        <v>21</v>
      </c>
      <c r="N23" s="116">
        <f t="shared" si="0"/>
        <v>0</v>
      </c>
      <c r="O23" s="168"/>
      <c r="P23" s="200"/>
      <c r="Q23" s="201"/>
      <c r="R23" s="201"/>
      <c r="S23" s="201"/>
      <c r="T23" s="201"/>
      <c r="U23" s="202"/>
    </row>
    <row r="24" spans="1:21" ht="15.75">
      <c r="A24" s="85"/>
      <c r="B24" s="37">
        <f t="shared" si="1"/>
        <v>11</v>
      </c>
      <c r="C24" s="80" t="s">
        <v>46</v>
      </c>
      <c r="D24" s="80"/>
      <c r="E24" s="81"/>
      <c r="F24" s="84" t="s">
        <v>71</v>
      </c>
      <c r="G24" s="17"/>
      <c r="H24" s="18" t="s">
        <v>62</v>
      </c>
      <c r="I24" s="59"/>
      <c r="J24" s="19">
        <v>8</v>
      </c>
      <c r="K24" s="19"/>
      <c r="L24" s="50" t="s">
        <v>47</v>
      </c>
      <c r="M24" s="73" t="s">
        <v>35</v>
      </c>
      <c r="N24" s="54">
        <f t="shared" si="0"/>
        <v>8</v>
      </c>
      <c r="O24" s="167">
        <v>0</v>
      </c>
      <c r="P24" s="203" t="s">
        <v>48</v>
      </c>
      <c r="Q24" s="204"/>
      <c r="R24" s="204"/>
      <c r="S24" s="204"/>
      <c r="T24" s="204"/>
      <c r="U24" s="205"/>
    </row>
    <row r="25" spans="1:21" ht="16.5" thickBot="1">
      <c r="A25" s="118"/>
      <c r="B25" s="119"/>
      <c r="C25" s="120"/>
      <c r="D25" s="120"/>
      <c r="E25" s="121"/>
      <c r="F25" s="129"/>
      <c r="G25" s="122"/>
      <c r="H25" s="147"/>
      <c r="I25" s="148"/>
      <c r="J25" s="125"/>
      <c r="K25" s="125"/>
      <c r="L25" s="126"/>
      <c r="M25" s="126"/>
      <c r="N25" s="127"/>
      <c r="O25" s="169"/>
      <c r="P25" s="197"/>
      <c r="Q25" s="198"/>
      <c r="R25" s="198"/>
      <c r="S25" s="198"/>
      <c r="T25" s="198"/>
      <c r="U25" s="199"/>
    </row>
  </sheetData>
  <mergeCells count="42">
    <mergeCell ref="O1:U1"/>
    <mergeCell ref="J2:K2"/>
    <mergeCell ref="L2:M2"/>
    <mergeCell ref="O2:U2"/>
    <mergeCell ref="J3:K3"/>
    <mergeCell ref="L3:M3"/>
    <mergeCell ref="O3:U3"/>
    <mergeCell ref="J4:K4"/>
    <mergeCell ref="L4:M4"/>
    <mergeCell ref="O4:U4"/>
    <mergeCell ref="J5:K5"/>
    <mergeCell ref="L5:M5"/>
    <mergeCell ref="O5:U5"/>
    <mergeCell ref="E6:H6"/>
    <mergeCell ref="K6:M6"/>
    <mergeCell ref="O6:U6"/>
    <mergeCell ref="E7:H7"/>
    <mergeCell ref="K7:M7"/>
    <mergeCell ref="O7:U7"/>
    <mergeCell ref="P15:U15"/>
    <mergeCell ref="E8:H8"/>
    <mergeCell ref="K8:M8"/>
    <mergeCell ref="O8:U8"/>
    <mergeCell ref="E9:H9"/>
    <mergeCell ref="O9:U9"/>
    <mergeCell ref="E10:H10"/>
    <mergeCell ref="O10:U10"/>
    <mergeCell ref="E11:H11"/>
    <mergeCell ref="O11:U11"/>
    <mergeCell ref="O12:U12"/>
    <mergeCell ref="P13:U13"/>
    <mergeCell ref="P14:U14"/>
    <mergeCell ref="P22:U22"/>
    <mergeCell ref="P23:U23"/>
    <mergeCell ref="P24:U24"/>
    <mergeCell ref="P25:U25"/>
    <mergeCell ref="P16:U16"/>
    <mergeCell ref="P17:U17"/>
    <mergeCell ref="P18:U18"/>
    <mergeCell ref="P19:U19"/>
    <mergeCell ref="P20:U20"/>
    <mergeCell ref="P21:U21"/>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89"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63490"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63491"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63492"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63493"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63494"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C29E3517-7475-4D88-9400-F3FF5A283365}">
            <xm:f>(AND(H14&lt;&gt;"",ISERROR(VLOOKUP(H14,system!$E:$E,1,FALSE))))</xm:f>
            <x14:dxf>
              <fill>
                <patternFill patternType="solid">
                  <bgColor rgb="FFFF0000"/>
                </patternFill>
              </fill>
            </x14:dxf>
          </x14:cfRule>
          <xm:sqref>H14:H17</xm:sqref>
        </x14:conditionalFormatting>
        <x14:conditionalFormatting xmlns:xm="http://schemas.microsoft.com/office/excel/2006/main">
          <x14:cfRule type="expression" priority="3" id="{169684D5-9327-442E-9B12-A3AFA4F2D7E8}">
            <xm:f>(AND(H14&lt;&gt;"",ISERROR(VLOOKUP(H14,system!$E:$E,1,FALSE))))</xm:f>
            <x14:dxf>
              <fill>
                <patternFill>
                  <bgColor rgb="FFFF0000"/>
                </patternFill>
              </fill>
            </x14:dxf>
          </x14:cfRule>
          <xm:sqref>I14:I17</xm:sqref>
        </x14:conditionalFormatting>
        <x14:conditionalFormatting xmlns:xm="http://schemas.microsoft.com/office/excel/2006/main">
          <x14:cfRule type="expression" priority="2" id="{C78A247A-E11B-4F45-A6BB-C7CCB4166F1B}">
            <xm:f>(AND(H18&lt;&gt;"",ISERROR(VLOOKUP(H18,system!$E:$E,1,FALSE))))</xm:f>
            <x14:dxf>
              <fill>
                <patternFill patternType="solid">
                  <bgColor rgb="FFFF0000"/>
                </patternFill>
              </fill>
            </x14:dxf>
          </x14:cfRule>
          <xm:sqref>H18:H25</xm:sqref>
        </x14:conditionalFormatting>
        <x14:conditionalFormatting xmlns:xm="http://schemas.microsoft.com/office/excel/2006/main">
          <x14:cfRule type="expression" priority="1" id="{A65C10C4-8B01-4A89-8AFE-539819F1DA5D}">
            <xm:f>(AND(H18&lt;&gt;"",ISERROR(VLOOKUP(H18,system!$E:$E,1,FALSE))))</xm:f>
            <x14:dxf>
              <fill>
                <patternFill>
                  <bgColor rgb="FFFF0000"/>
                </patternFill>
              </fill>
            </x14:dxf>
          </x14:cfRule>
          <xm:sqref>I18:I25</xm:sqref>
        </x14:conditionalFormatting>
      </x14:conditionalFormatting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0" tint="-0.499984740745262"/>
  </sheetPr>
  <dimension ref="A1:U24"/>
  <sheetViews>
    <sheetView workbookViewId="0">
      <selection activeCell="U39" sqref="U39"/>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7" t="s">
        <v>27</v>
      </c>
      <c r="P1" s="248"/>
      <c r="Q1" s="248"/>
      <c r="R1" s="248"/>
      <c r="S1" s="248"/>
      <c r="T1" s="248"/>
      <c r="U1" s="249"/>
    </row>
    <row r="2" spans="1:21" ht="14.45" customHeight="1">
      <c r="A2" s="39"/>
      <c r="B2" s="100" t="s">
        <v>64</v>
      </c>
      <c r="C2" s="5"/>
      <c r="D2" s="5"/>
      <c r="E2" s="5"/>
      <c r="F2" s="5"/>
      <c r="G2" s="6"/>
      <c r="H2" s="7"/>
      <c r="I2" s="8"/>
      <c r="J2" s="250"/>
      <c r="K2" s="251"/>
      <c r="L2" s="250"/>
      <c r="M2" s="251"/>
      <c r="N2" s="52"/>
      <c r="O2" s="252" t="s">
        <v>1042</v>
      </c>
      <c r="P2" s="253"/>
      <c r="Q2" s="253"/>
      <c r="R2" s="253"/>
      <c r="S2" s="253"/>
      <c r="T2" s="253"/>
      <c r="U2" s="254"/>
    </row>
    <row r="3" spans="1:21" ht="14.25" customHeight="1">
      <c r="A3" s="40"/>
      <c r="B3" s="35"/>
      <c r="C3" s="5"/>
      <c r="D3" s="5"/>
      <c r="E3" s="5"/>
      <c r="F3" s="5"/>
      <c r="G3" s="9"/>
      <c r="H3" s="10"/>
      <c r="I3" s="176" t="s">
        <v>1032</v>
      </c>
      <c r="J3" s="255" t="s">
        <v>1032</v>
      </c>
      <c r="K3" s="256"/>
      <c r="L3" s="255" t="s">
        <v>1032</v>
      </c>
      <c r="M3" s="256"/>
      <c r="N3" s="52"/>
      <c r="O3" s="257"/>
      <c r="P3" s="258"/>
      <c r="Q3" s="258"/>
      <c r="R3" s="258"/>
      <c r="S3" s="258"/>
      <c r="T3" s="258"/>
      <c r="U3" s="259"/>
    </row>
    <row r="4" spans="1:21" ht="14.45" customHeight="1">
      <c r="A4" s="41"/>
      <c r="B4" s="36" t="s">
        <v>3</v>
      </c>
      <c r="C4" s="5"/>
      <c r="D4" s="5"/>
      <c r="E4" s="5"/>
      <c r="F4" s="5"/>
      <c r="G4" s="6"/>
      <c r="H4" s="10"/>
      <c r="I4" s="177" t="s">
        <v>1035</v>
      </c>
      <c r="J4" s="240" t="s">
        <v>1034</v>
      </c>
      <c r="K4" s="241"/>
      <c r="L4" s="240" t="s">
        <v>1033</v>
      </c>
      <c r="M4" s="241"/>
      <c r="N4" s="52"/>
      <c r="O4" s="210"/>
      <c r="P4" s="211"/>
      <c r="Q4" s="211"/>
      <c r="R4" s="211"/>
      <c r="S4" s="211"/>
      <c r="T4" s="211"/>
      <c r="U4" s="212"/>
    </row>
    <row r="5" spans="1:21" ht="14.45" customHeight="1" thickBot="1">
      <c r="A5" s="42"/>
      <c r="B5" s="11"/>
      <c r="C5" s="11"/>
      <c r="D5" s="11"/>
      <c r="E5" s="11"/>
      <c r="F5" s="11"/>
      <c r="G5" s="12"/>
      <c r="H5" s="13"/>
      <c r="I5" s="14"/>
      <c r="J5" s="242"/>
      <c r="K5" s="243"/>
      <c r="L5" s="244"/>
      <c r="M5" s="245"/>
      <c r="N5" s="53"/>
      <c r="O5" s="246"/>
      <c r="P5" s="211"/>
      <c r="Q5" s="211"/>
      <c r="R5" s="211"/>
      <c r="S5" s="211"/>
      <c r="T5" s="211"/>
      <c r="U5" s="212"/>
    </row>
    <row r="6" spans="1:21" ht="14.45" customHeight="1">
      <c r="A6" s="43"/>
      <c r="B6" s="101" t="s">
        <v>4</v>
      </c>
      <c r="C6" s="20"/>
      <c r="D6" s="21"/>
      <c r="E6" s="222" t="s">
        <v>65</v>
      </c>
      <c r="F6" s="223"/>
      <c r="G6" s="223"/>
      <c r="H6" s="224"/>
      <c r="I6" s="60" t="s">
        <v>26</v>
      </c>
      <c r="J6" s="26"/>
      <c r="K6" s="225" t="s">
        <v>33</v>
      </c>
      <c r="L6" s="226"/>
      <c r="M6" s="227"/>
      <c r="N6" s="91" t="s">
        <v>5</v>
      </c>
      <c r="O6" s="210"/>
      <c r="P6" s="211"/>
      <c r="Q6" s="211"/>
      <c r="R6" s="211"/>
      <c r="S6" s="211"/>
      <c r="T6" s="211"/>
      <c r="U6" s="212"/>
    </row>
    <row r="7" spans="1:21" ht="15.75" customHeight="1">
      <c r="A7" s="44"/>
      <c r="B7" s="102" t="s">
        <v>6</v>
      </c>
      <c r="C7" s="22"/>
      <c r="D7" s="23"/>
      <c r="E7" s="228" t="s">
        <v>1041</v>
      </c>
      <c r="F7" s="229"/>
      <c r="G7" s="229"/>
      <c r="H7" s="230"/>
      <c r="I7" s="61" t="s">
        <v>28</v>
      </c>
      <c r="J7" s="27"/>
      <c r="K7" s="231" t="s">
        <v>34</v>
      </c>
      <c r="L7" s="232"/>
      <c r="M7" s="233"/>
      <c r="N7" s="92">
        <f>COUNTIF(H14:H14,"LONG")+COUNTIF(H14:H14,"LONG RAW")</f>
        <v>0</v>
      </c>
      <c r="O7" s="210"/>
      <c r="P7" s="211"/>
      <c r="Q7" s="211"/>
      <c r="R7" s="211"/>
      <c r="S7" s="211"/>
      <c r="T7" s="211"/>
      <c r="U7" s="212"/>
    </row>
    <row r="8" spans="1:21" ht="14.45" customHeight="1">
      <c r="A8" s="45"/>
      <c r="B8" s="22" t="s">
        <v>7</v>
      </c>
      <c r="C8" s="22"/>
      <c r="D8" s="23"/>
      <c r="E8" s="228" t="s">
        <v>1043</v>
      </c>
      <c r="F8" s="229"/>
      <c r="G8" s="229"/>
      <c r="H8" s="230"/>
      <c r="I8" s="62"/>
      <c r="J8" s="27"/>
      <c r="K8" s="234"/>
      <c r="L8" s="235"/>
      <c r="M8" s="236"/>
      <c r="N8" s="92"/>
      <c r="O8" s="210"/>
      <c r="P8" s="211"/>
      <c r="Q8" s="211"/>
      <c r="R8" s="211"/>
      <c r="S8" s="211"/>
      <c r="T8" s="211"/>
      <c r="U8" s="212"/>
    </row>
    <row r="9" spans="1:21" ht="14.45" customHeight="1">
      <c r="A9" s="45"/>
      <c r="B9" s="22" t="s">
        <v>8</v>
      </c>
      <c r="C9" s="22"/>
      <c r="D9" s="23"/>
      <c r="E9" s="237" t="s">
        <v>68</v>
      </c>
      <c r="F9" s="238"/>
      <c r="G9" s="238"/>
      <c r="H9" s="239"/>
      <c r="I9" s="61" t="s">
        <v>9</v>
      </c>
      <c r="J9" s="27"/>
      <c r="K9" s="86"/>
      <c r="L9" s="88">
        <f>SUM(N14:N25)</f>
        <v>69</v>
      </c>
      <c r="M9" s="82"/>
      <c r="N9" s="93">
        <f>SUMIF(M14:M14,"■",N14:N14)</f>
        <v>0</v>
      </c>
      <c r="O9" s="210"/>
      <c r="P9" s="211"/>
      <c r="Q9" s="211"/>
      <c r="R9" s="211"/>
      <c r="S9" s="211"/>
      <c r="T9" s="211"/>
      <c r="U9" s="212"/>
    </row>
    <row r="10" spans="1:21" ht="14.45" customHeight="1">
      <c r="A10" s="45"/>
      <c r="B10" s="22" t="s">
        <v>10</v>
      </c>
      <c r="C10" s="22"/>
      <c r="D10" s="23"/>
      <c r="E10" s="219" t="s">
        <v>68</v>
      </c>
      <c r="F10" s="220"/>
      <c r="G10" s="220"/>
      <c r="H10" s="221"/>
      <c r="I10" s="61" t="s">
        <v>11</v>
      </c>
      <c r="J10" s="27"/>
      <c r="K10" s="86"/>
      <c r="L10" s="89">
        <f>E11*L9/1000</f>
        <v>0</v>
      </c>
      <c r="M10" s="82"/>
      <c r="N10" s="55"/>
      <c r="O10" s="210"/>
      <c r="P10" s="211"/>
      <c r="Q10" s="211"/>
      <c r="R10" s="211"/>
      <c r="S10" s="211"/>
      <c r="T10" s="211"/>
      <c r="U10" s="212"/>
    </row>
    <row r="11" spans="1:21" ht="17.25" customHeight="1" thickBot="1">
      <c r="A11" s="46"/>
      <c r="B11" s="24" t="s">
        <v>29</v>
      </c>
      <c r="C11" s="24"/>
      <c r="D11" s="25"/>
      <c r="E11" s="207"/>
      <c r="F11" s="208"/>
      <c r="G11" s="208"/>
      <c r="H11" s="209"/>
      <c r="I11" s="103" t="s">
        <v>12</v>
      </c>
      <c r="J11" s="104"/>
      <c r="K11" s="87"/>
      <c r="L11" s="90"/>
      <c r="M11" s="83"/>
      <c r="N11" s="56"/>
      <c r="O11" s="210"/>
      <c r="P11" s="211"/>
      <c r="Q11" s="211"/>
      <c r="R11" s="211"/>
      <c r="S11" s="211"/>
      <c r="T11" s="211"/>
      <c r="U11" s="212"/>
    </row>
    <row r="12" spans="1:21" ht="15.75" customHeight="1" thickBot="1">
      <c r="A12" s="64"/>
      <c r="B12" s="65"/>
      <c r="C12" s="30"/>
      <c r="D12" s="30"/>
      <c r="E12" s="31"/>
      <c r="F12" s="32"/>
      <c r="G12" s="29"/>
      <c r="H12" s="28"/>
      <c r="I12" s="29"/>
      <c r="J12" s="30" t="s">
        <v>13</v>
      </c>
      <c r="K12" s="31"/>
      <c r="L12" s="66"/>
      <c r="M12" s="48"/>
      <c r="N12" s="57">
        <f>COUNTA(H14:H14)</f>
        <v>1</v>
      </c>
      <c r="O12" s="213"/>
      <c r="P12" s="214"/>
      <c r="Q12" s="214"/>
      <c r="R12" s="214"/>
      <c r="S12" s="214"/>
      <c r="T12" s="214"/>
      <c r="U12" s="215"/>
    </row>
    <row r="13" spans="1:21" ht="32.25" customHeight="1" thickBot="1">
      <c r="A13" s="105" t="s">
        <v>14</v>
      </c>
      <c r="B13" s="94"/>
      <c r="C13" s="95" t="s">
        <v>15</v>
      </c>
      <c r="D13" s="72"/>
      <c r="E13" s="71"/>
      <c r="F13" s="72" t="s">
        <v>16</v>
      </c>
      <c r="G13" s="71"/>
      <c r="H13" s="72" t="s">
        <v>17</v>
      </c>
      <c r="I13" s="71"/>
      <c r="J13" s="173" t="s">
        <v>18</v>
      </c>
      <c r="K13" s="173" t="s">
        <v>19</v>
      </c>
      <c r="L13" s="98" t="s">
        <v>30</v>
      </c>
      <c r="M13" s="99" t="s">
        <v>20</v>
      </c>
      <c r="N13" s="106">
        <f>COUNTIF(M14:M14,"■")</f>
        <v>0</v>
      </c>
      <c r="O13" s="172" t="s">
        <v>31</v>
      </c>
      <c r="P13" s="216" t="s">
        <v>32</v>
      </c>
      <c r="Q13" s="217"/>
      <c r="R13" s="217"/>
      <c r="S13" s="217"/>
      <c r="T13" s="217"/>
      <c r="U13" s="218"/>
    </row>
    <row r="14" spans="1:21" ht="15.75" customHeight="1">
      <c r="A14" s="85" t="s">
        <v>188</v>
      </c>
      <c r="B14" s="37">
        <f>ROW()-13</f>
        <v>1</v>
      </c>
      <c r="C14" s="145" t="s">
        <v>1048</v>
      </c>
      <c r="D14" s="80"/>
      <c r="E14" s="81"/>
      <c r="F14" s="146" t="s">
        <v>1050</v>
      </c>
      <c r="G14" s="17"/>
      <c r="H14" s="18" t="s">
        <v>51</v>
      </c>
      <c r="I14" s="59"/>
      <c r="J14" s="19">
        <v>2</v>
      </c>
      <c r="K14" s="19"/>
      <c r="L14" s="50" t="s">
        <v>187</v>
      </c>
      <c r="M14" s="73" t="s">
        <v>21</v>
      </c>
      <c r="N14" s="54">
        <f t="shared" ref="N14:N15" si="0">IF(H14="NUMBER",IF(J14&gt;0,INT((J14+1)/2+0.9),0),IF(H14="DATE",7,IF(OR(H14="LONG",H14="LONG RAW"),100000,J14)))</f>
        <v>2</v>
      </c>
      <c r="O14" s="167"/>
      <c r="P14" s="203" t="s">
        <v>1056</v>
      </c>
      <c r="Q14" s="204"/>
      <c r="R14" s="204"/>
      <c r="S14" s="204"/>
      <c r="T14" s="204"/>
      <c r="U14" s="205"/>
    </row>
    <row r="15" spans="1:21" ht="15.75" customHeight="1">
      <c r="A15" s="85" t="s">
        <v>188</v>
      </c>
      <c r="B15" s="37">
        <v>2</v>
      </c>
      <c r="C15" s="145" t="s">
        <v>1049</v>
      </c>
      <c r="D15" s="80"/>
      <c r="E15" s="81"/>
      <c r="F15" s="146" t="s">
        <v>1052</v>
      </c>
      <c r="G15" s="17"/>
      <c r="H15" s="18" t="s">
        <v>51</v>
      </c>
      <c r="I15" s="59"/>
      <c r="J15" s="19">
        <v>10</v>
      </c>
      <c r="K15" s="19"/>
      <c r="L15" s="50" t="s">
        <v>187</v>
      </c>
      <c r="M15" s="73" t="s">
        <v>21</v>
      </c>
      <c r="N15" s="54">
        <f t="shared" si="0"/>
        <v>10</v>
      </c>
      <c r="O15" s="167"/>
      <c r="P15" s="203" t="s">
        <v>164</v>
      </c>
      <c r="Q15" s="204"/>
      <c r="R15" s="204"/>
      <c r="S15" s="204"/>
      <c r="T15" s="204"/>
      <c r="U15" s="205"/>
    </row>
    <row r="16" spans="1:21" ht="15.75" customHeight="1">
      <c r="A16" s="85"/>
      <c r="B16" s="37">
        <f>ROW()-13</f>
        <v>3</v>
      </c>
      <c r="C16" s="145" t="s">
        <v>1044</v>
      </c>
      <c r="D16" s="80"/>
      <c r="E16" s="81"/>
      <c r="F16" s="146" t="s">
        <v>1053</v>
      </c>
      <c r="G16" s="17"/>
      <c r="H16" s="18" t="s">
        <v>49</v>
      </c>
      <c r="I16" s="59"/>
      <c r="J16" s="19">
        <v>2</v>
      </c>
      <c r="K16" s="19"/>
      <c r="L16" s="50" t="s">
        <v>187</v>
      </c>
      <c r="M16" s="73" t="s">
        <v>21</v>
      </c>
      <c r="N16" s="54">
        <f t="shared" ref="N16:N23" si="1">IF(H16="NUMBER",IF(J16&gt;0,INT((J16+1)/2+0.9),0),IF(H16="DATE",7,IF(OR(H16="LONG",H16="LONG RAW"),100000,J16)))</f>
        <v>2</v>
      </c>
      <c r="O16" s="167"/>
      <c r="P16" s="203"/>
      <c r="Q16" s="204"/>
      <c r="R16" s="204"/>
      <c r="S16" s="204"/>
      <c r="T16" s="204"/>
      <c r="U16" s="205"/>
    </row>
    <row r="17" spans="1:21" ht="15.75" customHeight="1">
      <c r="A17" s="85"/>
      <c r="B17" s="37">
        <f>ROW()-13</f>
        <v>4</v>
      </c>
      <c r="C17" s="145" t="s">
        <v>1045</v>
      </c>
      <c r="D17" s="80"/>
      <c r="E17" s="81"/>
      <c r="F17" s="146" t="s">
        <v>1054</v>
      </c>
      <c r="G17" s="17"/>
      <c r="H17" s="18" t="s">
        <v>51</v>
      </c>
      <c r="I17" s="59"/>
      <c r="J17" s="19">
        <v>14</v>
      </c>
      <c r="K17" s="19"/>
      <c r="L17" s="50" t="s">
        <v>187</v>
      </c>
      <c r="M17" s="73" t="s">
        <v>21</v>
      </c>
      <c r="N17" s="54">
        <f t="shared" si="1"/>
        <v>14</v>
      </c>
      <c r="O17" s="167"/>
      <c r="P17" s="203"/>
      <c r="Q17" s="204"/>
      <c r="R17" s="204"/>
      <c r="S17" s="204"/>
      <c r="T17" s="204"/>
      <c r="U17" s="205"/>
    </row>
    <row r="18" spans="1:21" ht="15.75">
      <c r="A18" s="85"/>
      <c r="B18" s="37">
        <f t="shared" ref="B18:B23" si="2">ROW()-13</f>
        <v>5</v>
      </c>
      <c r="C18" s="107" t="s">
        <v>1046</v>
      </c>
      <c r="D18" s="107"/>
      <c r="E18" s="108"/>
      <c r="F18" s="178" t="s">
        <v>1055</v>
      </c>
      <c r="G18" s="110"/>
      <c r="H18" s="18" t="s">
        <v>51</v>
      </c>
      <c r="I18" s="59"/>
      <c r="J18" s="113">
        <v>10</v>
      </c>
      <c r="K18" s="113"/>
      <c r="L18" s="114"/>
      <c r="M18" s="115" t="s">
        <v>21</v>
      </c>
      <c r="N18" s="116">
        <f t="shared" si="1"/>
        <v>10</v>
      </c>
      <c r="O18" s="168"/>
      <c r="P18" s="200"/>
      <c r="Q18" s="201"/>
      <c r="R18" s="201"/>
      <c r="S18" s="201"/>
      <c r="T18" s="201"/>
      <c r="U18" s="202"/>
    </row>
    <row r="19" spans="1:21" ht="15.75">
      <c r="A19" s="85"/>
      <c r="B19" s="37">
        <f t="shared" si="2"/>
        <v>6</v>
      </c>
      <c r="C19" s="107" t="s">
        <v>1047</v>
      </c>
      <c r="D19" s="107"/>
      <c r="E19" s="108"/>
      <c r="F19" s="109" t="s">
        <v>80</v>
      </c>
      <c r="G19" s="110"/>
      <c r="H19" s="18" t="s">
        <v>51</v>
      </c>
      <c r="I19" s="59"/>
      <c r="J19" s="113">
        <v>1</v>
      </c>
      <c r="K19" s="113"/>
      <c r="L19" s="114"/>
      <c r="M19" s="115" t="s">
        <v>21</v>
      </c>
      <c r="N19" s="116">
        <f t="shared" si="1"/>
        <v>1</v>
      </c>
      <c r="O19" s="168"/>
      <c r="P19" s="200" t="s">
        <v>1057</v>
      </c>
      <c r="Q19" s="201"/>
      <c r="R19" s="201"/>
      <c r="S19" s="201"/>
      <c r="T19" s="201"/>
      <c r="U19" s="202"/>
    </row>
    <row r="20" spans="1:21" ht="15.75">
      <c r="A20" s="85"/>
      <c r="B20" s="37">
        <f t="shared" si="2"/>
        <v>7</v>
      </c>
      <c r="C20" s="107" t="s">
        <v>39</v>
      </c>
      <c r="D20" s="107"/>
      <c r="E20" s="108"/>
      <c r="F20" s="109" t="s">
        <v>79</v>
      </c>
      <c r="G20" s="110"/>
      <c r="H20" s="18" t="s">
        <v>51</v>
      </c>
      <c r="I20" s="59"/>
      <c r="J20" s="113">
        <v>12</v>
      </c>
      <c r="K20" s="113"/>
      <c r="L20" s="114"/>
      <c r="M20" s="115" t="s">
        <v>35</v>
      </c>
      <c r="N20" s="116">
        <f t="shared" si="1"/>
        <v>12</v>
      </c>
      <c r="O20" s="168"/>
      <c r="P20" s="200"/>
      <c r="Q20" s="201"/>
      <c r="R20" s="201"/>
      <c r="S20" s="201"/>
      <c r="T20" s="201"/>
      <c r="U20" s="202"/>
    </row>
    <row r="21" spans="1:21" ht="15.75">
      <c r="A21" s="85"/>
      <c r="B21" s="37">
        <f t="shared" si="2"/>
        <v>8</v>
      </c>
      <c r="C21" s="107" t="s">
        <v>40</v>
      </c>
      <c r="D21" s="107"/>
      <c r="E21" s="108"/>
      <c r="F21" s="109" t="s">
        <v>44</v>
      </c>
      <c r="G21" s="110"/>
      <c r="H21" s="18" t="s">
        <v>51</v>
      </c>
      <c r="I21" s="59"/>
      <c r="J21" s="113">
        <v>10</v>
      </c>
      <c r="K21" s="113"/>
      <c r="L21" s="114"/>
      <c r="M21" s="115" t="s">
        <v>21</v>
      </c>
      <c r="N21" s="116">
        <f t="shared" si="1"/>
        <v>10</v>
      </c>
      <c r="O21" s="168"/>
      <c r="P21" s="200"/>
      <c r="Q21" s="201"/>
      <c r="R21" s="201"/>
      <c r="S21" s="201"/>
      <c r="T21" s="201"/>
      <c r="U21" s="202"/>
    </row>
    <row r="22" spans="1:21" ht="15.75">
      <c r="A22" s="85"/>
      <c r="B22" s="37">
        <f t="shared" si="2"/>
        <v>9</v>
      </c>
      <c r="C22" s="107" t="s">
        <v>41</v>
      </c>
      <c r="D22" s="107"/>
      <c r="E22" s="108"/>
      <c r="F22" s="109" t="s">
        <v>81</v>
      </c>
      <c r="G22" s="110"/>
      <c r="H22" s="18" t="s">
        <v>86</v>
      </c>
      <c r="I22" s="59"/>
      <c r="J22" s="113"/>
      <c r="K22" s="113"/>
      <c r="L22" s="114"/>
      <c r="M22" s="115" t="s">
        <v>21</v>
      </c>
      <c r="N22" s="116">
        <f t="shared" si="1"/>
        <v>0</v>
      </c>
      <c r="O22" s="168"/>
      <c r="P22" s="200"/>
      <c r="Q22" s="201"/>
      <c r="R22" s="201"/>
      <c r="S22" s="201"/>
      <c r="T22" s="201"/>
      <c r="U22" s="202"/>
    </row>
    <row r="23" spans="1:21" ht="15.75">
      <c r="A23" s="85"/>
      <c r="B23" s="37">
        <f t="shared" si="2"/>
        <v>10</v>
      </c>
      <c r="C23" s="80" t="s">
        <v>46</v>
      </c>
      <c r="D23" s="80"/>
      <c r="E23" s="81"/>
      <c r="F23" s="84" t="s">
        <v>71</v>
      </c>
      <c r="G23" s="17"/>
      <c r="H23" s="18" t="s">
        <v>62</v>
      </c>
      <c r="I23" s="59"/>
      <c r="J23" s="19">
        <v>8</v>
      </c>
      <c r="K23" s="19"/>
      <c r="L23" s="50" t="s">
        <v>47</v>
      </c>
      <c r="M23" s="73" t="s">
        <v>35</v>
      </c>
      <c r="N23" s="54">
        <f t="shared" si="1"/>
        <v>8</v>
      </c>
      <c r="O23" s="167">
        <v>0</v>
      </c>
      <c r="P23" s="203" t="s">
        <v>48</v>
      </c>
      <c r="Q23" s="204"/>
      <c r="R23" s="204"/>
      <c r="S23" s="204"/>
      <c r="T23" s="204"/>
      <c r="U23" s="205"/>
    </row>
    <row r="24" spans="1:21" ht="16.5" thickBot="1">
      <c r="A24" s="118"/>
      <c r="B24" s="119"/>
      <c r="C24" s="120"/>
      <c r="D24" s="120"/>
      <c r="E24" s="121"/>
      <c r="F24" s="129"/>
      <c r="G24" s="122"/>
      <c r="H24" s="147"/>
      <c r="I24" s="148"/>
      <c r="J24" s="125"/>
      <c r="K24" s="125"/>
      <c r="L24" s="126"/>
      <c r="M24" s="126"/>
      <c r="N24" s="127"/>
      <c r="O24" s="169"/>
      <c r="P24" s="197"/>
      <c r="Q24" s="198"/>
      <c r="R24" s="198"/>
      <c r="S24" s="198"/>
      <c r="T24" s="198"/>
      <c r="U24" s="199"/>
    </row>
  </sheetData>
  <mergeCells count="41">
    <mergeCell ref="P21:U21"/>
    <mergeCell ref="P22:U22"/>
    <mergeCell ref="P23:U23"/>
    <mergeCell ref="P24:U24"/>
    <mergeCell ref="P15:U15"/>
    <mergeCell ref="P17:U17"/>
    <mergeCell ref="P18:U18"/>
    <mergeCell ref="P19:U19"/>
    <mergeCell ref="P20:U20"/>
    <mergeCell ref="P16:U16"/>
    <mergeCell ref="E11:H11"/>
    <mergeCell ref="O11:U11"/>
    <mergeCell ref="O12:U12"/>
    <mergeCell ref="P13:U13"/>
    <mergeCell ref="P14:U14"/>
    <mergeCell ref="E10:H10"/>
    <mergeCell ref="O10:U10"/>
    <mergeCell ref="E6:H6"/>
    <mergeCell ref="K6:M6"/>
    <mergeCell ref="O6:U6"/>
    <mergeCell ref="E7:H7"/>
    <mergeCell ref="K7:M7"/>
    <mergeCell ref="O7:U7"/>
    <mergeCell ref="E8:H8"/>
    <mergeCell ref="K8:M8"/>
    <mergeCell ref="O8:U8"/>
    <mergeCell ref="E9:H9"/>
    <mergeCell ref="O9:U9"/>
    <mergeCell ref="J4:K4"/>
    <mergeCell ref="L4:M4"/>
    <mergeCell ref="O4:U4"/>
    <mergeCell ref="J5:K5"/>
    <mergeCell ref="L5:M5"/>
    <mergeCell ref="O5:U5"/>
    <mergeCell ref="O1:U1"/>
    <mergeCell ref="J2:K2"/>
    <mergeCell ref="L2:M2"/>
    <mergeCell ref="O2:U2"/>
    <mergeCell ref="J3:K3"/>
    <mergeCell ref="L3:M3"/>
    <mergeCell ref="O3:U3"/>
  </mergeCells>
  <phoneticPr fontId="25"/>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Drop Down 1">
              <controlPr defaultSize="0" print="0" autoFill="0" autoLine="0" autoPict="0" macro="[0]!Type_Select">
                <anchor moveWithCells="1">
                  <from>
                    <xdr:col>7</xdr:col>
                    <xdr:colOff>180975</xdr:colOff>
                    <xdr:row>11</xdr:row>
                    <xdr:rowOff>9525</xdr:rowOff>
                  </from>
                  <to>
                    <xdr:col>8</xdr:col>
                    <xdr:colOff>561975</xdr:colOff>
                    <xdr:row>12</xdr:row>
                    <xdr:rowOff>19050</xdr:rowOff>
                  </to>
                </anchor>
              </controlPr>
            </control>
          </mc:Choice>
        </mc:AlternateContent>
        <mc:AlternateContent xmlns:mc="http://schemas.openxmlformats.org/markup-compatibility/2006">
          <mc:Choice Requires="x14">
            <control shapeId="69634" r:id="rId4"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69635" r:id="rId5"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69636" r:id="rId6"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69637" r:id="rId7"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69638" r:id="rId8"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2" id="{06E981D4-6947-4DFB-8208-4DFAF749B260}">
            <xm:f>(AND(H24&lt;&gt;"",ISERROR(VLOOKUP(H24,system!$E:$E,1,FALSE))))</xm:f>
            <x14:dxf>
              <fill>
                <patternFill patternType="solid">
                  <bgColor rgb="FFFF0000"/>
                </patternFill>
              </fill>
            </x14:dxf>
          </x14:cfRule>
          <xm:sqref>H24</xm:sqref>
        </x14:conditionalFormatting>
        <x14:conditionalFormatting xmlns:xm="http://schemas.microsoft.com/office/excel/2006/main">
          <x14:cfRule type="expression" priority="11" id="{23CDD1D1-C740-468C-BF9B-F85AE1013803}">
            <xm:f>(AND(H16&lt;&gt;"",ISERROR(VLOOKUP(H16,system!$E:$E,1,FALSE))))</xm:f>
            <x14:dxf>
              <fill>
                <patternFill>
                  <bgColor rgb="FFFF0000"/>
                </patternFill>
              </fill>
            </x14:dxf>
          </x14:cfRule>
          <xm:sqref>I16:I19 I24</xm:sqref>
        </x14:conditionalFormatting>
        <x14:conditionalFormatting xmlns:xm="http://schemas.microsoft.com/office/excel/2006/main">
          <x14:cfRule type="expression" priority="8" id="{D3F268AD-C061-4CAE-9ED4-B6A10BD19A93}">
            <xm:f>(AND(H14&lt;&gt;"",ISERROR(VLOOKUP(H14,system!$E:$E,1,FALSE))))</xm:f>
            <x14:dxf>
              <fill>
                <patternFill patternType="solid">
                  <bgColor rgb="FFFF0000"/>
                </patternFill>
              </fill>
            </x14:dxf>
          </x14:cfRule>
          <xm:sqref>H14:H15</xm:sqref>
        </x14:conditionalFormatting>
        <x14:conditionalFormatting xmlns:xm="http://schemas.microsoft.com/office/excel/2006/main">
          <x14:cfRule type="expression" priority="7" id="{0BEFFCE9-0BBF-4744-BD5B-F56DFEA9F266}">
            <xm:f>(AND(H14&lt;&gt;"",ISERROR(VLOOKUP(H14,system!$E:$E,1,FALSE))))</xm:f>
            <x14:dxf>
              <fill>
                <patternFill>
                  <bgColor rgb="FFFF0000"/>
                </patternFill>
              </fill>
            </x14:dxf>
          </x14:cfRule>
          <xm:sqref>I14:I15</xm:sqref>
        </x14:conditionalFormatting>
        <x14:conditionalFormatting xmlns:xm="http://schemas.microsoft.com/office/excel/2006/main">
          <x14:cfRule type="expression" priority="6" id="{06E3D89A-659D-43E1-ADB8-06237CA0E4C0}">
            <xm:f>(AND(H17&lt;&gt;"",ISERROR(VLOOKUP(H17,system!$E:$E,1,FALSE))))</xm:f>
            <x14:dxf>
              <fill>
                <patternFill patternType="solid">
                  <bgColor rgb="FFFF0000"/>
                </patternFill>
              </fill>
            </x14:dxf>
          </x14:cfRule>
          <xm:sqref>H17</xm:sqref>
        </x14:conditionalFormatting>
        <x14:conditionalFormatting xmlns:xm="http://schemas.microsoft.com/office/excel/2006/main">
          <x14:cfRule type="expression" priority="5" id="{6535239F-4979-441E-A00B-F70CCFA3CBA5}">
            <xm:f>(AND(H18&lt;&gt;"",ISERROR(VLOOKUP(H18,system!$E:$E,1,FALSE))))</xm:f>
            <x14:dxf>
              <fill>
                <patternFill patternType="solid">
                  <bgColor rgb="FFFF0000"/>
                </patternFill>
              </fill>
            </x14:dxf>
          </x14:cfRule>
          <xm:sqref>H18</xm:sqref>
        </x14:conditionalFormatting>
        <x14:conditionalFormatting xmlns:xm="http://schemas.microsoft.com/office/excel/2006/main">
          <x14:cfRule type="expression" priority="4" id="{31F25011-FECB-4D0C-A0B0-BED66F60B2B7}">
            <xm:f>(AND(H19&lt;&gt;"",ISERROR(VLOOKUP(H19,system!$E:$E,1,FALSE))))</xm:f>
            <x14:dxf>
              <fill>
                <patternFill patternType="solid">
                  <bgColor rgb="FFFF0000"/>
                </patternFill>
              </fill>
            </x14:dxf>
          </x14:cfRule>
          <xm:sqref>H19</xm:sqref>
        </x14:conditionalFormatting>
        <x14:conditionalFormatting xmlns:xm="http://schemas.microsoft.com/office/excel/2006/main">
          <x14:cfRule type="expression" priority="3" id="{F6A9C8FF-F309-4EF6-A9D5-94EA266E4D8A}">
            <xm:f>(AND(H20&lt;&gt;"",ISERROR(VLOOKUP(H20,system!$E:$E,1,FALSE))))</xm:f>
            <x14:dxf>
              <fill>
                <patternFill patternType="solid">
                  <bgColor rgb="FFFF0000"/>
                </patternFill>
              </fill>
            </x14:dxf>
          </x14:cfRule>
          <xm:sqref>H20:H23</xm:sqref>
        </x14:conditionalFormatting>
        <x14:conditionalFormatting xmlns:xm="http://schemas.microsoft.com/office/excel/2006/main">
          <x14:cfRule type="expression" priority="2" id="{253B8E03-E6DD-42F8-AB54-A26D92C4F3F7}">
            <xm:f>(AND(H20&lt;&gt;"",ISERROR(VLOOKUP(H20,system!$E:$E,1,FALSE))))</xm:f>
            <x14:dxf>
              <fill>
                <patternFill>
                  <bgColor rgb="FFFF0000"/>
                </patternFill>
              </fill>
            </x14:dxf>
          </x14:cfRule>
          <xm:sqref>I20:I23</xm:sqref>
        </x14:conditionalFormatting>
        <x14:conditionalFormatting xmlns:xm="http://schemas.microsoft.com/office/excel/2006/main">
          <x14:cfRule type="expression" priority="1" id="{7B59E76F-DD5D-4454-B1EF-D9A849C8FD19}">
            <xm:f>(AND(H16&lt;&gt;"",ISERROR(VLOOKUP(H16,system!$E:$E,1,FALSE))))</xm:f>
            <x14:dxf>
              <fill>
                <patternFill patternType="solid">
                  <bgColor rgb="FFFF0000"/>
                </patternFill>
              </fill>
            </x14:dxf>
          </x14:cfRule>
          <xm:sqref>H16</xm:sqref>
        </x14:conditionalFormatting>
      </x14:conditionalFormattings>
    </ext>
  </extLs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A1:U25"/>
  <sheetViews>
    <sheetView showGridLines="0" zoomScale="120" zoomScaleNormal="120" workbookViewId="0">
      <pane ySplit="13" topLeftCell="A14" activePane="bottomLeft" state="frozen"/>
      <selection pane="bottomLeft" activeCell="J2" sqref="J2:M5"/>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7" t="s">
        <v>27</v>
      </c>
      <c r="P1" s="248"/>
      <c r="Q1" s="248"/>
      <c r="R1" s="248"/>
      <c r="S1" s="248"/>
      <c r="T1" s="248"/>
      <c r="U1" s="249"/>
    </row>
    <row r="2" spans="1:21" ht="14.45" customHeight="1">
      <c r="A2" s="39"/>
      <c r="B2" s="100" t="s">
        <v>64</v>
      </c>
      <c r="C2" s="5"/>
      <c r="D2" s="5"/>
      <c r="E2" s="5"/>
      <c r="F2" s="5"/>
      <c r="G2" s="6"/>
      <c r="H2" s="7"/>
      <c r="I2" s="8"/>
      <c r="J2" s="250"/>
      <c r="K2" s="251"/>
      <c r="L2" s="250"/>
      <c r="M2" s="251"/>
      <c r="N2" s="52"/>
      <c r="O2" s="252" t="s">
        <v>83</v>
      </c>
      <c r="P2" s="253"/>
      <c r="Q2" s="253"/>
      <c r="R2" s="253"/>
      <c r="S2" s="253"/>
      <c r="T2" s="253"/>
      <c r="U2" s="254"/>
    </row>
    <row r="3" spans="1:21" ht="14.25" customHeight="1">
      <c r="A3" s="40"/>
      <c r="B3" s="35"/>
      <c r="C3" s="5"/>
      <c r="D3" s="5"/>
      <c r="E3" s="5"/>
      <c r="F3" s="5"/>
      <c r="G3" s="9"/>
      <c r="H3" s="10"/>
      <c r="I3" s="143"/>
      <c r="J3" s="271"/>
      <c r="K3" s="272"/>
      <c r="L3" s="269"/>
      <c r="M3" s="270"/>
      <c r="N3" s="52"/>
      <c r="O3" s="257"/>
      <c r="P3" s="258"/>
      <c r="Q3" s="258"/>
      <c r="R3" s="258"/>
      <c r="S3" s="258"/>
      <c r="T3" s="258"/>
      <c r="U3" s="259"/>
    </row>
    <row r="4" spans="1:21" ht="14.45" customHeight="1">
      <c r="A4" s="41"/>
      <c r="B4" s="36" t="s">
        <v>3</v>
      </c>
      <c r="C4" s="5"/>
      <c r="D4" s="5"/>
      <c r="E4" s="5"/>
      <c r="F4" s="5"/>
      <c r="G4" s="6"/>
      <c r="H4" s="10"/>
      <c r="I4" s="144"/>
      <c r="J4" s="271"/>
      <c r="K4" s="272"/>
      <c r="L4" s="267"/>
      <c r="M4" s="268"/>
      <c r="N4" s="52"/>
      <c r="O4" s="210"/>
      <c r="P4" s="211"/>
      <c r="Q4" s="211"/>
      <c r="R4" s="211"/>
      <c r="S4" s="211"/>
      <c r="T4" s="211"/>
      <c r="U4" s="212"/>
    </row>
    <row r="5" spans="1:21" ht="14.45" customHeight="1" thickBot="1">
      <c r="A5" s="42"/>
      <c r="B5" s="11"/>
      <c r="C5" s="11"/>
      <c r="D5" s="11"/>
      <c r="E5" s="11"/>
      <c r="F5" s="11"/>
      <c r="G5" s="12"/>
      <c r="H5" s="13"/>
      <c r="I5" s="14"/>
      <c r="J5" s="242"/>
      <c r="K5" s="243"/>
      <c r="L5" s="244"/>
      <c r="M5" s="245"/>
      <c r="N5" s="53"/>
      <c r="O5" s="246"/>
      <c r="P5" s="211"/>
      <c r="Q5" s="211"/>
      <c r="R5" s="211"/>
      <c r="S5" s="211"/>
      <c r="T5" s="211"/>
      <c r="U5" s="212"/>
    </row>
    <row r="6" spans="1:21" ht="14.45" customHeight="1">
      <c r="A6" s="43"/>
      <c r="B6" s="101" t="s">
        <v>4</v>
      </c>
      <c r="C6" s="20"/>
      <c r="D6" s="21"/>
      <c r="E6" s="222" t="s">
        <v>65</v>
      </c>
      <c r="F6" s="223"/>
      <c r="G6" s="223"/>
      <c r="H6" s="224"/>
      <c r="I6" s="60" t="s">
        <v>26</v>
      </c>
      <c r="J6" s="26"/>
      <c r="K6" s="225" t="s">
        <v>33</v>
      </c>
      <c r="L6" s="226"/>
      <c r="M6" s="227"/>
      <c r="N6" s="91" t="s">
        <v>5</v>
      </c>
      <c r="O6" s="210"/>
      <c r="P6" s="211"/>
      <c r="Q6" s="211"/>
      <c r="R6" s="211"/>
      <c r="S6" s="211"/>
      <c r="T6" s="211"/>
      <c r="U6" s="212"/>
    </row>
    <row r="7" spans="1:21" ht="15.75" customHeight="1">
      <c r="A7" s="44"/>
      <c r="B7" s="102" t="s">
        <v>6</v>
      </c>
      <c r="C7" s="22"/>
      <c r="D7" s="23"/>
      <c r="E7" s="228" t="s">
        <v>66</v>
      </c>
      <c r="F7" s="229"/>
      <c r="G7" s="229"/>
      <c r="H7" s="230"/>
      <c r="I7" s="61" t="s">
        <v>28</v>
      </c>
      <c r="J7" s="27"/>
      <c r="K7" s="231" t="s">
        <v>34</v>
      </c>
      <c r="L7" s="232"/>
      <c r="M7" s="233"/>
      <c r="N7" s="92">
        <f>COUNTIF(H14:H23,"LONG")+COUNTIF(H14:H23,"LONG RAW")</f>
        <v>0</v>
      </c>
      <c r="O7" s="210"/>
      <c r="P7" s="211"/>
      <c r="Q7" s="211"/>
      <c r="R7" s="211"/>
      <c r="S7" s="211"/>
      <c r="T7" s="211"/>
      <c r="U7" s="212"/>
    </row>
    <row r="8" spans="1:21" ht="14.45" customHeight="1">
      <c r="A8" s="45"/>
      <c r="B8" s="22" t="s">
        <v>7</v>
      </c>
      <c r="C8" s="22"/>
      <c r="D8" s="23"/>
      <c r="E8" s="228" t="s">
        <v>67</v>
      </c>
      <c r="F8" s="229"/>
      <c r="G8" s="229"/>
      <c r="H8" s="230"/>
      <c r="I8" s="62"/>
      <c r="J8" s="27"/>
      <c r="K8" s="234"/>
      <c r="L8" s="235"/>
      <c r="M8" s="236"/>
      <c r="N8" s="92"/>
      <c r="O8" s="210"/>
      <c r="P8" s="211"/>
      <c r="Q8" s="211"/>
      <c r="R8" s="211"/>
      <c r="S8" s="211"/>
      <c r="T8" s="211"/>
      <c r="U8" s="212"/>
    </row>
    <row r="9" spans="1:21" ht="14.45" customHeight="1">
      <c r="A9" s="45"/>
      <c r="B9" s="22" t="s">
        <v>8</v>
      </c>
      <c r="C9" s="22"/>
      <c r="D9" s="23"/>
      <c r="E9" s="237" t="s">
        <v>68</v>
      </c>
      <c r="F9" s="238"/>
      <c r="G9" s="238"/>
      <c r="H9" s="239"/>
      <c r="I9" s="61" t="s">
        <v>9</v>
      </c>
      <c r="J9" s="27"/>
      <c r="K9" s="86"/>
      <c r="L9" s="88">
        <f>SUM(N14:N23)</f>
        <v>106</v>
      </c>
      <c r="M9" s="82"/>
      <c r="N9" s="93">
        <f>SUMIF(M14:M23,"■",N14:N23)</f>
        <v>0</v>
      </c>
      <c r="O9" s="210"/>
      <c r="P9" s="211"/>
      <c r="Q9" s="211"/>
      <c r="R9" s="211"/>
      <c r="S9" s="211"/>
      <c r="T9" s="211"/>
      <c r="U9" s="212"/>
    </row>
    <row r="10" spans="1:21" ht="14.45" customHeight="1">
      <c r="A10" s="45"/>
      <c r="B10" s="22" t="s">
        <v>10</v>
      </c>
      <c r="C10" s="22"/>
      <c r="D10" s="23"/>
      <c r="E10" s="219" t="s">
        <v>68</v>
      </c>
      <c r="F10" s="220"/>
      <c r="G10" s="220"/>
      <c r="H10" s="221"/>
      <c r="I10" s="61" t="s">
        <v>11</v>
      </c>
      <c r="J10" s="27"/>
      <c r="K10" s="86"/>
      <c r="L10" s="89">
        <f>E11*L9/1000</f>
        <v>10.6</v>
      </c>
      <c r="M10" s="82"/>
      <c r="N10" s="55"/>
      <c r="O10" s="210"/>
      <c r="P10" s="211"/>
      <c r="Q10" s="211"/>
      <c r="R10" s="211"/>
      <c r="S10" s="211"/>
      <c r="T10" s="211"/>
      <c r="U10" s="212"/>
    </row>
    <row r="11" spans="1:21" ht="17.25" customHeight="1" thickBot="1">
      <c r="A11" s="46"/>
      <c r="B11" s="24" t="s">
        <v>29</v>
      </c>
      <c r="C11" s="24"/>
      <c r="D11" s="25"/>
      <c r="E11" s="207">
        <v>100</v>
      </c>
      <c r="F11" s="208"/>
      <c r="G11" s="208"/>
      <c r="H11" s="209"/>
      <c r="I11" s="103" t="s">
        <v>12</v>
      </c>
      <c r="J11" s="104"/>
      <c r="K11" s="87"/>
      <c r="L11" s="90"/>
      <c r="M11" s="83"/>
      <c r="N11" s="56"/>
      <c r="O11" s="210"/>
      <c r="P11" s="211"/>
      <c r="Q11" s="211"/>
      <c r="R11" s="211"/>
      <c r="S11" s="211"/>
      <c r="T11" s="211"/>
      <c r="U11" s="212"/>
    </row>
    <row r="12" spans="1:21" ht="15.75" customHeight="1" thickBot="1">
      <c r="A12" s="64"/>
      <c r="B12" s="65"/>
      <c r="C12" s="30"/>
      <c r="D12" s="30"/>
      <c r="E12" s="31"/>
      <c r="F12" s="32"/>
      <c r="G12" s="29"/>
      <c r="H12" s="28"/>
      <c r="I12" s="29"/>
      <c r="J12" s="30" t="s">
        <v>13</v>
      </c>
      <c r="K12" s="31"/>
      <c r="L12" s="66"/>
      <c r="M12" s="48"/>
      <c r="N12" s="57">
        <f>COUNTA(H14:H23)</f>
        <v>9</v>
      </c>
      <c r="O12" s="213"/>
      <c r="P12" s="214"/>
      <c r="Q12" s="214"/>
      <c r="R12" s="214"/>
      <c r="S12" s="214"/>
      <c r="T12" s="214"/>
      <c r="U12" s="215"/>
    </row>
    <row r="13" spans="1:21" ht="32.25" customHeight="1" thickBot="1">
      <c r="A13" s="105" t="s">
        <v>14</v>
      </c>
      <c r="B13" s="94"/>
      <c r="C13" s="95" t="s">
        <v>15</v>
      </c>
      <c r="D13" s="72"/>
      <c r="E13" s="71"/>
      <c r="F13" s="72" t="s">
        <v>16</v>
      </c>
      <c r="G13" s="71"/>
      <c r="H13" s="72" t="s">
        <v>17</v>
      </c>
      <c r="I13" s="71"/>
      <c r="J13" s="63" t="s">
        <v>18</v>
      </c>
      <c r="K13" s="63" t="s">
        <v>19</v>
      </c>
      <c r="L13" s="98" t="s">
        <v>30</v>
      </c>
      <c r="M13" s="99" t="s">
        <v>20</v>
      </c>
      <c r="N13" s="106">
        <f>COUNTIF(M14:M23,"■")</f>
        <v>0</v>
      </c>
      <c r="O13" s="96" t="s">
        <v>31</v>
      </c>
      <c r="P13" s="216" t="s">
        <v>32</v>
      </c>
      <c r="Q13" s="217"/>
      <c r="R13" s="217"/>
      <c r="S13" s="217"/>
      <c r="T13" s="217"/>
      <c r="U13" s="218"/>
    </row>
    <row r="14" spans="1:21" ht="15.75" customHeight="1">
      <c r="A14" s="85" t="s">
        <v>42</v>
      </c>
      <c r="B14" s="37">
        <f>ROW()-13</f>
        <v>1</v>
      </c>
      <c r="C14" s="80" t="s">
        <v>69</v>
      </c>
      <c r="D14" s="80"/>
      <c r="E14" s="81"/>
      <c r="F14" s="84" t="s">
        <v>72</v>
      </c>
      <c r="G14" s="17"/>
      <c r="H14" s="18" t="s">
        <v>77</v>
      </c>
      <c r="I14" s="59"/>
      <c r="J14" s="19">
        <v>4</v>
      </c>
      <c r="K14" s="19"/>
      <c r="L14" s="50"/>
      <c r="M14" s="73" t="s">
        <v>121</v>
      </c>
      <c r="N14" s="54">
        <f t="shared" ref="N14:N22" si="0">IF(H14="NUMBER",IF(J14&gt;0,INT((J14+1)/2+0.9),0),IF(H14="DATE",7,IF(OR(H14="LONG",H14="LONG RAW"),100000,J14)))</f>
        <v>4</v>
      </c>
      <c r="O14" s="97"/>
      <c r="P14" s="203"/>
      <c r="Q14" s="204"/>
      <c r="R14" s="204"/>
      <c r="S14" s="204"/>
      <c r="T14" s="204"/>
      <c r="U14" s="205"/>
    </row>
    <row r="15" spans="1:21" ht="15.75" customHeight="1">
      <c r="A15" s="85"/>
      <c r="B15" s="37">
        <f>ROW()-13</f>
        <v>2</v>
      </c>
      <c r="C15" s="80" t="s">
        <v>70</v>
      </c>
      <c r="D15" s="80"/>
      <c r="E15" s="81"/>
      <c r="F15" s="84" t="s">
        <v>73</v>
      </c>
      <c r="G15" s="17"/>
      <c r="H15" s="18" t="s">
        <v>76</v>
      </c>
      <c r="I15" s="59"/>
      <c r="J15" s="19">
        <v>50</v>
      </c>
      <c r="K15" s="19"/>
      <c r="L15" s="50"/>
      <c r="M15" s="73" t="s">
        <v>35</v>
      </c>
      <c r="N15" s="54">
        <f t="shared" si="0"/>
        <v>50</v>
      </c>
      <c r="O15" s="97"/>
      <c r="P15" s="200"/>
      <c r="Q15" s="201"/>
      <c r="R15" s="201"/>
      <c r="S15" s="201"/>
      <c r="T15" s="201"/>
      <c r="U15" s="202"/>
    </row>
    <row r="16" spans="1:21" ht="15.75" customHeight="1">
      <c r="A16" s="85"/>
      <c r="B16" s="37">
        <f t="shared" ref="B16:B22" si="1">ROW()-13</f>
        <v>3</v>
      </c>
      <c r="C16" s="107" t="s">
        <v>36</v>
      </c>
      <c r="D16" s="107"/>
      <c r="E16" s="108"/>
      <c r="F16" s="109" t="s">
        <v>78</v>
      </c>
      <c r="G16" s="110"/>
      <c r="H16" s="18" t="s">
        <v>76</v>
      </c>
      <c r="I16" s="112"/>
      <c r="J16" s="113">
        <v>12</v>
      </c>
      <c r="K16" s="113"/>
      <c r="L16" s="114"/>
      <c r="M16" s="115" t="s">
        <v>35</v>
      </c>
      <c r="N16" s="116">
        <f t="shared" si="0"/>
        <v>12</v>
      </c>
      <c r="O16" s="117"/>
      <c r="P16" s="200"/>
      <c r="Q16" s="201"/>
      <c r="R16" s="201"/>
      <c r="S16" s="201"/>
      <c r="T16" s="201"/>
      <c r="U16" s="202"/>
    </row>
    <row r="17" spans="1:21" ht="15.75" customHeight="1">
      <c r="A17" s="85"/>
      <c r="B17" s="37">
        <f t="shared" si="1"/>
        <v>4</v>
      </c>
      <c r="C17" s="107" t="s">
        <v>37</v>
      </c>
      <c r="D17" s="107"/>
      <c r="E17" s="108"/>
      <c r="F17" s="109" t="s">
        <v>43</v>
      </c>
      <c r="G17" s="110"/>
      <c r="H17" s="18" t="s">
        <v>76</v>
      </c>
      <c r="I17" s="112"/>
      <c r="J17" s="113">
        <v>10</v>
      </c>
      <c r="K17" s="113"/>
      <c r="L17" s="114"/>
      <c r="M17" s="115" t="s">
        <v>21</v>
      </c>
      <c r="N17" s="116">
        <f t="shared" si="0"/>
        <v>10</v>
      </c>
      <c r="O17" s="117"/>
      <c r="P17" s="200"/>
      <c r="Q17" s="201"/>
      <c r="R17" s="201"/>
      <c r="S17" s="201"/>
      <c r="T17" s="201"/>
      <c r="U17" s="202"/>
    </row>
    <row r="18" spans="1:21" ht="15.75" customHeight="1">
      <c r="A18" s="85"/>
      <c r="B18" s="37">
        <f t="shared" si="1"/>
        <v>5</v>
      </c>
      <c r="C18" s="107" t="s">
        <v>38</v>
      </c>
      <c r="D18" s="107"/>
      <c r="E18" s="108"/>
      <c r="F18" s="109" t="s">
        <v>80</v>
      </c>
      <c r="G18" s="110"/>
      <c r="H18" s="111" t="s">
        <v>75</v>
      </c>
      <c r="I18" s="112"/>
      <c r="J18" s="113"/>
      <c r="K18" s="113"/>
      <c r="L18" s="114"/>
      <c r="M18" s="115" t="s">
        <v>21</v>
      </c>
      <c r="N18" s="116">
        <f t="shared" si="0"/>
        <v>0</v>
      </c>
      <c r="O18" s="117"/>
      <c r="P18" s="200"/>
      <c r="Q18" s="201"/>
      <c r="R18" s="201"/>
      <c r="S18" s="201"/>
      <c r="T18" s="201"/>
      <c r="U18" s="202"/>
    </row>
    <row r="19" spans="1:21" ht="15.75" customHeight="1">
      <c r="A19" s="85"/>
      <c r="B19" s="37">
        <f t="shared" si="1"/>
        <v>6</v>
      </c>
      <c r="C19" s="107" t="s">
        <v>39</v>
      </c>
      <c r="D19" s="107"/>
      <c r="E19" s="108"/>
      <c r="F19" s="109" t="s">
        <v>79</v>
      </c>
      <c r="G19" s="110"/>
      <c r="H19" s="18" t="s">
        <v>76</v>
      </c>
      <c r="I19" s="112"/>
      <c r="J19" s="113">
        <v>12</v>
      </c>
      <c r="K19" s="113"/>
      <c r="L19" s="114"/>
      <c r="M19" s="115" t="s">
        <v>35</v>
      </c>
      <c r="N19" s="116">
        <f t="shared" si="0"/>
        <v>12</v>
      </c>
      <c r="O19" s="117"/>
      <c r="P19" s="200"/>
      <c r="Q19" s="201"/>
      <c r="R19" s="201"/>
      <c r="S19" s="201"/>
      <c r="T19" s="201"/>
      <c r="U19" s="202"/>
    </row>
    <row r="20" spans="1:21" ht="15.75" customHeight="1">
      <c r="A20" s="85"/>
      <c r="B20" s="37">
        <f t="shared" si="1"/>
        <v>7</v>
      </c>
      <c r="C20" s="107" t="s">
        <v>40</v>
      </c>
      <c r="D20" s="107"/>
      <c r="E20" s="108"/>
      <c r="F20" s="109" t="s">
        <v>44</v>
      </c>
      <c r="G20" s="110"/>
      <c r="H20" s="18" t="s">
        <v>76</v>
      </c>
      <c r="I20" s="112"/>
      <c r="J20" s="113">
        <v>10</v>
      </c>
      <c r="K20" s="113"/>
      <c r="L20" s="114"/>
      <c r="M20" s="115" t="s">
        <v>21</v>
      </c>
      <c r="N20" s="116">
        <f t="shared" si="0"/>
        <v>10</v>
      </c>
      <c r="O20" s="117"/>
      <c r="P20" s="200"/>
      <c r="Q20" s="201"/>
      <c r="R20" s="201"/>
      <c r="S20" s="201"/>
      <c r="T20" s="201"/>
      <c r="U20" s="202"/>
    </row>
    <row r="21" spans="1:21" ht="15.75" customHeight="1">
      <c r="A21" s="85"/>
      <c r="B21" s="37">
        <f t="shared" si="1"/>
        <v>8</v>
      </c>
      <c r="C21" s="107" t="s">
        <v>41</v>
      </c>
      <c r="D21" s="107"/>
      <c r="E21" s="108"/>
      <c r="F21" s="109" t="s">
        <v>81</v>
      </c>
      <c r="G21" s="110"/>
      <c r="H21" s="18" t="s">
        <v>75</v>
      </c>
      <c r="I21" s="112"/>
      <c r="J21" s="113"/>
      <c r="K21" s="113"/>
      <c r="L21" s="114"/>
      <c r="M21" s="115" t="s">
        <v>21</v>
      </c>
      <c r="N21" s="116">
        <f t="shared" si="0"/>
        <v>0</v>
      </c>
      <c r="O21" s="117"/>
      <c r="P21" s="200"/>
      <c r="Q21" s="201"/>
      <c r="R21" s="201"/>
      <c r="S21" s="201"/>
      <c r="T21" s="201"/>
      <c r="U21" s="202"/>
    </row>
    <row r="22" spans="1:21" ht="15.75" customHeight="1">
      <c r="A22" s="85"/>
      <c r="B22" s="37">
        <f t="shared" si="1"/>
        <v>9</v>
      </c>
      <c r="C22" s="80" t="s">
        <v>46</v>
      </c>
      <c r="D22" s="80"/>
      <c r="E22" s="81"/>
      <c r="F22" s="84" t="s">
        <v>71</v>
      </c>
      <c r="G22" s="17"/>
      <c r="H22" s="18" t="s">
        <v>82</v>
      </c>
      <c r="I22" s="59"/>
      <c r="J22" s="19">
        <v>8</v>
      </c>
      <c r="K22" s="19"/>
      <c r="L22" s="50" t="s">
        <v>47</v>
      </c>
      <c r="M22" s="73" t="s">
        <v>45</v>
      </c>
      <c r="N22" s="54">
        <f t="shared" si="0"/>
        <v>8</v>
      </c>
      <c r="O22" s="97">
        <v>0</v>
      </c>
      <c r="P22" s="203" t="s">
        <v>48</v>
      </c>
      <c r="Q22" s="204"/>
      <c r="R22" s="204"/>
      <c r="S22" s="204"/>
      <c r="T22" s="204"/>
      <c r="U22" s="205"/>
    </row>
    <row r="23" spans="1:21" ht="16.5" thickBot="1">
      <c r="A23" s="118"/>
      <c r="B23" s="119"/>
      <c r="C23" s="120"/>
      <c r="D23" s="120"/>
      <c r="E23" s="121"/>
      <c r="F23" s="129"/>
      <c r="G23" s="122"/>
      <c r="H23" s="123"/>
      <c r="I23" s="124"/>
      <c r="J23" s="125"/>
      <c r="K23" s="125"/>
      <c r="L23" s="126"/>
      <c r="M23" s="126"/>
      <c r="N23" s="127"/>
      <c r="O23" s="128"/>
      <c r="P23" s="197"/>
      <c r="Q23" s="198"/>
      <c r="R23" s="198"/>
      <c r="S23" s="198"/>
      <c r="T23" s="198"/>
      <c r="U23" s="199"/>
    </row>
    <row r="24" spans="1:21" ht="15" customHeight="1">
      <c r="A24" s="69"/>
      <c r="B24" s="70"/>
      <c r="C24" s="74"/>
      <c r="D24" s="74"/>
      <c r="E24" s="74"/>
      <c r="F24" s="74"/>
      <c r="G24" s="75"/>
      <c r="H24" s="76"/>
      <c r="I24" s="76"/>
      <c r="J24" s="77"/>
      <c r="K24" s="77"/>
      <c r="L24" s="78"/>
      <c r="M24" s="79"/>
      <c r="N24" s="52"/>
    </row>
    <row r="25" spans="1:21">
      <c r="C25" s="67"/>
      <c r="D25" s="67"/>
      <c r="E25" s="67"/>
      <c r="F25" s="67"/>
      <c r="G25" s="67"/>
      <c r="H25" s="67"/>
      <c r="I25" s="67"/>
      <c r="J25" s="67"/>
      <c r="K25" s="67"/>
      <c r="L25" s="68"/>
      <c r="M25" s="67"/>
    </row>
  </sheetData>
  <mergeCells count="40">
    <mergeCell ref="L4:M4"/>
    <mergeCell ref="L3:M3"/>
    <mergeCell ref="L2:M2"/>
    <mergeCell ref="L5:M5"/>
    <mergeCell ref="J2:K2"/>
    <mergeCell ref="J3:K3"/>
    <mergeCell ref="J4:K4"/>
    <mergeCell ref="J5:K5"/>
    <mergeCell ref="E11:H11"/>
    <mergeCell ref="O10:U10"/>
    <mergeCell ref="P14:U14"/>
    <mergeCell ref="P23:U23"/>
    <mergeCell ref="P22:U22"/>
    <mergeCell ref="P19:U19"/>
    <mergeCell ref="P21:U21"/>
    <mergeCell ref="P20:U20"/>
    <mergeCell ref="P15:U15"/>
    <mergeCell ref="P17:U17"/>
    <mergeCell ref="P16:U16"/>
    <mergeCell ref="P18:U18"/>
    <mergeCell ref="O11:U11"/>
    <mergeCell ref="P13:U13"/>
    <mergeCell ref="O12:U12"/>
    <mergeCell ref="O9:U9"/>
    <mergeCell ref="O6:U6"/>
    <mergeCell ref="O1:U1"/>
    <mergeCell ref="O2:U2"/>
    <mergeCell ref="O3:U3"/>
    <mergeCell ref="O4:U4"/>
    <mergeCell ref="O8:U8"/>
    <mergeCell ref="O5:U5"/>
    <mergeCell ref="O7:U7"/>
    <mergeCell ref="E8:H8"/>
    <mergeCell ref="E9:H9"/>
    <mergeCell ref="E10:H10"/>
    <mergeCell ref="K8:M8"/>
    <mergeCell ref="E6:H6"/>
    <mergeCell ref="E7:H7"/>
    <mergeCell ref="K6:M6"/>
    <mergeCell ref="K7:M7"/>
  </mergeCells>
  <phoneticPr fontId="16"/>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12290"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12291"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12292"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12293"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12294"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J52"/>
  <sheetViews>
    <sheetView workbookViewId="0">
      <selection activeCell="I7" sqref="I7"/>
    </sheetView>
  </sheetViews>
  <sheetFormatPr defaultColWidth="8.75" defaultRowHeight="18.75"/>
  <cols>
    <col min="1" max="1" width="3.625" style="133" customWidth="1"/>
    <col min="2" max="2" width="20.375" style="133" customWidth="1"/>
    <col min="3" max="3" width="12.875" style="133" customWidth="1"/>
    <col min="4" max="8" width="8.75" style="133"/>
    <col min="9" max="9" width="111.75" style="133" bestFit="1" customWidth="1"/>
    <col min="10" max="16384" width="8.75" style="133"/>
  </cols>
  <sheetData>
    <row r="1" spans="1:10" ht="19.5" thickBot="1">
      <c r="A1" s="133" t="s">
        <v>22</v>
      </c>
      <c r="B1" s="133" t="s">
        <v>23</v>
      </c>
    </row>
    <row r="2" spans="1:10">
      <c r="A2" s="134">
        <f>ROW()-1</f>
        <v>1</v>
      </c>
      <c r="B2" s="135" t="s">
        <v>49</v>
      </c>
      <c r="E2" s="133" t="s">
        <v>50</v>
      </c>
      <c r="I2" s="133" t="s">
        <v>87</v>
      </c>
    </row>
    <row r="3" spans="1:10">
      <c r="A3" s="136">
        <f t="shared" ref="A3:A11" si="0">ROW()-1</f>
        <v>2</v>
      </c>
      <c r="B3" s="137" t="s">
        <v>51</v>
      </c>
      <c r="E3" s="133" t="s">
        <v>52</v>
      </c>
      <c r="I3" s="149" t="s">
        <v>129</v>
      </c>
    </row>
    <row r="4" spans="1:10">
      <c r="A4" s="136">
        <f t="shared" si="0"/>
        <v>3</v>
      </c>
      <c r="B4" s="137" t="s">
        <v>24</v>
      </c>
      <c r="E4" s="133" t="s">
        <v>53</v>
      </c>
    </row>
    <row r="5" spans="1:10">
      <c r="A5" s="136">
        <f t="shared" si="0"/>
        <v>4</v>
      </c>
      <c r="B5" s="137" t="s">
        <v>54</v>
      </c>
      <c r="E5" s="133" t="s">
        <v>55</v>
      </c>
    </row>
    <row r="6" spans="1:10">
      <c r="A6" s="136">
        <f t="shared" si="0"/>
        <v>5</v>
      </c>
      <c r="B6" s="137" t="s">
        <v>74</v>
      </c>
      <c r="E6" s="133" t="s">
        <v>74</v>
      </c>
    </row>
    <row r="7" spans="1:10">
      <c r="A7" s="136">
        <f t="shared" si="0"/>
        <v>6</v>
      </c>
      <c r="B7" s="137" t="s">
        <v>56</v>
      </c>
      <c r="E7" s="133" t="s">
        <v>57</v>
      </c>
      <c r="I7" s="133" t="s">
        <v>88</v>
      </c>
      <c r="J7" s="133" t="s">
        <v>90</v>
      </c>
    </row>
    <row r="8" spans="1:10">
      <c r="A8" s="136">
        <f t="shared" si="0"/>
        <v>7</v>
      </c>
      <c r="B8" s="137" t="s">
        <v>58</v>
      </c>
      <c r="E8" s="133" t="s">
        <v>59</v>
      </c>
      <c r="I8" s="133" t="s">
        <v>89</v>
      </c>
      <c r="J8" s="133" t="s">
        <v>90</v>
      </c>
    </row>
    <row r="9" spans="1:10">
      <c r="A9" s="136">
        <f t="shared" si="0"/>
        <v>8</v>
      </c>
      <c r="B9" s="137" t="s">
        <v>60</v>
      </c>
      <c r="E9" s="133" t="s">
        <v>61</v>
      </c>
      <c r="I9" s="133" t="s">
        <v>93</v>
      </c>
      <c r="J9" s="133" t="s">
        <v>90</v>
      </c>
    </row>
    <row r="10" spans="1:10">
      <c r="A10" s="136">
        <f t="shared" si="0"/>
        <v>9</v>
      </c>
      <c r="B10" s="137" t="s">
        <v>62</v>
      </c>
      <c r="E10" s="133" t="s">
        <v>63</v>
      </c>
      <c r="I10" s="133" t="s">
        <v>94</v>
      </c>
      <c r="J10" s="133" t="s">
        <v>90</v>
      </c>
    </row>
    <row r="11" spans="1:10" ht="19.5" thickBot="1">
      <c r="A11" s="138">
        <f t="shared" si="0"/>
        <v>10</v>
      </c>
      <c r="B11" s="139" t="s">
        <v>91</v>
      </c>
      <c r="E11" s="133" t="s">
        <v>92</v>
      </c>
      <c r="I11" s="133" t="s">
        <v>135</v>
      </c>
      <c r="J11" s="133" t="s">
        <v>90</v>
      </c>
    </row>
    <row r="12" spans="1:10" ht="19.5" thickBot="1">
      <c r="B12" s="140" t="s">
        <v>25</v>
      </c>
      <c r="C12" s="141">
        <v>10</v>
      </c>
      <c r="D12" s="142" t="str">
        <f>VLOOKUP(C12,A2:B11,2,FALSE)</f>
        <v>INT</v>
      </c>
      <c r="I12" s="133" t="s">
        <v>95</v>
      </c>
      <c r="J12" s="133" t="s">
        <v>90</v>
      </c>
    </row>
    <row r="13" spans="1:10">
      <c r="I13" s="133" t="s">
        <v>96</v>
      </c>
      <c r="J13" s="133" t="s">
        <v>90</v>
      </c>
    </row>
    <row r="14" spans="1:10">
      <c r="I14" s="133" t="s">
        <v>139</v>
      </c>
      <c r="J14" s="133" t="s">
        <v>90</v>
      </c>
    </row>
    <row r="15" spans="1:10">
      <c r="I15" s="133" t="s">
        <v>97</v>
      </c>
      <c r="J15" s="133" t="s">
        <v>90</v>
      </c>
    </row>
    <row r="16" spans="1:10">
      <c r="I16" s="133" t="s">
        <v>98</v>
      </c>
      <c r="J16" s="133" t="s">
        <v>90</v>
      </c>
    </row>
    <row r="17" spans="9:10">
      <c r="I17" s="133" t="s">
        <v>143</v>
      </c>
      <c r="J17" s="133" t="s">
        <v>90</v>
      </c>
    </row>
    <row r="18" spans="9:10">
      <c r="I18" s="133" t="s">
        <v>99</v>
      </c>
      <c r="J18" s="133" t="s">
        <v>90</v>
      </c>
    </row>
    <row r="19" spans="9:10">
      <c r="I19" s="133" t="s">
        <v>100</v>
      </c>
      <c r="J19" s="133" t="s">
        <v>90</v>
      </c>
    </row>
    <row r="20" spans="9:10">
      <c r="I20" s="133" t="s">
        <v>101</v>
      </c>
      <c r="J20" s="133" t="s">
        <v>90</v>
      </c>
    </row>
    <row r="21" spans="9:10">
      <c r="I21" s="133" t="s">
        <v>102</v>
      </c>
      <c r="J21" s="133" t="s">
        <v>90</v>
      </c>
    </row>
    <row r="22" spans="9:10">
      <c r="I22" s="133" t="s">
        <v>103</v>
      </c>
      <c r="J22" s="133" t="s">
        <v>90</v>
      </c>
    </row>
    <row r="23" spans="9:10">
      <c r="I23" s="133" t="s">
        <v>150</v>
      </c>
      <c r="J23" s="133" t="s">
        <v>90</v>
      </c>
    </row>
    <row r="24" spans="9:10">
      <c r="I24" s="133" t="s">
        <v>104</v>
      </c>
      <c r="J24" s="133" t="s">
        <v>90</v>
      </c>
    </row>
    <row r="25" spans="9:10">
      <c r="I25" s="133" t="s">
        <v>105</v>
      </c>
      <c r="J25" s="133" t="s">
        <v>90</v>
      </c>
    </row>
    <row r="26" spans="9:10">
      <c r="I26" s="133" t="s">
        <v>106</v>
      </c>
      <c r="J26" s="133" t="s">
        <v>90</v>
      </c>
    </row>
    <row r="27" spans="9:10">
      <c r="I27" s="133" t="s">
        <v>107</v>
      </c>
      <c r="J27" s="133" t="s">
        <v>90</v>
      </c>
    </row>
    <row r="28" spans="9:10">
      <c r="I28" s="133" t="s">
        <v>156</v>
      </c>
      <c r="J28" s="133" t="s">
        <v>90</v>
      </c>
    </row>
    <row r="29" spans="9:10">
      <c r="I29" s="133" t="s">
        <v>108</v>
      </c>
      <c r="J29" s="133" t="s">
        <v>90</v>
      </c>
    </row>
    <row r="30" spans="9:10">
      <c r="I30" s="133" t="s">
        <v>109</v>
      </c>
      <c r="J30" s="133" t="s">
        <v>90</v>
      </c>
    </row>
    <row r="31" spans="9:10">
      <c r="I31" s="133" t="s">
        <v>160</v>
      </c>
      <c r="J31" s="133" t="s">
        <v>90</v>
      </c>
    </row>
    <row r="32" spans="9:10">
      <c r="I32" s="133" t="s">
        <v>110</v>
      </c>
      <c r="J32" s="133" t="s">
        <v>90</v>
      </c>
    </row>
    <row r="33" spans="9:10">
      <c r="I33" s="133" t="s">
        <v>111</v>
      </c>
      <c r="J33" s="133" t="s">
        <v>90</v>
      </c>
    </row>
    <row r="34" spans="9:10">
      <c r="I34" s="133" t="s">
        <v>112</v>
      </c>
      <c r="J34" s="133" t="s">
        <v>90</v>
      </c>
    </row>
    <row r="35" spans="9:10">
      <c r="I35" s="133" t="s">
        <v>113</v>
      </c>
      <c r="J35" s="133" t="s">
        <v>90</v>
      </c>
    </row>
    <row r="36" spans="9:10">
      <c r="I36" s="133" t="s">
        <v>166</v>
      </c>
      <c r="J36" s="133" t="s">
        <v>90</v>
      </c>
    </row>
    <row r="37" spans="9:10">
      <c r="I37" s="133" t="s">
        <v>114</v>
      </c>
      <c r="J37" s="133" t="s">
        <v>90</v>
      </c>
    </row>
    <row r="38" spans="9:10">
      <c r="I38" s="133" t="s">
        <v>115</v>
      </c>
      <c r="J38" s="133" t="s">
        <v>90</v>
      </c>
    </row>
    <row r="39" spans="9:10">
      <c r="I39" s="133" t="s">
        <v>170</v>
      </c>
      <c r="J39" s="133" t="s">
        <v>90</v>
      </c>
    </row>
    <row r="40" spans="9:10">
      <c r="I40" s="133" t="s">
        <v>116</v>
      </c>
      <c r="J40" s="133" t="s">
        <v>90</v>
      </c>
    </row>
    <row r="41" spans="9:10">
      <c r="I41" s="133" t="s">
        <v>117</v>
      </c>
      <c r="J41" s="133" t="s">
        <v>90</v>
      </c>
    </row>
    <row r="42" spans="9:10">
      <c r="I42" s="133" t="s">
        <v>118</v>
      </c>
      <c r="J42" s="133" t="s">
        <v>90</v>
      </c>
    </row>
    <row r="43" spans="9:10">
      <c r="I43" s="133" t="s">
        <v>119</v>
      </c>
      <c r="J43" s="133" t="s">
        <v>90</v>
      </c>
    </row>
    <row r="44" spans="9:10">
      <c r="I44" s="133" t="s">
        <v>120</v>
      </c>
      <c r="J44" s="133" t="s">
        <v>90</v>
      </c>
    </row>
    <row r="45" spans="9:10">
      <c r="I45" s="133" t="s">
        <v>174</v>
      </c>
      <c r="J45" s="133" t="s">
        <v>181</v>
      </c>
    </row>
    <row r="46" spans="9:10">
      <c r="I46" s="133" t="s">
        <v>175</v>
      </c>
      <c r="J46" s="133" t="s">
        <v>181</v>
      </c>
    </row>
    <row r="47" spans="9:10">
      <c r="I47" s="133" t="s">
        <v>176</v>
      </c>
      <c r="J47" s="133" t="s">
        <v>181</v>
      </c>
    </row>
    <row r="48" spans="9:10">
      <c r="I48" s="133" t="s">
        <v>177</v>
      </c>
      <c r="J48" s="133" t="s">
        <v>181</v>
      </c>
    </row>
    <row r="49" spans="9:10">
      <c r="I49" s="133" t="s">
        <v>178</v>
      </c>
      <c r="J49" s="133" t="s">
        <v>181</v>
      </c>
    </row>
    <row r="50" spans="9:10">
      <c r="I50" s="133" t="s">
        <v>179</v>
      </c>
      <c r="J50" s="133" t="s">
        <v>181</v>
      </c>
    </row>
    <row r="51" spans="9:10">
      <c r="I51" s="133" t="s">
        <v>180</v>
      </c>
      <c r="J51" s="133" t="s">
        <v>181</v>
      </c>
    </row>
    <row r="52" spans="9:10">
      <c r="J52" s="133" t="s">
        <v>181</v>
      </c>
    </row>
  </sheetData>
  <phoneticPr fontId="17"/>
  <printOptions gridLinesSet="0"/>
  <pageMargins left="0.75" right="0.75" top="1" bottom="1" header="0.5" footer="0.5"/>
  <headerFooter alignWithMargins="0">
    <oddHeader>&amp;A</oddHeader>
    <oddFooter>- &amp;P -</oddFooter>
  </headerFooter>
  <drawing r:id="rId1"/>
  <legacyDrawing r:id="rId2"/>
  <controls>
    <mc:AlternateContent xmlns:mc="http://schemas.openxmlformats.org/markup-compatibility/2006">
      <mc:Choice Requires="x14">
        <control shapeId="14338" r:id="rId3" name="btnCreate">
          <controlPr autoLine="0" r:id="rId4">
            <anchor moveWithCells="1">
              <from>
                <xdr:col>8</xdr:col>
                <xdr:colOff>38100</xdr:colOff>
                <xdr:row>3</xdr:row>
                <xdr:rowOff>28575</xdr:rowOff>
              </from>
              <to>
                <xdr:col>8</xdr:col>
                <xdr:colOff>952500</xdr:colOff>
                <xdr:row>4</xdr:row>
                <xdr:rowOff>95250</xdr:rowOff>
              </to>
            </anchor>
          </controlPr>
        </control>
      </mc:Choice>
      <mc:Fallback>
        <control shapeId="14338" r:id="rId3" name="btnCreate"/>
      </mc:Fallback>
    </mc:AlternateContent>
    <mc:AlternateContent xmlns:mc="http://schemas.openxmlformats.org/markup-compatibility/2006">
      <mc:Choice Requires="x14">
        <control shapeId="14337" r:id="rId5" name="btnPath">
          <controlPr autoLine="0" autoPict="0" r:id="rId6">
            <anchor moveWithCells="1">
              <from>
                <xdr:col>9</xdr:col>
                <xdr:colOff>28575</xdr:colOff>
                <xdr:row>1</xdr:row>
                <xdr:rowOff>228600</xdr:rowOff>
              </from>
              <to>
                <xdr:col>10</xdr:col>
                <xdr:colOff>0</xdr:colOff>
                <xdr:row>3</xdr:row>
                <xdr:rowOff>0</xdr:rowOff>
              </to>
            </anchor>
          </controlPr>
        </control>
      </mc:Choice>
      <mc:Fallback>
        <control shapeId="14337" r:id="rId5" name="btnPath"/>
      </mc:Fallback>
    </mc:AlternateContent>
  </controls>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U15"/>
  <sheetViews>
    <sheetView showGridLines="0" zoomScaleNormal="100" workbookViewId="0">
      <pane ySplit="13" topLeftCell="A14" activePane="bottomLeft" state="frozen"/>
      <selection activeCell="A14" sqref="A14"/>
      <selection pane="bottomLeft" activeCell="B14" sqref="B14"/>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17.25" customHeight="1" thickBot="1">
      <c r="A1" s="38"/>
      <c r="B1" s="1"/>
      <c r="C1" s="1"/>
      <c r="D1" s="1"/>
      <c r="E1" s="1"/>
      <c r="F1" s="1"/>
      <c r="G1" s="2"/>
      <c r="H1" s="3"/>
      <c r="I1" s="33" t="s">
        <v>0</v>
      </c>
      <c r="J1" s="34" t="s">
        <v>1</v>
      </c>
      <c r="K1" s="34"/>
      <c r="L1" s="34" t="s">
        <v>2</v>
      </c>
      <c r="M1" s="49"/>
      <c r="N1" s="51"/>
      <c r="O1" s="247" t="s">
        <v>27</v>
      </c>
      <c r="P1" s="248"/>
      <c r="Q1" s="248"/>
      <c r="R1" s="248"/>
      <c r="S1" s="248"/>
      <c r="T1" s="248"/>
      <c r="U1" s="249"/>
    </row>
    <row r="2" spans="1:21" ht="14.45" customHeight="1">
      <c r="A2" s="39"/>
      <c r="B2" s="100" t="s">
        <v>64</v>
      </c>
      <c r="C2" s="5"/>
      <c r="D2" s="5"/>
      <c r="E2" s="5"/>
      <c r="F2" s="5"/>
      <c r="G2" s="6"/>
      <c r="H2" s="7"/>
      <c r="I2" s="8"/>
      <c r="J2" s="250"/>
      <c r="K2" s="251"/>
      <c r="L2" s="250"/>
      <c r="M2" s="251"/>
      <c r="N2" s="52"/>
      <c r="O2" s="252"/>
      <c r="P2" s="253"/>
      <c r="Q2" s="253"/>
      <c r="R2" s="253"/>
      <c r="S2" s="253"/>
      <c r="T2" s="253"/>
      <c r="U2" s="254"/>
    </row>
    <row r="3" spans="1:21" ht="14.25" customHeight="1">
      <c r="A3" s="40"/>
      <c r="B3" s="35"/>
      <c r="C3" s="5"/>
      <c r="D3" s="5"/>
      <c r="E3" s="5"/>
      <c r="F3" s="5"/>
      <c r="G3" s="9"/>
      <c r="H3" s="10"/>
      <c r="I3" s="143"/>
      <c r="J3" s="271"/>
      <c r="K3" s="272"/>
      <c r="L3" s="269"/>
      <c r="M3" s="270"/>
      <c r="N3" s="52"/>
      <c r="O3" s="257"/>
      <c r="P3" s="258"/>
      <c r="Q3" s="258"/>
      <c r="R3" s="258"/>
      <c r="S3" s="258"/>
      <c r="T3" s="258"/>
      <c r="U3" s="259"/>
    </row>
    <row r="4" spans="1:21" ht="14.45" customHeight="1">
      <c r="A4" s="41"/>
      <c r="B4" s="36" t="s">
        <v>3</v>
      </c>
      <c r="C4" s="5"/>
      <c r="D4" s="5"/>
      <c r="E4" s="5"/>
      <c r="F4" s="5"/>
      <c r="G4" s="6"/>
      <c r="H4" s="10"/>
      <c r="I4" s="144"/>
      <c r="J4" s="271"/>
      <c r="K4" s="272"/>
      <c r="L4" s="267"/>
      <c r="M4" s="268"/>
      <c r="N4" s="52"/>
      <c r="O4" s="210"/>
      <c r="P4" s="211"/>
      <c r="Q4" s="211"/>
      <c r="R4" s="211"/>
      <c r="S4" s="211"/>
      <c r="T4" s="211"/>
      <c r="U4" s="212"/>
    </row>
    <row r="5" spans="1:21" ht="14.45" customHeight="1" thickBot="1">
      <c r="A5" s="42"/>
      <c r="B5" s="11"/>
      <c r="C5" s="11"/>
      <c r="D5" s="11"/>
      <c r="E5" s="11"/>
      <c r="F5" s="11"/>
      <c r="G5" s="12"/>
      <c r="H5" s="13"/>
      <c r="I5" s="14"/>
      <c r="J5" s="242"/>
      <c r="K5" s="243"/>
      <c r="L5" s="244"/>
      <c r="M5" s="245"/>
      <c r="N5" s="53"/>
      <c r="O5" s="246"/>
      <c r="P5" s="211"/>
      <c r="Q5" s="211"/>
      <c r="R5" s="211"/>
      <c r="S5" s="211"/>
      <c r="T5" s="211"/>
      <c r="U5" s="212"/>
    </row>
    <row r="6" spans="1:21" ht="14.45" customHeight="1">
      <c r="A6" s="43"/>
      <c r="B6" s="101" t="s">
        <v>4</v>
      </c>
      <c r="C6" s="20"/>
      <c r="D6" s="21"/>
      <c r="E6" s="222" t="s">
        <v>65</v>
      </c>
      <c r="F6" s="223"/>
      <c r="G6" s="223"/>
      <c r="H6" s="224"/>
      <c r="I6" s="60" t="s">
        <v>26</v>
      </c>
      <c r="J6" s="26"/>
      <c r="K6" s="225" t="s">
        <v>33</v>
      </c>
      <c r="L6" s="226"/>
      <c r="M6" s="227"/>
      <c r="N6" s="91" t="s">
        <v>5</v>
      </c>
      <c r="O6" s="210"/>
      <c r="P6" s="211"/>
      <c r="Q6" s="211"/>
      <c r="R6" s="211"/>
      <c r="S6" s="211"/>
      <c r="T6" s="211"/>
      <c r="U6" s="212"/>
    </row>
    <row r="7" spans="1:21" ht="15.75" customHeight="1">
      <c r="A7" s="44"/>
      <c r="B7" s="102" t="s">
        <v>6</v>
      </c>
      <c r="C7" s="22"/>
      <c r="D7" s="23"/>
      <c r="E7" s="228"/>
      <c r="F7" s="229"/>
      <c r="G7" s="229"/>
      <c r="H7" s="230"/>
      <c r="I7" s="61" t="s">
        <v>28</v>
      </c>
      <c r="J7" s="27"/>
      <c r="K7" s="231" t="s">
        <v>34</v>
      </c>
      <c r="L7" s="232"/>
      <c r="M7" s="233"/>
      <c r="N7" s="92">
        <f>COUNTIF(H14:H14,"LONG")+COUNTIF(H14:H14,"LONG RAW")</f>
        <v>0</v>
      </c>
      <c r="O7" s="210"/>
      <c r="P7" s="211"/>
      <c r="Q7" s="211"/>
      <c r="R7" s="211"/>
      <c r="S7" s="211"/>
      <c r="T7" s="211"/>
      <c r="U7" s="212"/>
    </row>
    <row r="8" spans="1:21" ht="14.45" customHeight="1">
      <c r="A8" s="45"/>
      <c r="B8" s="22" t="s">
        <v>7</v>
      </c>
      <c r="C8" s="22"/>
      <c r="D8" s="23"/>
      <c r="E8" s="228"/>
      <c r="F8" s="229"/>
      <c r="G8" s="229"/>
      <c r="H8" s="230"/>
      <c r="I8" s="62"/>
      <c r="J8" s="27"/>
      <c r="K8" s="234"/>
      <c r="L8" s="235"/>
      <c r="M8" s="236"/>
      <c r="N8" s="92"/>
      <c r="O8" s="210"/>
      <c r="P8" s="211"/>
      <c r="Q8" s="211"/>
      <c r="R8" s="211"/>
      <c r="S8" s="211"/>
      <c r="T8" s="211"/>
      <c r="U8" s="212"/>
    </row>
    <row r="9" spans="1:21" ht="14.45" customHeight="1">
      <c r="A9" s="45"/>
      <c r="B9" s="22" t="s">
        <v>8</v>
      </c>
      <c r="C9" s="22"/>
      <c r="D9" s="23"/>
      <c r="E9" s="237" t="s">
        <v>68</v>
      </c>
      <c r="F9" s="238"/>
      <c r="G9" s="238"/>
      <c r="H9" s="239"/>
      <c r="I9" s="61" t="s">
        <v>9</v>
      </c>
      <c r="J9" s="27"/>
      <c r="K9" s="86"/>
      <c r="L9" s="88">
        <f>SUM(N14:N14)</f>
        <v>0</v>
      </c>
      <c r="M9" s="82"/>
      <c r="N9" s="93">
        <f>SUMIF(M14:M14,"■",N14:N14)</f>
        <v>0</v>
      </c>
      <c r="O9" s="210"/>
      <c r="P9" s="211"/>
      <c r="Q9" s="211"/>
      <c r="R9" s="211"/>
      <c r="S9" s="211"/>
      <c r="T9" s="211"/>
      <c r="U9" s="212"/>
    </row>
    <row r="10" spans="1:21" ht="14.45" customHeight="1">
      <c r="A10" s="45"/>
      <c r="B10" s="22" t="s">
        <v>10</v>
      </c>
      <c r="C10" s="22"/>
      <c r="D10" s="23"/>
      <c r="E10" s="219" t="s">
        <v>68</v>
      </c>
      <c r="F10" s="220"/>
      <c r="G10" s="220"/>
      <c r="H10" s="221"/>
      <c r="I10" s="61" t="s">
        <v>11</v>
      </c>
      <c r="J10" s="27"/>
      <c r="K10" s="86"/>
      <c r="L10" s="89">
        <f>E11*L9/1000</f>
        <v>0</v>
      </c>
      <c r="M10" s="82"/>
      <c r="N10" s="55"/>
      <c r="O10" s="210"/>
      <c r="P10" s="211"/>
      <c r="Q10" s="211"/>
      <c r="R10" s="211"/>
      <c r="S10" s="211"/>
      <c r="T10" s="211"/>
      <c r="U10" s="212"/>
    </row>
    <row r="11" spans="1:21" ht="17.25" customHeight="1" thickBot="1">
      <c r="A11" s="46"/>
      <c r="B11" s="24" t="s">
        <v>29</v>
      </c>
      <c r="C11" s="24"/>
      <c r="D11" s="25"/>
      <c r="E11" s="207"/>
      <c r="F11" s="208"/>
      <c r="G11" s="208"/>
      <c r="H11" s="209"/>
      <c r="I11" s="103" t="s">
        <v>12</v>
      </c>
      <c r="J11" s="104"/>
      <c r="K11" s="87"/>
      <c r="L11" s="90"/>
      <c r="M11" s="83"/>
      <c r="N11" s="56"/>
      <c r="O11" s="210"/>
      <c r="P11" s="211"/>
      <c r="Q11" s="211"/>
      <c r="R11" s="211"/>
      <c r="S11" s="211"/>
      <c r="T11" s="211"/>
      <c r="U11" s="212"/>
    </row>
    <row r="12" spans="1:21" ht="15.75" customHeight="1" thickBot="1">
      <c r="A12" s="64"/>
      <c r="B12" s="65"/>
      <c r="C12" s="30"/>
      <c r="D12" s="30"/>
      <c r="E12" s="31"/>
      <c r="F12" s="32"/>
      <c r="G12" s="29"/>
      <c r="H12" s="28"/>
      <c r="I12" s="29"/>
      <c r="J12" s="30" t="s">
        <v>13</v>
      </c>
      <c r="K12" s="31"/>
      <c r="L12" s="66"/>
      <c r="M12" s="48"/>
      <c r="N12" s="57">
        <f>COUNTA(H14:H14)</f>
        <v>0</v>
      </c>
      <c r="O12" s="213"/>
      <c r="P12" s="214"/>
      <c r="Q12" s="214"/>
      <c r="R12" s="214"/>
      <c r="S12" s="214"/>
      <c r="T12" s="214"/>
      <c r="U12" s="215"/>
    </row>
    <row r="13" spans="1:21" ht="32.25" customHeight="1" thickBot="1">
      <c r="A13" s="105" t="s">
        <v>14</v>
      </c>
      <c r="B13" s="94"/>
      <c r="C13" s="95" t="s">
        <v>15</v>
      </c>
      <c r="D13" s="72"/>
      <c r="E13" s="71"/>
      <c r="F13" s="72" t="s">
        <v>16</v>
      </c>
      <c r="G13" s="71"/>
      <c r="H13" s="72" t="s">
        <v>17</v>
      </c>
      <c r="I13" s="71"/>
      <c r="J13" s="132" t="s">
        <v>18</v>
      </c>
      <c r="K13" s="132" t="s">
        <v>19</v>
      </c>
      <c r="L13" s="98" t="s">
        <v>30</v>
      </c>
      <c r="M13" s="99" t="s">
        <v>20</v>
      </c>
      <c r="N13" s="106">
        <f>COUNTIF(M14:M14,"■")</f>
        <v>0</v>
      </c>
      <c r="O13" s="131" t="s">
        <v>31</v>
      </c>
      <c r="P13" s="216" t="s">
        <v>32</v>
      </c>
      <c r="Q13" s="217"/>
      <c r="R13" s="217"/>
      <c r="S13" s="217"/>
      <c r="T13" s="217"/>
      <c r="U13" s="218"/>
    </row>
    <row r="14" spans="1:21" ht="15.75" customHeight="1">
      <c r="A14" s="85"/>
      <c r="B14" s="37">
        <f>ROW()-13</f>
        <v>1</v>
      </c>
      <c r="C14" s="145" t="s">
        <v>84</v>
      </c>
      <c r="D14" s="80"/>
      <c r="E14" s="81"/>
      <c r="F14" s="146" t="s">
        <v>85</v>
      </c>
      <c r="G14" s="17"/>
      <c r="H14" s="18"/>
      <c r="I14" s="59"/>
      <c r="J14" s="19"/>
      <c r="K14" s="19"/>
      <c r="L14" s="50"/>
      <c r="M14" s="73" t="s">
        <v>21</v>
      </c>
      <c r="N14" s="54">
        <f t="shared" ref="N14" si="0">IF(H14="NUMBER",IF(J14&gt;0,INT((J14+1)/2+0.9),0),IF(H14="DATE",7,IF(OR(H14="LONG",H14="LONG RAW"),100000,J14)))</f>
        <v>0</v>
      </c>
      <c r="O14" s="167"/>
      <c r="P14" s="203"/>
      <c r="Q14" s="204"/>
      <c r="R14" s="204"/>
      <c r="S14" s="204"/>
      <c r="T14" s="204"/>
      <c r="U14" s="205"/>
    </row>
    <row r="15" spans="1:21">
      <c r="C15" s="67"/>
      <c r="D15" s="67"/>
      <c r="E15" s="67"/>
      <c r="F15" s="67"/>
      <c r="G15" s="67"/>
      <c r="H15" s="67"/>
      <c r="I15" s="67"/>
      <c r="J15" s="67"/>
      <c r="K15" s="67"/>
      <c r="L15" s="68"/>
      <c r="M15" s="67"/>
    </row>
  </sheetData>
  <mergeCells count="31">
    <mergeCell ref="J5:K5"/>
    <mergeCell ref="L5:M5"/>
    <mergeCell ref="J2:K2"/>
    <mergeCell ref="L2:M2"/>
    <mergeCell ref="J3:K3"/>
    <mergeCell ref="L3:M3"/>
    <mergeCell ref="J4:K4"/>
    <mergeCell ref="E11:H11"/>
    <mergeCell ref="O11:U11"/>
    <mergeCell ref="O12:U12"/>
    <mergeCell ref="P13:U13"/>
    <mergeCell ref="P14:U14"/>
    <mergeCell ref="E10:H10"/>
    <mergeCell ref="O10:U10"/>
    <mergeCell ref="E6:H6"/>
    <mergeCell ref="K6:M6"/>
    <mergeCell ref="O6:U6"/>
    <mergeCell ref="E7:H7"/>
    <mergeCell ref="K7:M7"/>
    <mergeCell ref="O7:U7"/>
    <mergeCell ref="E8:H8"/>
    <mergeCell ref="K8:M8"/>
    <mergeCell ref="O8:U8"/>
    <mergeCell ref="E9:H9"/>
    <mergeCell ref="O9:U9"/>
    <mergeCell ref="O5:U5"/>
    <mergeCell ref="O1:U1"/>
    <mergeCell ref="O2:U2"/>
    <mergeCell ref="O3:U3"/>
    <mergeCell ref="L4:M4"/>
    <mergeCell ref="O4:U4"/>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1" r:id="rId4" name="Drop Down 1">
              <controlPr defaultSize="0" print="0" autoFill="0" autoLine="0" autoPict="0" macro="[0]!Type_Select">
                <anchor moveWithCells="1">
                  <from>
                    <xdr:col>7</xdr:col>
                    <xdr:colOff>180975</xdr:colOff>
                    <xdr:row>11</xdr:row>
                    <xdr:rowOff>9525</xdr:rowOff>
                  </from>
                  <to>
                    <xdr:col>8</xdr:col>
                    <xdr:colOff>561975</xdr:colOff>
                    <xdr:row>11</xdr:row>
                    <xdr:rowOff>190500</xdr:rowOff>
                  </to>
                </anchor>
              </controlPr>
            </control>
          </mc:Choice>
        </mc:AlternateContent>
        <mc:AlternateContent xmlns:mc="http://schemas.openxmlformats.org/markup-compatibility/2006">
          <mc:Choice Requires="x14">
            <control shapeId="15362" r:id="rId5" name="Button 2">
              <controlPr defaultSize="0" print="0" autoFill="0" autoLine="0" autoPict="0" macro="[0]!Index_Select">
                <anchor moveWithCells="1" sizeWithCells="1">
                  <from>
                    <xdr:col>12</xdr:col>
                    <xdr:colOff>47625</xdr:colOff>
                    <xdr:row>11</xdr:row>
                    <xdr:rowOff>9525</xdr:rowOff>
                  </from>
                  <to>
                    <xdr:col>12</xdr:col>
                    <xdr:colOff>428625</xdr:colOff>
                    <xdr:row>11</xdr:row>
                    <xdr:rowOff>180975</xdr:rowOff>
                  </to>
                </anchor>
              </controlPr>
            </control>
          </mc:Choice>
        </mc:AlternateContent>
        <mc:AlternateContent xmlns:mc="http://schemas.openxmlformats.org/markup-compatibility/2006">
          <mc:Choice Requires="x14">
            <control shapeId="15363" r:id="rId6" name="Button 3">
              <controlPr defaultSize="0" print="0" autoFill="0" autoLine="0" autoPict="0" macro="[0]!UKey_Select">
                <anchor moveWithCells="1" sizeWithCells="1">
                  <from>
                    <xdr:col>0</xdr:col>
                    <xdr:colOff>9525</xdr:colOff>
                    <xdr:row>11</xdr:row>
                    <xdr:rowOff>9525</xdr:rowOff>
                  </from>
                  <to>
                    <xdr:col>1</xdr:col>
                    <xdr:colOff>219075</xdr:colOff>
                    <xdr:row>12</xdr:row>
                    <xdr:rowOff>0</xdr:rowOff>
                  </to>
                </anchor>
              </controlPr>
            </control>
          </mc:Choice>
        </mc:AlternateContent>
        <mc:AlternateContent xmlns:mc="http://schemas.openxmlformats.org/markup-compatibility/2006">
          <mc:Choice Requires="x14">
            <control shapeId="15364" r:id="rId7" name="Button 4">
              <controlPr defaultSize="0" print="0" autoFill="0" autoLine="0" autoPict="0" macro="[0]!NotNull_Select">
                <anchor moveWithCells="1" sizeWithCells="1">
                  <from>
                    <xdr:col>10</xdr:col>
                    <xdr:colOff>323850</xdr:colOff>
                    <xdr:row>11</xdr:row>
                    <xdr:rowOff>9525</xdr:rowOff>
                  </from>
                  <to>
                    <xdr:col>12</xdr:col>
                    <xdr:colOff>28575</xdr:colOff>
                    <xdr:row>11</xdr:row>
                    <xdr:rowOff>180975</xdr:rowOff>
                  </to>
                </anchor>
              </controlPr>
            </control>
          </mc:Choice>
        </mc:AlternateContent>
        <mc:AlternateContent xmlns:mc="http://schemas.openxmlformats.org/markup-compatibility/2006">
          <mc:Choice Requires="x14">
            <control shapeId="15365" r:id="rId8" name="Button 5">
              <controlPr defaultSize="0" print="0" autoFill="0" autoLine="0" autoPict="0" macro="[0]!GYO_Insert">
                <anchor moveWithCells="1" sizeWithCells="1">
                  <from>
                    <xdr:col>2</xdr:col>
                    <xdr:colOff>161925</xdr:colOff>
                    <xdr:row>11</xdr:row>
                    <xdr:rowOff>9525</xdr:rowOff>
                  </from>
                  <to>
                    <xdr:col>3</xdr:col>
                    <xdr:colOff>114300</xdr:colOff>
                    <xdr:row>11</xdr:row>
                    <xdr:rowOff>180975</xdr:rowOff>
                  </to>
                </anchor>
              </controlPr>
            </control>
          </mc:Choice>
        </mc:AlternateContent>
        <mc:AlternateContent xmlns:mc="http://schemas.openxmlformats.org/markup-compatibility/2006">
          <mc:Choice Requires="x14">
            <control shapeId="15366" r:id="rId9" name="Button 6">
              <controlPr defaultSize="0" print="0" autoFill="0" autoLine="0" autoPict="0" macro="[0]!GYO_Delete">
                <anchor moveWithCells="1" sizeWithCells="1">
                  <from>
                    <xdr:col>3</xdr:col>
                    <xdr:colOff>371475</xdr:colOff>
                    <xdr:row>11</xdr:row>
                    <xdr:rowOff>9525</xdr:rowOff>
                  </from>
                  <to>
                    <xdr:col>4</xdr:col>
                    <xdr:colOff>190500</xdr:colOff>
                    <xdr:row>11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BA33584D-B9D6-497F-A01F-A328EAE452A7}">
            <xm:f>(AND(H14&lt;&gt;"",ISERROR(VLOOKUP(H14,system!$E:$E,1,FALSE))))</xm:f>
            <x14:dxf>
              <fill>
                <patternFill patternType="solid">
                  <bgColor rgb="FFFF0000"/>
                </patternFill>
              </fill>
            </x14:dxf>
          </x14:cfRule>
          <xm:sqref>H14</xm:sqref>
        </x14:conditionalFormatting>
        <x14:conditionalFormatting xmlns:xm="http://schemas.microsoft.com/office/excel/2006/main">
          <x14:cfRule type="expression" priority="1" id="{45A009D8-867F-4910-B1BF-BF2631EA4088}">
            <xm:f>(AND(H14&lt;&gt;"",ISERROR(VLOOKUP(H14,system!$E:$E,1,FALSE))))</xm:f>
            <x14:dxf>
              <fill>
                <patternFill>
                  <bgColor rgb="FFFF0000"/>
                </patternFill>
              </fill>
            </x14:dxf>
          </x14:cfRule>
          <xm:sqref>I14</xm:sqref>
        </x14:conditionalFormatting>
      </x14:conditionalFormatting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A1:M11"/>
  <sheetViews>
    <sheetView showGridLines="0" zoomScaleNormal="100" workbookViewId="0">
      <pane ySplit="9" topLeftCell="A10" activePane="bottomLeft" state="frozen"/>
      <selection activeCell="A14" sqref="A14"/>
      <selection pane="bottomLeft" activeCell="A10" sqref="A10"/>
    </sheetView>
  </sheetViews>
  <sheetFormatPr defaultColWidth="9" defaultRowHeight="12"/>
  <cols>
    <col min="1" max="1" width="5" style="4" customWidth="1"/>
    <col min="2" max="3" width="28.75" style="4" customWidth="1"/>
    <col min="4" max="4" width="13.75" style="4" customWidth="1"/>
    <col min="5" max="6" width="10" style="4" customWidth="1"/>
    <col min="7" max="7" width="10" style="16" customWidth="1"/>
    <col min="8" max="8" width="0.125" style="58" customWidth="1"/>
    <col min="9" max="9" width="35" style="4" customWidth="1"/>
    <col min="10" max="10" width="8.625" style="4" customWidth="1"/>
    <col min="11" max="11" width="10.125" style="4" customWidth="1"/>
    <col min="12" max="12" width="8.625" style="4" customWidth="1"/>
    <col min="13" max="13" width="43.375" style="4" customWidth="1"/>
    <col min="14" max="16384" width="9" style="4"/>
  </cols>
  <sheetData>
    <row r="1" spans="1:13" ht="17.25" customHeight="1" thickBot="1">
      <c r="A1" s="1"/>
      <c r="B1" s="1"/>
      <c r="C1" s="1"/>
      <c r="D1" s="2"/>
      <c r="E1" s="33" t="s">
        <v>0</v>
      </c>
      <c r="F1" s="34" t="s">
        <v>1</v>
      </c>
      <c r="G1" s="155" t="s">
        <v>2</v>
      </c>
      <c r="H1" s="154"/>
    </row>
    <row r="2" spans="1:13" ht="14.45" customHeight="1">
      <c r="A2" s="186" t="s">
        <v>126</v>
      </c>
      <c r="B2" s="186"/>
      <c r="C2" s="186"/>
      <c r="D2" s="187"/>
      <c r="E2" s="8"/>
      <c r="F2" s="152"/>
      <c r="G2" s="156"/>
      <c r="H2" s="52"/>
    </row>
    <row r="3" spans="1:13" ht="14.25" customHeight="1">
      <c r="A3" s="35"/>
      <c r="B3" s="5"/>
      <c r="C3" s="5"/>
      <c r="D3" s="9"/>
      <c r="E3" s="143"/>
      <c r="F3" s="130"/>
      <c r="G3" s="157"/>
      <c r="H3" s="52"/>
    </row>
    <row r="4" spans="1:13" ht="14.45" customHeight="1">
      <c r="A4" s="188" t="s">
        <v>3</v>
      </c>
      <c r="B4" s="188"/>
      <c r="C4" s="188"/>
      <c r="D4" s="189"/>
      <c r="E4" s="144"/>
      <c r="F4" s="130"/>
      <c r="G4" s="158"/>
      <c r="H4" s="52"/>
    </row>
    <row r="5" spans="1:13" ht="14.45" customHeight="1" thickBot="1">
      <c r="A5" s="11"/>
      <c r="B5" s="153"/>
      <c r="C5" s="153"/>
      <c r="D5" s="9"/>
      <c r="E5" s="14"/>
      <c r="F5" s="15"/>
      <c r="G5" s="159"/>
      <c r="H5" s="53"/>
    </row>
    <row r="6" spans="1:13" ht="14.45" customHeight="1">
      <c r="A6" s="160" t="s">
        <v>4</v>
      </c>
      <c r="B6" s="60"/>
      <c r="C6" s="190" t="s">
        <v>65</v>
      </c>
      <c r="D6" s="190"/>
      <c r="E6" s="190"/>
      <c r="F6" s="190"/>
      <c r="G6" s="191"/>
      <c r="H6" s="151"/>
      <c r="I6" s="151"/>
    </row>
    <row r="7" spans="1:13" ht="15.75" customHeight="1" thickBot="1">
      <c r="A7" s="161" t="s">
        <v>125</v>
      </c>
      <c r="B7" s="103"/>
      <c r="C7" s="192"/>
      <c r="D7" s="192"/>
      <c r="E7" s="192"/>
      <c r="F7" s="192"/>
      <c r="G7" s="193"/>
      <c r="H7" s="151"/>
      <c r="I7" s="151"/>
    </row>
    <row r="8" spans="1:13" ht="7.5" customHeight="1" thickBot="1">
      <c r="A8" s="151"/>
      <c r="B8" s="151"/>
      <c r="C8" s="151"/>
      <c r="D8" s="151"/>
      <c r="E8" s="151"/>
      <c r="F8" s="151"/>
      <c r="G8" s="151"/>
      <c r="H8" s="151"/>
      <c r="I8" s="151"/>
      <c r="J8" s="151"/>
      <c r="K8" s="151"/>
      <c r="L8" s="151"/>
      <c r="M8" s="151"/>
    </row>
    <row r="9" spans="1:13" ht="32.25" customHeight="1">
      <c r="A9" s="163" t="s">
        <v>127</v>
      </c>
      <c r="B9" s="101" t="s">
        <v>122</v>
      </c>
      <c r="C9" s="60" t="s">
        <v>123</v>
      </c>
      <c r="D9" s="60" t="s">
        <v>124</v>
      </c>
      <c r="E9" s="194" t="s">
        <v>128</v>
      </c>
      <c r="F9" s="195"/>
      <c r="G9" s="195"/>
      <c r="H9" s="195"/>
      <c r="I9" s="196"/>
    </row>
    <row r="10" spans="1:13" ht="15.75" customHeight="1">
      <c r="A10" s="162">
        <f>ROW()-9</f>
        <v>1</v>
      </c>
      <c r="B10" s="145" t="s">
        <v>84</v>
      </c>
      <c r="C10" s="150" t="s">
        <v>85</v>
      </c>
      <c r="D10" s="166"/>
      <c r="E10" s="183"/>
      <c r="F10" s="184"/>
      <c r="G10" s="184"/>
      <c r="H10" s="184"/>
      <c r="I10" s="185"/>
    </row>
    <row r="11" spans="1:13" ht="12.75">
      <c r="B11" s="67"/>
      <c r="C11" s="67"/>
      <c r="D11" s="67"/>
      <c r="E11" s="67"/>
      <c r="F11" s="67"/>
      <c r="G11" s="68"/>
    </row>
  </sheetData>
  <mergeCells count="6">
    <mergeCell ref="E10:I10"/>
    <mergeCell ref="C6:G6"/>
    <mergeCell ref="C7:G7"/>
    <mergeCell ref="A2:D2"/>
    <mergeCell ref="A4:D4"/>
    <mergeCell ref="E9:I9"/>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legacy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U12"/>
  <sheetViews>
    <sheetView showGridLines="0" zoomScale="120" zoomScaleNormal="120" workbookViewId="0">
      <pane ySplit="1" topLeftCell="A2" activePane="bottomLeft" state="frozen"/>
      <selection activeCell="A14" sqref="A14"/>
      <selection pane="bottomLeft" activeCell="B2" sqref="B2"/>
    </sheetView>
  </sheetViews>
  <sheetFormatPr defaultColWidth="9" defaultRowHeight="12.75"/>
  <cols>
    <col min="1" max="1" width="2.75" style="47" customWidth="1"/>
    <col min="2" max="2" width="3.25" style="4" customWidth="1"/>
    <col min="3" max="4" width="9" style="4"/>
    <col min="5" max="5" width="5.5" style="4" customWidth="1"/>
    <col min="6" max="6" width="8.75" style="4" customWidth="1"/>
    <col min="7" max="7" width="19.625" style="4" customWidth="1"/>
    <col min="8" max="8" width="6.25" style="4" customWidth="1"/>
    <col min="9" max="9" width="10" style="4" customWidth="1"/>
    <col min="10" max="10" width="6.375" style="4" customWidth="1"/>
    <col min="11" max="11" width="4.875" style="4" customWidth="1"/>
    <col min="12" max="12" width="5.625" style="16" customWidth="1"/>
    <col min="13" max="13" width="6.375" style="4" customWidth="1"/>
    <col min="14" max="14" width="0.125" style="58" customWidth="1"/>
    <col min="15" max="15" width="7" style="4" customWidth="1"/>
    <col min="16" max="16" width="8.625" style="4" customWidth="1"/>
    <col min="17" max="17" width="15.625" style="4" customWidth="1"/>
    <col min="18" max="18" width="8.625" style="4" customWidth="1"/>
    <col min="19" max="19" width="10.125" style="4" customWidth="1"/>
    <col min="20" max="20" width="8.625" style="4" customWidth="1"/>
    <col min="21" max="21" width="43.375" style="4" customWidth="1"/>
    <col min="22" max="16384" width="9" style="4"/>
  </cols>
  <sheetData>
    <row r="1" spans="1:21" ht="32.25" customHeight="1" thickBot="1">
      <c r="A1" s="105" t="s">
        <v>14</v>
      </c>
      <c r="B1" s="94"/>
      <c r="C1" s="95" t="s">
        <v>15</v>
      </c>
      <c r="D1" s="72"/>
      <c r="E1" s="71"/>
      <c r="F1" s="72" t="s">
        <v>16</v>
      </c>
      <c r="G1" s="71"/>
      <c r="H1" s="72" t="s">
        <v>17</v>
      </c>
      <c r="I1" s="71"/>
      <c r="J1" s="132" t="s">
        <v>18</v>
      </c>
      <c r="K1" s="132" t="s">
        <v>19</v>
      </c>
      <c r="L1" s="98" t="s">
        <v>30</v>
      </c>
      <c r="M1" s="99" t="s">
        <v>20</v>
      </c>
      <c r="N1" s="106">
        <f>COUNTIF(M2:M10,"■")</f>
        <v>0</v>
      </c>
      <c r="O1" s="131" t="s">
        <v>31</v>
      </c>
      <c r="P1" s="216" t="s">
        <v>32</v>
      </c>
      <c r="Q1" s="217"/>
      <c r="R1" s="217"/>
      <c r="S1" s="217"/>
      <c r="T1" s="217"/>
      <c r="U1" s="218"/>
    </row>
    <row r="2" spans="1:21" ht="15.75" customHeight="1">
      <c r="A2" s="85"/>
      <c r="B2" s="37">
        <f>ROW()-13</f>
        <v>-11</v>
      </c>
      <c r="C2" s="145" t="s">
        <v>84</v>
      </c>
      <c r="D2" s="80"/>
      <c r="E2" s="81"/>
      <c r="F2" s="146" t="s">
        <v>85</v>
      </c>
      <c r="G2" s="17"/>
      <c r="H2" s="18"/>
      <c r="I2" s="59"/>
      <c r="J2" s="19"/>
      <c r="K2" s="19"/>
      <c r="L2" s="50"/>
      <c r="M2" s="73" t="s">
        <v>21</v>
      </c>
      <c r="N2" s="54">
        <f t="shared" ref="N2" si="0">IF(H2="NUMBER",IF(J2&gt;0,INT((J2+1)/2+0.9),0),IF(H2="DATE",7,IF(OR(H2="LONG",H2="LONG RAW"),100000,J2)))</f>
        <v>0</v>
      </c>
      <c r="O2" s="167"/>
      <c r="P2" s="203"/>
      <c r="Q2" s="204"/>
      <c r="R2" s="204"/>
      <c r="S2" s="204"/>
      <c r="T2" s="204"/>
      <c r="U2" s="205"/>
    </row>
    <row r="3" spans="1:21" ht="15.75" customHeight="1">
      <c r="A3" s="85"/>
      <c r="B3" s="37">
        <f t="shared" ref="B3:B9" si="1">ROW()-13</f>
        <v>-10</v>
      </c>
      <c r="C3" s="107" t="s">
        <v>36</v>
      </c>
      <c r="D3" s="107"/>
      <c r="E3" s="108"/>
      <c r="F3" s="109" t="s">
        <v>78</v>
      </c>
      <c r="G3" s="110"/>
      <c r="H3" s="18" t="s">
        <v>51</v>
      </c>
      <c r="I3" s="59"/>
      <c r="J3" s="113">
        <v>12</v>
      </c>
      <c r="K3" s="113"/>
      <c r="L3" s="114"/>
      <c r="M3" s="115" t="s">
        <v>35</v>
      </c>
      <c r="N3" s="116">
        <f t="shared" ref="N3:N9" si="2">IF(H3="NUMBER",IF(J3&gt;0,INT((J3+1)/2+0.9),0),IF(H3="DATE",7,IF(OR(H3="LONG",H3="LONG RAW"),100000,J3)))</f>
        <v>12</v>
      </c>
      <c r="O3" s="168"/>
      <c r="P3" s="200"/>
      <c r="Q3" s="201"/>
      <c r="R3" s="201"/>
      <c r="S3" s="201"/>
      <c r="T3" s="201"/>
      <c r="U3" s="202"/>
    </row>
    <row r="4" spans="1:21" ht="15.75" customHeight="1">
      <c r="A4" s="85"/>
      <c r="B4" s="37">
        <f t="shared" si="1"/>
        <v>-9</v>
      </c>
      <c r="C4" s="107" t="s">
        <v>37</v>
      </c>
      <c r="D4" s="107"/>
      <c r="E4" s="108"/>
      <c r="F4" s="109" t="s">
        <v>43</v>
      </c>
      <c r="G4" s="110"/>
      <c r="H4" s="18" t="s">
        <v>51</v>
      </c>
      <c r="I4" s="59"/>
      <c r="J4" s="113">
        <v>10</v>
      </c>
      <c r="K4" s="113"/>
      <c r="L4" s="114"/>
      <c r="M4" s="115" t="s">
        <v>21</v>
      </c>
      <c r="N4" s="116">
        <f t="shared" si="2"/>
        <v>10</v>
      </c>
      <c r="O4" s="168"/>
      <c r="P4" s="200"/>
      <c r="Q4" s="201"/>
      <c r="R4" s="201"/>
      <c r="S4" s="201"/>
      <c r="T4" s="201"/>
      <c r="U4" s="202"/>
    </row>
    <row r="5" spans="1:21" ht="15.75" customHeight="1">
      <c r="A5" s="85"/>
      <c r="B5" s="37">
        <f t="shared" si="1"/>
        <v>-8</v>
      </c>
      <c r="C5" s="107" t="s">
        <v>38</v>
      </c>
      <c r="D5" s="107"/>
      <c r="E5" s="108"/>
      <c r="F5" s="109" t="s">
        <v>80</v>
      </c>
      <c r="G5" s="110"/>
      <c r="H5" s="18" t="s">
        <v>86</v>
      </c>
      <c r="I5" s="59"/>
      <c r="J5" s="113"/>
      <c r="K5" s="113"/>
      <c r="L5" s="114"/>
      <c r="M5" s="115" t="s">
        <v>21</v>
      </c>
      <c r="N5" s="116">
        <f t="shared" si="2"/>
        <v>0</v>
      </c>
      <c r="O5" s="168"/>
      <c r="P5" s="200"/>
      <c r="Q5" s="201"/>
      <c r="R5" s="201"/>
      <c r="S5" s="201"/>
      <c r="T5" s="201"/>
      <c r="U5" s="202"/>
    </row>
    <row r="6" spans="1:21" ht="15.75" customHeight="1">
      <c r="A6" s="85"/>
      <c r="B6" s="37">
        <f t="shared" si="1"/>
        <v>-7</v>
      </c>
      <c r="C6" s="107" t="s">
        <v>39</v>
      </c>
      <c r="D6" s="107"/>
      <c r="E6" s="108"/>
      <c r="F6" s="109" t="s">
        <v>79</v>
      </c>
      <c r="G6" s="110"/>
      <c r="H6" s="18" t="s">
        <v>51</v>
      </c>
      <c r="I6" s="59"/>
      <c r="J6" s="113">
        <v>12</v>
      </c>
      <c r="K6" s="113"/>
      <c r="L6" s="114"/>
      <c r="M6" s="115" t="s">
        <v>35</v>
      </c>
      <c r="N6" s="116">
        <f t="shared" si="2"/>
        <v>12</v>
      </c>
      <c r="O6" s="168"/>
      <c r="P6" s="200"/>
      <c r="Q6" s="201"/>
      <c r="R6" s="201"/>
      <c r="S6" s="201"/>
      <c r="T6" s="201"/>
      <c r="U6" s="202"/>
    </row>
    <row r="7" spans="1:21" ht="15.75" customHeight="1">
      <c r="A7" s="85"/>
      <c r="B7" s="37">
        <f t="shared" si="1"/>
        <v>-6</v>
      </c>
      <c r="C7" s="107" t="s">
        <v>40</v>
      </c>
      <c r="D7" s="107"/>
      <c r="E7" s="108"/>
      <c r="F7" s="109" t="s">
        <v>44</v>
      </c>
      <c r="G7" s="110"/>
      <c r="H7" s="18" t="s">
        <v>51</v>
      </c>
      <c r="I7" s="59"/>
      <c r="J7" s="113">
        <v>10</v>
      </c>
      <c r="K7" s="113"/>
      <c r="L7" s="114"/>
      <c r="M7" s="115" t="s">
        <v>21</v>
      </c>
      <c r="N7" s="116">
        <f t="shared" si="2"/>
        <v>10</v>
      </c>
      <c r="O7" s="168"/>
      <c r="P7" s="200"/>
      <c r="Q7" s="201"/>
      <c r="R7" s="201"/>
      <c r="S7" s="201"/>
      <c r="T7" s="201"/>
      <c r="U7" s="202"/>
    </row>
    <row r="8" spans="1:21" ht="15.75" customHeight="1">
      <c r="A8" s="85"/>
      <c r="B8" s="37">
        <f t="shared" si="1"/>
        <v>-5</v>
      </c>
      <c r="C8" s="107" t="s">
        <v>41</v>
      </c>
      <c r="D8" s="107"/>
      <c r="E8" s="108"/>
      <c r="F8" s="109" t="s">
        <v>81</v>
      </c>
      <c r="G8" s="110"/>
      <c r="H8" s="18" t="s">
        <v>86</v>
      </c>
      <c r="I8" s="59"/>
      <c r="J8" s="113"/>
      <c r="K8" s="113"/>
      <c r="L8" s="114"/>
      <c r="M8" s="115" t="s">
        <v>21</v>
      </c>
      <c r="N8" s="116">
        <f t="shared" si="2"/>
        <v>0</v>
      </c>
      <c r="O8" s="168"/>
      <c r="P8" s="200"/>
      <c r="Q8" s="201"/>
      <c r="R8" s="201"/>
      <c r="S8" s="201"/>
      <c r="T8" s="201"/>
      <c r="U8" s="202"/>
    </row>
    <row r="9" spans="1:21" ht="15.75" customHeight="1">
      <c r="A9" s="85"/>
      <c r="B9" s="37">
        <f t="shared" si="1"/>
        <v>-4</v>
      </c>
      <c r="C9" s="80" t="s">
        <v>46</v>
      </c>
      <c r="D9" s="80"/>
      <c r="E9" s="81"/>
      <c r="F9" s="84" t="s">
        <v>71</v>
      </c>
      <c r="G9" s="17"/>
      <c r="H9" s="18" t="s">
        <v>62</v>
      </c>
      <c r="I9" s="59"/>
      <c r="J9" s="19">
        <v>8</v>
      </c>
      <c r="K9" s="19"/>
      <c r="L9" s="50" t="s">
        <v>47</v>
      </c>
      <c r="M9" s="73" t="s">
        <v>35</v>
      </c>
      <c r="N9" s="54">
        <f t="shared" si="2"/>
        <v>8</v>
      </c>
      <c r="O9" s="167">
        <v>0</v>
      </c>
      <c r="P9" s="203" t="s">
        <v>48</v>
      </c>
      <c r="Q9" s="204"/>
      <c r="R9" s="204"/>
      <c r="S9" s="204"/>
      <c r="T9" s="204"/>
      <c r="U9" s="205"/>
    </row>
    <row r="10" spans="1:21" ht="16.5" thickBot="1">
      <c r="A10" s="118"/>
      <c r="B10" s="119"/>
      <c r="C10" s="120"/>
      <c r="D10" s="120"/>
      <c r="E10" s="121"/>
      <c r="F10" s="129"/>
      <c r="G10" s="122"/>
      <c r="H10" s="147"/>
      <c r="I10" s="148"/>
      <c r="J10" s="125"/>
      <c r="K10" s="125"/>
      <c r="L10" s="126"/>
      <c r="M10" s="126"/>
      <c r="N10" s="127"/>
      <c r="O10" s="169"/>
      <c r="P10" s="197"/>
      <c r="Q10" s="198"/>
      <c r="R10" s="198"/>
      <c r="S10" s="198"/>
      <c r="T10" s="198"/>
      <c r="U10" s="199"/>
    </row>
    <row r="11" spans="1:21" ht="15" customHeight="1">
      <c r="A11" s="69"/>
      <c r="B11" s="70"/>
      <c r="C11" s="74"/>
      <c r="D11" s="74"/>
      <c r="E11" s="74"/>
      <c r="F11" s="74"/>
      <c r="G11" s="75"/>
      <c r="H11" s="76"/>
      <c r="I11" s="76"/>
      <c r="J11" s="77"/>
      <c r="K11" s="77"/>
      <c r="L11" s="78"/>
      <c r="M11" s="79"/>
      <c r="N11" s="52"/>
    </row>
    <row r="12" spans="1:21">
      <c r="C12" s="67"/>
      <c r="D12" s="67"/>
      <c r="E12" s="67"/>
      <c r="F12" s="67"/>
      <c r="G12" s="67"/>
      <c r="H12" s="67"/>
      <c r="I12" s="67"/>
      <c r="J12" s="67"/>
      <c r="K12" s="67"/>
      <c r="L12" s="68"/>
      <c r="M12" s="67"/>
    </row>
  </sheetData>
  <mergeCells count="10">
    <mergeCell ref="P10:U10"/>
    <mergeCell ref="P1:U1"/>
    <mergeCell ref="P2:U2"/>
    <mergeCell ref="P3:U3"/>
    <mergeCell ref="P4:U4"/>
    <mergeCell ref="P5:U5"/>
    <mergeCell ref="P6:U6"/>
    <mergeCell ref="P7:U7"/>
    <mergeCell ref="P8:U8"/>
    <mergeCell ref="P9:U9"/>
  </mergeCells>
  <phoneticPr fontId="25"/>
  <printOptions gridLinesSet="0"/>
  <pageMargins left="0.2" right="0.19" top="0.70866141732283472" bottom="0.6692913385826772" header="0.43307086614173229" footer="0.39370078740157483"/>
  <pageSetup paperSize="9" scale="73" fitToHeight="0" orientation="landscape" horizontalDpi="4294967292" verticalDpi="300" r:id="rId1"/>
  <headerFooter alignWithMargins="0">
    <oddFooter>&amp;R&amp;"Times New Roman,標準"Page : &amp;P / &amp;N</oddFooter>
  </headerFooter>
  <extLst>
    <ext xmlns:x14="http://schemas.microsoft.com/office/spreadsheetml/2009/9/main" uri="{78C0D931-6437-407d-A8EE-F0AAD7539E65}">
      <x14:conditionalFormattings>
        <x14:conditionalFormatting xmlns:xm="http://schemas.microsoft.com/office/excel/2006/main">
          <x14:cfRule type="expression" priority="4" id="{F035184A-C1E8-4AB7-AD0E-535608644B21}">
            <xm:f>(AND(H2&lt;&gt;"",ISERROR(VLOOKUP(H2,system!$E:$E,1,FALSE))))</xm:f>
            <x14:dxf>
              <fill>
                <patternFill patternType="solid">
                  <bgColor rgb="FFFF0000"/>
                </patternFill>
              </fill>
            </x14:dxf>
          </x14:cfRule>
          <xm:sqref>H2:H10</xm:sqref>
        </x14:conditionalFormatting>
        <x14:conditionalFormatting xmlns:xm="http://schemas.microsoft.com/office/excel/2006/main">
          <x14:cfRule type="expression" priority="3" id="{C1BED7A7-081D-43E1-BBA2-52A1BA2CDE09}">
            <xm:f>(AND(H2&lt;&gt;"",ISERROR(VLOOKUP(H2,system!$E:$E,1,FALSE))))</xm:f>
            <x14:dxf>
              <fill>
                <patternFill>
                  <bgColor rgb="FFFF0000"/>
                </patternFill>
              </fill>
            </x14:dxf>
          </x14:cfRule>
          <xm:sqref>I2:I10</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5B3AFDF1A27EF4448B30400A700269C9" ma:contentTypeVersion="7" ma:contentTypeDescription="新しいドキュメントを作成します。" ma:contentTypeScope="" ma:versionID="af1e50296a73b747a155d4c5a148cd8b">
  <xsd:schema xmlns:xsd="http://www.w3.org/2001/XMLSchema" xmlns:xs="http://www.w3.org/2001/XMLSchema" xmlns:p="http://schemas.microsoft.com/office/2006/metadata/properties" xmlns:ns2="72c70d25-b9e8-475b-ae7b-39931ca24b85" targetNamespace="http://schemas.microsoft.com/office/2006/metadata/properties" ma:root="true" ma:fieldsID="d7c374c4e1cfeff0cf58497e8c642c22" ns2:_="">
    <xsd:import namespace="72c70d25-b9e8-475b-ae7b-39931ca24b85"/>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c70d25-b9e8-475b-ae7b-39931ca24b8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B420291-B01E-4963-AA20-912EBA37FE3D}">
  <ds:schemaRefs>
    <ds:schemaRef ds:uri="http://schemas.microsoft.com/sharepoint/v3/contenttype/forms"/>
  </ds:schemaRefs>
</ds:datastoreItem>
</file>

<file path=customXml/itemProps2.xml><?xml version="1.0" encoding="utf-8"?>
<ds:datastoreItem xmlns:ds="http://schemas.openxmlformats.org/officeDocument/2006/customXml" ds:itemID="{ABF1E115-C287-499E-8455-1067A6FE3F9D}">
  <ds:schemaRefs>
    <ds:schemaRef ds:uri="http://purl.org/dc/elements/1.1/"/>
    <ds:schemaRef ds:uri="http://schemas.microsoft.com/office/2006/metadata/properties"/>
    <ds:schemaRef ds:uri="http://schemas.microsoft.com/office/2006/documentManagement/types"/>
    <ds:schemaRef ds:uri="http://schemas.microsoft.com/office/infopath/2007/PartnerControls"/>
    <ds:schemaRef ds:uri="http://www.w3.org/XML/1998/namespace"/>
    <ds:schemaRef ds:uri="http://purl.org/dc/dcmitype/"/>
    <ds:schemaRef ds:uri="72c70d25-b9e8-475b-ae7b-39931ca24b85"/>
    <ds:schemaRef ds:uri="http://schemas.openxmlformats.org/package/2006/metadata/core-properties"/>
    <ds:schemaRef ds:uri="http://purl.org/dc/terms/"/>
  </ds:schemaRefs>
</ds:datastoreItem>
</file>

<file path=customXml/itemProps3.xml><?xml version="1.0" encoding="utf-8"?>
<ds:datastoreItem xmlns:ds="http://schemas.openxmlformats.org/officeDocument/2006/customXml" ds:itemID="{FCDE8A29-95B0-4F75-AE3A-536D817DBB1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c70d25-b9e8-475b-ae7b-39931ca24b8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53</vt:i4>
      </vt:variant>
      <vt:variant>
        <vt:lpstr>名前付き一覧</vt:lpstr>
      </vt:variant>
      <vt:variant>
        <vt:i4>100</vt:i4>
      </vt:variant>
    </vt:vector>
  </HeadingPairs>
  <TitlesOfParts>
    <vt:vector size="153" baseType="lpstr">
      <vt:lpstr>テーブル一覧</vt:lpstr>
      <vt:lpstr>更新履歴</vt:lpstr>
      <vt:lpstr>作業計画データ</vt:lpstr>
      <vt:lpstr>作業計画準備データ</vt:lpstr>
      <vt:lpstr>実績数量</vt:lpstr>
      <vt:lpstr>作業指示明細データ</vt:lpstr>
      <vt:lpstr>投入指示データ</vt:lpstr>
      <vt:lpstr>実績管理データ</vt:lpstr>
      <vt:lpstr>実績登録データ</vt:lpstr>
      <vt:lpstr>測定結果データ</vt:lpstr>
      <vt:lpstr>個体ＮＯ管理データ</vt:lpstr>
      <vt:lpstr>付帯作業データ</vt:lpstr>
      <vt:lpstr>投入順序実績</vt:lpstr>
      <vt:lpstr>梱包指示データ</vt:lpstr>
      <vt:lpstr>梱包実績データ</vt:lpstr>
      <vt:lpstr>在庫データ</vt:lpstr>
      <vt:lpstr>受払データ</vt:lpstr>
      <vt:lpstr>順列納入指示データ</vt:lpstr>
      <vt:lpstr>非順列納入指示データ</vt:lpstr>
      <vt:lpstr>シミュレーションヘッダ</vt:lpstr>
      <vt:lpstr>シミュレーションデータ</vt:lpstr>
      <vt:lpstr>シミュレーション組立順序</vt:lpstr>
      <vt:lpstr>生産品名マスタ</vt:lpstr>
      <vt:lpstr>組立品構成マスタ</vt:lpstr>
      <vt:lpstr>資材マスタ</vt:lpstr>
      <vt:lpstr>使用資材</vt:lpstr>
      <vt:lpstr>生産製品マスタ</vt:lpstr>
      <vt:lpstr>車種マスタ</vt:lpstr>
      <vt:lpstr>設備マスタ</vt:lpstr>
      <vt:lpstr>工程マスタ</vt:lpstr>
      <vt:lpstr>標準通過工程マスタ</vt:lpstr>
      <vt:lpstr>工程グループマスタ</vt:lpstr>
      <vt:lpstr>区分標準通過工程</vt:lpstr>
      <vt:lpstr>通過工程間チェック</vt:lpstr>
      <vt:lpstr>投入指示作成</vt:lpstr>
      <vt:lpstr>不良現象マスタ</vt:lpstr>
      <vt:lpstr>コードマスタ</vt:lpstr>
      <vt:lpstr>社員マスタ</vt:lpstr>
      <vt:lpstr>稼働日マスタ</vt:lpstr>
      <vt:lpstr>休憩時間マスタ</vt:lpstr>
      <vt:lpstr>事業所マスタ</vt:lpstr>
      <vt:lpstr>品種マスタ</vt:lpstr>
      <vt:lpstr>パスワードマスタ</vt:lpstr>
      <vt:lpstr>ＩＰアドレス管理マスタ</vt:lpstr>
      <vt:lpstr>採番マスタ</vt:lpstr>
      <vt:lpstr>読込ラベルグループマスタ</vt:lpstr>
      <vt:lpstr>ラベル定義マスタ</vt:lpstr>
      <vt:lpstr>（旧）不良現象マスタ</vt:lpstr>
      <vt:lpstr>サンプル</vt:lpstr>
      <vt:lpstr>system</vt:lpstr>
      <vt:lpstr>原紙</vt:lpstr>
      <vt:lpstr>一覧原紙</vt:lpstr>
      <vt:lpstr>原紙_行</vt:lpstr>
      <vt:lpstr>ＩＰアドレス管理マスタ!Print_Area</vt:lpstr>
      <vt:lpstr>コードマスタ!Print_Area</vt:lpstr>
      <vt:lpstr>サンプル!Print_Area</vt:lpstr>
      <vt:lpstr>シミュレーションデータ!Print_Area</vt:lpstr>
      <vt:lpstr>シミュレーションヘッダ!Print_Area</vt:lpstr>
      <vt:lpstr>シミュレーション組立順序!Print_Area</vt:lpstr>
      <vt:lpstr>テーブル一覧!Print_Area</vt:lpstr>
      <vt:lpstr>パスワードマスタ!Print_Area</vt:lpstr>
      <vt:lpstr>ラベル定義マスタ!Print_Area</vt:lpstr>
      <vt:lpstr>一覧原紙!Print_Area</vt:lpstr>
      <vt:lpstr>稼働日マスタ!Print_Area</vt:lpstr>
      <vt:lpstr>休憩時間マスタ!Print_Area</vt:lpstr>
      <vt:lpstr>区分標準通過工程!Print_Area</vt:lpstr>
      <vt:lpstr>原紙!Print_Area</vt:lpstr>
      <vt:lpstr>原紙_行!Print_Area</vt:lpstr>
      <vt:lpstr>個体ＮＯ管理データ!Print_Area</vt:lpstr>
      <vt:lpstr>工程グループマスタ!Print_Area</vt:lpstr>
      <vt:lpstr>工程マスタ!Print_Area</vt:lpstr>
      <vt:lpstr>梱包指示データ!Print_Area</vt:lpstr>
      <vt:lpstr>梱包実績データ!Print_Area</vt:lpstr>
      <vt:lpstr>採番マスタ!Print_Area</vt:lpstr>
      <vt:lpstr>在庫データ!Print_Area</vt:lpstr>
      <vt:lpstr>作業計画データ!Print_Area</vt:lpstr>
      <vt:lpstr>作業計画準備データ!Print_Area</vt:lpstr>
      <vt:lpstr>作業指示明細データ!Print_Area</vt:lpstr>
      <vt:lpstr>使用資材!Print_Area</vt:lpstr>
      <vt:lpstr>資材マスタ!Print_Area</vt:lpstr>
      <vt:lpstr>事業所マスタ!Print_Area</vt:lpstr>
      <vt:lpstr>実績管理データ!Print_Area</vt:lpstr>
      <vt:lpstr>実績数量!Print_Area</vt:lpstr>
      <vt:lpstr>実績登録データ!Print_Area</vt:lpstr>
      <vt:lpstr>社員マスタ!Print_Area</vt:lpstr>
      <vt:lpstr>車種マスタ!Print_Area</vt:lpstr>
      <vt:lpstr>受払データ!Print_Area</vt:lpstr>
      <vt:lpstr>順列納入指示データ!Print_Area</vt:lpstr>
      <vt:lpstr>生産製品マスタ!Print_Area</vt:lpstr>
      <vt:lpstr>生産品名マスタ!Print_Area</vt:lpstr>
      <vt:lpstr>設備マスタ!Print_Area</vt:lpstr>
      <vt:lpstr>組立品構成マスタ!Print_Area</vt:lpstr>
      <vt:lpstr>測定結果データ!Print_Area</vt:lpstr>
      <vt:lpstr>通過工程間チェック!Print_Area</vt:lpstr>
      <vt:lpstr>投入指示データ!Print_Area</vt:lpstr>
      <vt:lpstr>投入指示作成!Print_Area</vt:lpstr>
      <vt:lpstr>投入順序実績!Print_Area</vt:lpstr>
      <vt:lpstr>読込ラベルグループマスタ!Print_Area</vt:lpstr>
      <vt:lpstr>非順列納入指示データ!Print_Area</vt:lpstr>
      <vt:lpstr>標準通過工程マスタ!Print_Area</vt:lpstr>
      <vt:lpstr>品種マスタ!Print_Area</vt:lpstr>
      <vt:lpstr>不良現象マスタ!Print_Area</vt:lpstr>
      <vt:lpstr>付帯作業データ!Print_Area</vt:lpstr>
      <vt:lpstr>ＩＰアドレス管理マスタ!Print_Titles</vt:lpstr>
      <vt:lpstr>コードマスタ!Print_Titles</vt:lpstr>
      <vt:lpstr>サンプル!Print_Titles</vt:lpstr>
      <vt:lpstr>シミュレーションデータ!Print_Titles</vt:lpstr>
      <vt:lpstr>シミュレーションヘッダ!Print_Titles</vt:lpstr>
      <vt:lpstr>シミュレーション組立順序!Print_Titles</vt:lpstr>
      <vt:lpstr>テーブル一覧!Print_Titles</vt:lpstr>
      <vt:lpstr>パスワードマスタ!Print_Titles</vt:lpstr>
      <vt:lpstr>ラベル定義マスタ!Print_Titles</vt:lpstr>
      <vt:lpstr>一覧原紙!Print_Titles</vt:lpstr>
      <vt:lpstr>稼働日マスタ!Print_Titles</vt:lpstr>
      <vt:lpstr>休憩時間マスタ!Print_Titles</vt:lpstr>
      <vt:lpstr>区分標準通過工程!Print_Titles</vt:lpstr>
      <vt:lpstr>原紙!Print_Titles</vt:lpstr>
      <vt:lpstr>原紙_行!Print_Titles</vt:lpstr>
      <vt:lpstr>個体ＮＯ管理データ!Print_Titles</vt:lpstr>
      <vt:lpstr>工程グループマスタ!Print_Titles</vt:lpstr>
      <vt:lpstr>工程マスタ!Print_Titles</vt:lpstr>
      <vt:lpstr>梱包指示データ!Print_Titles</vt:lpstr>
      <vt:lpstr>梱包実績データ!Print_Titles</vt:lpstr>
      <vt:lpstr>採番マスタ!Print_Titles</vt:lpstr>
      <vt:lpstr>在庫データ!Print_Titles</vt:lpstr>
      <vt:lpstr>作業計画データ!Print_Titles</vt:lpstr>
      <vt:lpstr>作業計画準備データ!Print_Titles</vt:lpstr>
      <vt:lpstr>作業指示明細データ!Print_Titles</vt:lpstr>
      <vt:lpstr>使用資材!Print_Titles</vt:lpstr>
      <vt:lpstr>資材マスタ!Print_Titles</vt:lpstr>
      <vt:lpstr>事業所マスタ!Print_Titles</vt:lpstr>
      <vt:lpstr>実績管理データ!Print_Titles</vt:lpstr>
      <vt:lpstr>実績数量!Print_Titles</vt:lpstr>
      <vt:lpstr>実績登録データ!Print_Titles</vt:lpstr>
      <vt:lpstr>社員マスタ!Print_Titles</vt:lpstr>
      <vt:lpstr>車種マスタ!Print_Titles</vt:lpstr>
      <vt:lpstr>受払データ!Print_Titles</vt:lpstr>
      <vt:lpstr>順列納入指示データ!Print_Titles</vt:lpstr>
      <vt:lpstr>生産製品マスタ!Print_Titles</vt:lpstr>
      <vt:lpstr>生産品名マスタ!Print_Titles</vt:lpstr>
      <vt:lpstr>設備マスタ!Print_Titles</vt:lpstr>
      <vt:lpstr>組立品構成マスタ!Print_Titles</vt:lpstr>
      <vt:lpstr>測定結果データ!Print_Titles</vt:lpstr>
      <vt:lpstr>通過工程間チェック!Print_Titles</vt:lpstr>
      <vt:lpstr>投入指示データ!Print_Titles</vt:lpstr>
      <vt:lpstr>投入指示作成!Print_Titles</vt:lpstr>
      <vt:lpstr>投入順序実績!Print_Titles</vt:lpstr>
      <vt:lpstr>読込ラベルグループマスタ!Print_Titles</vt:lpstr>
      <vt:lpstr>非順列納入指示データ!Print_Titles</vt:lpstr>
      <vt:lpstr>標準通過工程マスタ!Print_Titles</vt:lpstr>
      <vt:lpstr>品種マスタ!Print_Titles</vt:lpstr>
      <vt:lpstr>不良現象マスタ!Print_Titles</vt:lpstr>
      <vt:lpstr>付帯作業データ!Print_Titles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日立化成工業（株）結城工場</dc:creator>
  <cp:lastModifiedBy>寺山正洋 / TERAYAMA，MASAHIRO</cp:lastModifiedBy>
  <cp:lastPrinted>2012-06-08T06:13:52Z</cp:lastPrinted>
  <dcterms:created xsi:type="dcterms:W3CDTF">1999-06-21T07:28:53Z</dcterms:created>
  <dcterms:modified xsi:type="dcterms:W3CDTF">2019-10-29T13:17:40Z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0x0101005B3AFDF1A27EF4448B30400A700269C9</vt:lpwstr>
  </property>
</Properties>
</file>