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22.xml" ContentType="application/vnd.openxmlformats-officedocument.drawing+xml"/>
  <Override PartName="/xl/drawings/drawing1.xml" ContentType="application/vnd.openxmlformats-officedocument.drawing+xml"/>
  <Override PartName="/xl/drawings/drawing15.xml" ContentType="application/vnd.openxmlformats-officedocument.drawing+xml"/>
  <Override PartName="/xl/drawings/drawing6.xml" ContentType="application/vnd.openxmlformats-officedocument.drawing+xml"/>
  <Override PartName="/xl/drawings/drawing17.xml" ContentType="application/vnd.openxmlformats-officedocument.drawing+xml"/>
  <Override PartName="/xl/drawings/drawing10.xml" ContentType="application/vnd.openxmlformats-officedocument.drawing+xml"/>
  <Override PartName="/xl/drawings/drawing2.xml" ContentType="application/vnd.openxmlformats-officedocument.drawing+xml"/>
  <Override PartName="/xl/drawings/drawing13.xml" ContentType="application/vnd.openxmlformats-officedocument.drawing+xml"/>
  <Override PartName="/xl/drawings/drawing23.xml" ContentType="application/vnd.openxmlformats-officedocument.drawing+xml"/>
  <Override PartName="/xl/drawings/drawing7.xml" ContentType="application/vnd.openxmlformats-officedocument.drawing+xml"/>
  <Override PartName="/xl/drawings/drawing20.xml" ContentType="application/vnd.openxmlformats-officedocument.drawing+xml"/>
  <Override PartName="/xl/drawings/drawing3.xml" ContentType="application/vnd.openxmlformats-officedocument.drawing+xml"/>
  <Override PartName="/xl/drawings/drawing19.xml" ContentType="application/vnd.openxmlformats-officedocument.drawing+xml"/>
  <Override PartName="/xl/drawings/drawing11.xml" ContentType="application/vnd.openxmlformats-officedocument.drawing+xml"/>
  <Override PartName="/xl/drawings/drawing16.xml" ContentType="application/vnd.openxmlformats-officedocument.drawing+xml"/>
  <Override PartName="/xl/drawings/drawing8.xml" ContentType="application/vnd.openxmlformats-officedocument.drawing+xml"/>
  <Override PartName="/xl/drawings/drawing4.xml" ContentType="application/vnd.openxmlformats-officedocument.drawing+xml"/>
  <Override PartName="/xl/drawings/drawing14.xml" ContentType="application/vnd.openxmlformats-officedocument.drawing+xml"/>
  <Override PartName="/xl/drawings/drawing21.xml" ContentType="application/vnd.openxmlformats-officedocument.drawing+xml"/>
  <Override PartName="/xl/drawings/drawing18.xml" ContentType="application/vnd.openxmlformats-officedocument.drawing+xml"/>
  <Override PartName="/xl/drawings/drawing12.xml" ContentType="application/vnd.openxmlformats-officedocument.drawing+xml"/>
  <Override PartName="/xl/drawings/drawing5.xml" ContentType="application/vnd.openxmlformats-officedocument.drawing+xml"/>
  <Override PartName="/xl/drawings/drawing9.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worksheets/sheet1.xml" ContentType="application/vnd.openxmlformats-officedocument.spreadsheetml.worksheet+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vbaProject.bin" ContentType="application/vnd.ms-office.vbaProject"/>
  <Override PartName="/xl/worksheets/sheet2.xml" ContentType="application/vnd.openxmlformats-officedocument.spreadsheetml.worksheet+xml"/>
  <Override PartName="/xl/worksheets/sheet3.xml" ContentType="application/vnd.openxmlformats-officedocument.spreadsheetml.worksheet+xml"/>
  <Override PartName="/xl/ctrlProps/ctrlProp78.xml" ContentType="application/vnd.ms-excel.controlproperties+xml"/>
  <Override PartName="/xl/comments14.xml" ContentType="application/vnd.openxmlformats-officedocument.spreadsheetml.comment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5.xml" ContentType="application/vnd.openxmlformats-officedocument.spreadsheetml.comment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omments16.xml" ContentType="application/vnd.openxmlformats-officedocument.spreadsheetml.comment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7.xml" ContentType="application/vnd.openxmlformats-officedocument.spreadsheetml.comment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omments18.xml" ContentType="application/vnd.openxmlformats-officedocument.spreadsheetml.comment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19.xml" ContentType="application/vnd.openxmlformats-officedocument.spreadsheetml.comment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20.xml" ContentType="application/vnd.openxmlformats-officedocument.spreadsheetml.comment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21.xml" ContentType="application/vnd.openxmlformats-officedocument.spreadsheetml.comment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omments22.xml" ContentType="application/vnd.openxmlformats-officedocument.spreadsheetml.comment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omments23.xml" ContentType="application/vnd.openxmlformats-officedocument.spreadsheetml.comment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omments24.xml" ContentType="application/vnd.openxmlformats-officedocument.spreadsheetml.comment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25.xml" ContentType="application/vnd.openxmlformats-officedocument.spreadsheetml.comments+xml"/>
  <Override PartName="/xl/comments1.xml" ContentType="application/vnd.openxmlformats-officedocument.spreadsheetml.comment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omments26.xml" ContentType="application/vnd.openxmlformats-officedocument.spreadsheetml.comments+xml"/>
  <Override PartName="/xl/ctrlProps/ctrlProp1.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omments27.xml" ContentType="application/vnd.openxmlformats-officedocument.spreadsheetml.comments+xml"/>
  <Override PartName="/xl/ctrlProps/ctrlProp2.xml" ContentType="application/vnd.ms-excel.controlproperties+xml"/>
  <Override PartName="/xl/ctrlProps/ctrlProp3.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omments28.xml" ContentType="application/vnd.openxmlformats-officedocument.spreadsheetml.comments+xml"/>
  <Override PartName="/xl/ctrlProps/ctrlProp4.xml" ContentType="application/vnd.ms-excel.controlproperties+xml"/>
  <Override PartName="/xl/ctrlProps/ctrlProp5.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omments29.xml" ContentType="application/vnd.openxmlformats-officedocument.spreadsheetml.comments+xml"/>
  <Override PartName="/xl/ctrlProps/ctrlProp6.xml" ContentType="application/vnd.ms-excel.controlproperties+xml"/>
  <Override PartName="/xl/comments2.xml" ContentType="application/vnd.openxmlformats-officedocument.spreadsheetml.comment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omments30.xml" ContentType="application/vnd.openxmlformats-officedocument.spreadsheetml.comments+xml"/>
  <Override PartName="/xl/ctrlProps/ctrlProp7.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31.xml" ContentType="application/vnd.openxmlformats-officedocument.spreadsheetml.comments+xml"/>
  <Override PartName="/xl/ctrlProps/ctrlProp8.xml" ContentType="application/vnd.ms-excel.controlproperties+xml"/>
  <Override PartName="/xl/ctrlProps/ctrlProp9.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omments32.xml" ContentType="application/vnd.openxmlformats-officedocument.spreadsheetml.comments+xml"/>
  <Override PartName="/xl/ctrlProps/ctrlProp10.xml" ContentType="application/vnd.ms-excel.controlproperties+xml"/>
  <Override PartName="/xl/ctrlProps/ctrlProp11.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omments33.xml" ContentType="application/vnd.openxmlformats-officedocument.spreadsheetml.comments+xml"/>
  <Override PartName="/xl/ctrlProps/ctrlProp12.xml" ContentType="application/vnd.ms-excel.controlproperties+xml"/>
  <Override PartName="/xl/comments3.xml" ContentType="application/vnd.openxmlformats-officedocument.spreadsheetml.comment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omments34.xml" ContentType="application/vnd.openxmlformats-officedocument.spreadsheetml.comments+xml"/>
  <Override PartName="/xl/ctrlProps/ctrlProp13.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omments35.xml" ContentType="application/vnd.openxmlformats-officedocument.spreadsheetml.comments+xml"/>
  <Override PartName="/xl/ctrlProps/ctrlProp14.xml" ContentType="application/vnd.ms-excel.controlproperties+xml"/>
  <Override PartName="/xl/ctrlProps/ctrlProp15.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omments36.xml" ContentType="application/vnd.openxmlformats-officedocument.spreadsheetml.comments+xml"/>
  <Override PartName="/xl/ctrlProps/ctrlProp16.xml" ContentType="application/vnd.ms-excel.controlproperties+xml"/>
  <Override PartName="/xl/ctrlProps/ctrlProp17.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omments37.xml" ContentType="application/vnd.openxmlformats-officedocument.spreadsheetml.comments+xml"/>
  <Override PartName="/xl/ctrlProps/ctrlProp18.xml" ContentType="application/vnd.ms-excel.controlproperties+xml"/>
  <Override PartName="/xl/comments4.xml" ContentType="application/vnd.openxmlformats-officedocument.spreadsheetml.comment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omments38.xml" ContentType="application/vnd.openxmlformats-officedocument.spreadsheetml.comments+xml"/>
  <Override PartName="/xl/ctrlProps/ctrlProp19.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omments39.xml" ContentType="application/vnd.openxmlformats-officedocument.spreadsheetml.comments+xml"/>
  <Override PartName="/xl/ctrlProps/ctrlProp20.xml" ContentType="application/vnd.ms-excel.controlproperties+xml"/>
  <Override PartName="/xl/ctrlProps/ctrlProp21.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2.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omments40.xml" ContentType="application/vnd.openxmlformats-officedocument.spreadsheetml.comments+xml"/>
  <Override PartName="/xl/ctrlProps/ctrlProp23.xml" ContentType="application/vnd.ms-excel.controlproperties+xml"/>
  <Override PartName="/xl/ctrlProps/ctrlProp2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omments41.xml" ContentType="application/vnd.openxmlformats-officedocument.spreadsheetml.comments+xml"/>
  <Override PartName="/xl/comments5.xml" ContentType="application/vnd.openxmlformats-officedocument.spreadsheetml.comment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omments42.xml" ContentType="application/vnd.openxmlformats-officedocument.spreadsheetml.comments+xml"/>
  <Override PartName="/xl/ctrlProps/ctrlProp25.xml" ContentType="application/vnd.ms-excel.controlproperties+xml"/>
  <Override PartName="/xl/ctrlProps/ctrlProp2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omments43.xml" ContentType="application/vnd.openxmlformats-officedocument.spreadsheetml.comments+xml"/>
  <Override PartName="/xl/ctrlProps/ctrlProp27.xml" ContentType="application/vnd.ms-excel.controlproperties+xml"/>
  <Override PartName="/xl/ctrlProps/ctrlProp28.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omments44.xml" ContentType="application/vnd.openxmlformats-officedocument.spreadsheetml.comments+xml"/>
  <Override PartName="/xl/ctrlProps/ctrlProp29.xml" ContentType="application/vnd.ms-excel.controlproperties+xml"/>
  <Override PartName="/xl/ctrlProps/ctrlProp30.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omments45.xml" ContentType="application/vnd.openxmlformats-officedocument.spreadsheetml.comments+xml"/>
  <Override PartName="/xl/comments6.xml" ContentType="application/vnd.openxmlformats-officedocument.spreadsheetml.comment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omments46.xml" ContentType="application/vnd.openxmlformats-officedocument.spreadsheetml.comments+xml"/>
  <Override PartName="/xl/ctrlProps/ctrlProp31.xml" ContentType="application/vnd.ms-excel.controlproperties+xml"/>
  <Override PartName="/xl/ctrlProps/ctrlProp32.xml" ContentType="application/vnd.ms-excel.controlproperties+xml"/>
  <Override PartName="/xl/activeX/activeX1.xml" ContentType="application/vnd.ms-office.activeX+xml"/>
  <Override PartName="/xl/activeX/activeX1.bin" ContentType="application/vnd.ms-office.activeX"/>
  <Override PartName="/xl/ctrlProps/ctrlProp33.xml" ContentType="application/vnd.ms-excel.controlproperties+xml"/>
  <Override PartName="/xl/activeX/activeX2.xml" ContentType="application/vnd.ms-office.activeX+xml"/>
  <Override PartName="/xl/activeX/activeX2.bin" ContentType="application/vnd.ms-office.activeX"/>
  <Override PartName="/xl/ctrlProps/ctrlProp34.xml" ContentType="application/vnd.ms-excel.controlproperties+xml"/>
  <Override PartName="/xl/ctrlProps/ctrlProp231.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omments47.xml" ContentType="application/vnd.openxmlformats-officedocument.spreadsheetml.comments+xml"/>
  <Override PartName="/xl/comments7.xml" ContentType="application/vnd.openxmlformats-officedocument.spreadsheetml.comments+xml"/>
  <Override PartName="/xl/comments4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8.xml" ContentType="application/vnd.openxmlformats-officedocument.spreadsheetml.comment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9.xml" ContentType="application/vnd.openxmlformats-officedocument.spreadsheetml.comment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10.xml" ContentType="application/vnd.openxmlformats-officedocument.spreadsheetml.comment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omments11.xml" ContentType="application/vnd.openxmlformats-officedocument.spreadsheetml.comment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2.xml" ContentType="application/vnd.openxmlformats-officedocument.spreadsheetml.comment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13.xml" ContentType="application/vnd.openxmlformats-officedocument.spreadsheetml.comment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mc:AlternateContent xmlns:mc="http://schemas.openxmlformats.org/markup-compatibility/2006">
    <mc:Choice Requires="x15">
      <x15ac:absPath xmlns:x15ac="http://schemas.microsoft.com/office/spreadsheetml/2010/11/ac" url="C:\work\"/>
    </mc:Choice>
  </mc:AlternateContent>
  <xr:revisionPtr revIDLastSave="0" documentId="8_{DFA1CF7A-01E9-45DA-A303-AC3DD8697D50}" xr6:coauthVersionLast="45" xr6:coauthVersionMax="45" xr10:uidLastSave="{00000000-0000-0000-0000-000000000000}"/>
  <bookViews>
    <workbookView xWindow="32290" yWindow="-110" windowWidth="29020" windowHeight="15820" tabRatio="801" xr2:uid="{00000000-000D-0000-FFFF-FFFF00000000}"/>
  </bookViews>
  <sheets>
    <sheet name="テーブル一覧" sheetId="13" r:id="rId1"/>
    <sheet name="作業計画データ" sheetId="14" r:id="rId2"/>
    <sheet name="作業計画準備データ" sheetId="15" r:id="rId3"/>
    <sheet name="実績数量" sheetId="16" r:id="rId4"/>
    <sheet name="作業指示明細データ" sheetId="17" r:id="rId5"/>
    <sheet name="投入指示データ" sheetId="18" r:id="rId6"/>
    <sheet name="実績管理データ" sheetId="19" r:id="rId7"/>
    <sheet name="実績登録データ" sheetId="20" r:id="rId8"/>
    <sheet name="個体ＮＯ管理データ" sheetId="21" r:id="rId9"/>
    <sheet name="付帯作業データ" sheetId="22" r:id="rId10"/>
    <sheet name="投入順序実績" sheetId="23" r:id="rId11"/>
    <sheet name="梱包指示データ" sheetId="24" r:id="rId12"/>
    <sheet name="梱包実績データ" sheetId="25" r:id="rId13"/>
    <sheet name="在庫データ" sheetId="26" r:id="rId14"/>
    <sheet name="受払データ" sheetId="27" r:id="rId15"/>
    <sheet name="順列納入指示データ" sheetId="28" r:id="rId16"/>
    <sheet name="非順列納入指示データ" sheetId="29" r:id="rId17"/>
    <sheet name="シミュレーションヘッダ" sheetId="30" r:id="rId18"/>
    <sheet name="シミュレーションデータ" sheetId="31" r:id="rId19"/>
    <sheet name="シミュレーション組立順序" sheetId="32" r:id="rId20"/>
    <sheet name="生産品名マスタ" sheetId="33" r:id="rId21"/>
    <sheet name="組立品構成マスタ" sheetId="34" r:id="rId22"/>
    <sheet name="資材マスタ" sheetId="35" r:id="rId23"/>
    <sheet name="使用資材" sheetId="36" r:id="rId24"/>
    <sheet name="生産製品マスタ" sheetId="37" r:id="rId25"/>
    <sheet name="車種マスタ" sheetId="38" r:id="rId26"/>
    <sheet name="設備マスタ" sheetId="39" r:id="rId27"/>
    <sheet name="工程マスタ" sheetId="40" r:id="rId28"/>
    <sheet name="標準通過工程マスタ" sheetId="41" r:id="rId29"/>
    <sheet name="工程グループマスタ" sheetId="42" r:id="rId30"/>
    <sheet name="区分標準通過工程" sheetId="43" r:id="rId31"/>
    <sheet name="通過工程間チェック" sheetId="44" r:id="rId32"/>
    <sheet name="投入指示作成" sheetId="45" r:id="rId33"/>
    <sheet name="判定理由マスタ" sheetId="46" r:id="rId34"/>
    <sheet name="コードマスタ" sheetId="47" r:id="rId35"/>
    <sheet name="社員マスタ" sheetId="48" r:id="rId36"/>
    <sheet name="稼働日マスタ" sheetId="49" r:id="rId37"/>
    <sheet name="休憩時間マスタ" sheetId="50" r:id="rId38"/>
    <sheet name="事業所マスタ" sheetId="51" r:id="rId39"/>
    <sheet name="品種マスタ" sheetId="52" r:id="rId40"/>
    <sheet name="パスワードマスタ" sheetId="53" r:id="rId41"/>
    <sheet name="ＩＰアドレス管理マスタ" sheetId="54" r:id="rId42"/>
    <sheet name="採番マスタ" sheetId="55" r:id="rId43"/>
    <sheet name="読込ラベルグループマスタ" sheetId="56" r:id="rId44"/>
    <sheet name="ラベル定義マスタ" sheetId="57" r:id="rId45"/>
    <sheet name="サンプル" sheetId="9" state="hidden" r:id="rId46"/>
    <sheet name="system" sheetId="2" state="hidden" r:id="rId47"/>
    <sheet name="原紙" sheetId="11" state="hidden" r:id="rId48"/>
    <sheet name="一覧原紙" sheetId="12" state="hidden" r:id="rId49"/>
    <sheet name="原紙_行" sheetId="10" state="hidden" r:id="rId50"/>
  </sheets>
  <definedNames>
    <definedName name="_xlnm.Print_Area" localSheetId="41">ＩＰアドレス管理マスタ!$A$1:$U$14</definedName>
    <definedName name="_xlnm.Print_Area" localSheetId="34">コードマスタ!$A$1:$U$14</definedName>
    <definedName name="_xlnm.Print_Area" localSheetId="45">サンプル!$A$1:$U$23</definedName>
    <definedName name="_xlnm.Print_Area" localSheetId="18">シミュレーションデータ!$A$1:$U$14</definedName>
    <definedName name="_xlnm.Print_Area" localSheetId="17">シミュレーションヘッダ!$A$1:$U$14</definedName>
    <definedName name="_xlnm.Print_Area" localSheetId="19">シミュレーション組立順序!$A$1:$U$14</definedName>
    <definedName name="_xlnm.Print_Area" localSheetId="0">テーブル一覧!$A$1:$M$10</definedName>
    <definedName name="_xlnm.Print_Area" localSheetId="40">パスワードマスタ!$A$1:$U$14</definedName>
    <definedName name="_xlnm.Print_Area" localSheetId="44">ラベル定義マスタ!$A$1:$U$14</definedName>
    <definedName name="_xlnm.Print_Area" localSheetId="48">一覧原紙!$A$1:$M$10</definedName>
    <definedName name="_xlnm.Print_Area" localSheetId="36">稼働日マスタ!$A$1:$U$14</definedName>
    <definedName name="_xlnm.Print_Area" localSheetId="37">休憩時間マスタ!$A$1:$U$14</definedName>
    <definedName name="_xlnm.Print_Area" localSheetId="30">区分標準通過工程!$A$1:$U$14</definedName>
    <definedName name="_xlnm.Print_Area" localSheetId="47">原紙!$A$1:$U$14</definedName>
    <definedName name="_xlnm.Print_Area" localSheetId="49">原紙_行!$A$1:$U$10</definedName>
    <definedName name="_xlnm.Print_Area" localSheetId="8">個体ＮＯ管理データ!$A$1:$U$14</definedName>
    <definedName name="_xlnm.Print_Area" localSheetId="29">工程グループマスタ!$A$1:$U$14</definedName>
    <definedName name="_xlnm.Print_Area" localSheetId="27">工程マスタ!$A$1:$U$14</definedName>
    <definedName name="_xlnm.Print_Area" localSheetId="11">梱包指示データ!$A$1:$U$14</definedName>
    <definedName name="_xlnm.Print_Area" localSheetId="12">梱包実績データ!$A$1:$U$14</definedName>
    <definedName name="_xlnm.Print_Area" localSheetId="42">採番マスタ!$A$1:$U$14</definedName>
    <definedName name="_xlnm.Print_Area" localSheetId="13">在庫データ!$A$1:$U$14</definedName>
    <definedName name="_xlnm.Print_Area" localSheetId="1">作業計画データ!$A$1:$U$14</definedName>
    <definedName name="_xlnm.Print_Area" localSheetId="2">作業計画準備データ!$A$1:$U$14</definedName>
    <definedName name="_xlnm.Print_Area" localSheetId="4">作業指示明細データ!$A$1:$U$14</definedName>
    <definedName name="_xlnm.Print_Area" localSheetId="23">使用資材!$A$1:$U$14</definedName>
    <definedName name="_xlnm.Print_Area" localSheetId="22">資材マスタ!$A$1:$U$14</definedName>
    <definedName name="_xlnm.Print_Area" localSheetId="38">事業所マスタ!$A$1:$U$14</definedName>
    <definedName name="_xlnm.Print_Area" localSheetId="6">実績管理データ!$A$1:$U$14</definedName>
    <definedName name="_xlnm.Print_Area" localSheetId="3">実績数量!$A$1:$U$14</definedName>
    <definedName name="_xlnm.Print_Area" localSheetId="7">実績登録データ!$A$1:$U$14</definedName>
    <definedName name="_xlnm.Print_Area" localSheetId="35">社員マスタ!$A$1:$U$14</definedName>
    <definedName name="_xlnm.Print_Area" localSheetId="25">車種マスタ!$A$1:$U$14</definedName>
    <definedName name="_xlnm.Print_Area" localSheetId="14">受払データ!$A$1:$U$14</definedName>
    <definedName name="_xlnm.Print_Area" localSheetId="15">順列納入指示データ!$A$1:$U$14</definedName>
    <definedName name="_xlnm.Print_Area" localSheetId="24">生産製品マスタ!$A$1:$U$14</definedName>
    <definedName name="_xlnm.Print_Area" localSheetId="20">生産品名マスタ!$A$1:$U$14</definedName>
    <definedName name="_xlnm.Print_Area" localSheetId="26">設備マスタ!$A$1:$U$14</definedName>
    <definedName name="_xlnm.Print_Area" localSheetId="21">組立品構成マスタ!$A$1:$U$14</definedName>
    <definedName name="_xlnm.Print_Area" localSheetId="31">通過工程間チェック!$A$1:$U$14</definedName>
    <definedName name="_xlnm.Print_Area" localSheetId="5">投入指示データ!$A$1:$U$14</definedName>
    <definedName name="_xlnm.Print_Area" localSheetId="32">投入指示作成!$A$1:$U$14</definedName>
    <definedName name="_xlnm.Print_Area" localSheetId="10">投入順序実績!$A$1:$U$14</definedName>
    <definedName name="_xlnm.Print_Area" localSheetId="43">読込ラベルグループマスタ!$A$1:$U$14</definedName>
    <definedName name="_xlnm.Print_Area" localSheetId="33">判定理由マスタ!$A$1:$U$14</definedName>
    <definedName name="_xlnm.Print_Area" localSheetId="16">非順列納入指示データ!$A$1:$U$14</definedName>
    <definedName name="_xlnm.Print_Area" localSheetId="28">標準通過工程マスタ!$A$1:$U$14</definedName>
    <definedName name="_xlnm.Print_Area" localSheetId="39">品種マスタ!$A$1:$U$14</definedName>
    <definedName name="_xlnm.Print_Area" localSheetId="9">付帯作業データ!$A$1:$U$14</definedName>
    <definedName name="_xlnm.Print_Titles" localSheetId="41">ＩＰアドレス管理マスタ!$13:$13</definedName>
    <definedName name="_xlnm.Print_Titles" localSheetId="34">コードマスタ!$13:$13</definedName>
    <definedName name="_xlnm.Print_Titles" localSheetId="45">サンプル!$13:$13</definedName>
    <definedName name="_xlnm.Print_Titles" localSheetId="18">シミュレーションデータ!$13:$13</definedName>
    <definedName name="_xlnm.Print_Titles" localSheetId="17">シミュレーションヘッダ!$13:$13</definedName>
    <definedName name="_xlnm.Print_Titles" localSheetId="19">シミュレーション組立順序!$13:$13</definedName>
    <definedName name="_xlnm.Print_Titles" localSheetId="0">テーブル一覧!$9:$9</definedName>
    <definedName name="_xlnm.Print_Titles" localSheetId="40">パスワードマスタ!$13:$13</definedName>
    <definedName name="_xlnm.Print_Titles" localSheetId="44">ラベル定義マスタ!$13:$13</definedName>
    <definedName name="_xlnm.Print_Titles" localSheetId="48">一覧原紙!$9:$9</definedName>
    <definedName name="_xlnm.Print_Titles" localSheetId="36">稼働日マスタ!$13:$13</definedName>
    <definedName name="_xlnm.Print_Titles" localSheetId="37">休憩時間マスタ!$13:$13</definedName>
    <definedName name="_xlnm.Print_Titles" localSheetId="30">区分標準通過工程!$13:$13</definedName>
    <definedName name="_xlnm.Print_Titles" localSheetId="47">原紙!$13:$13</definedName>
    <definedName name="_xlnm.Print_Titles" localSheetId="49">原紙_行!$1:$1</definedName>
    <definedName name="_xlnm.Print_Titles" localSheetId="8">個体ＮＯ管理データ!$13:$13</definedName>
    <definedName name="_xlnm.Print_Titles" localSheetId="29">工程グループマスタ!$13:$13</definedName>
    <definedName name="_xlnm.Print_Titles" localSheetId="27">工程マスタ!$13:$13</definedName>
    <definedName name="_xlnm.Print_Titles" localSheetId="11">梱包指示データ!$13:$13</definedName>
    <definedName name="_xlnm.Print_Titles" localSheetId="12">梱包実績データ!$13:$13</definedName>
    <definedName name="_xlnm.Print_Titles" localSheetId="42">採番マスタ!$13:$13</definedName>
    <definedName name="_xlnm.Print_Titles" localSheetId="13">在庫データ!$13:$13</definedName>
    <definedName name="_xlnm.Print_Titles" localSheetId="1">作業計画データ!$13:$13</definedName>
    <definedName name="_xlnm.Print_Titles" localSheetId="2">作業計画準備データ!$13:$13</definedName>
    <definedName name="_xlnm.Print_Titles" localSheetId="4">作業指示明細データ!$13:$13</definedName>
    <definedName name="_xlnm.Print_Titles" localSheetId="23">使用資材!$13:$13</definedName>
    <definedName name="_xlnm.Print_Titles" localSheetId="22">資材マスタ!$13:$13</definedName>
    <definedName name="_xlnm.Print_Titles" localSheetId="38">事業所マスタ!$13:$13</definedName>
    <definedName name="_xlnm.Print_Titles" localSheetId="6">実績管理データ!$13:$13</definedName>
    <definedName name="_xlnm.Print_Titles" localSheetId="3">実績数量!$13:$13</definedName>
    <definedName name="_xlnm.Print_Titles" localSheetId="7">実績登録データ!$13:$13</definedName>
    <definedName name="_xlnm.Print_Titles" localSheetId="35">社員マスタ!$13:$13</definedName>
    <definedName name="_xlnm.Print_Titles" localSheetId="25">車種マスタ!$13:$13</definedName>
    <definedName name="_xlnm.Print_Titles" localSheetId="14">受払データ!$13:$13</definedName>
    <definedName name="_xlnm.Print_Titles" localSheetId="15">順列納入指示データ!$13:$13</definedName>
    <definedName name="_xlnm.Print_Titles" localSheetId="24">生産製品マスタ!$13:$13</definedName>
    <definedName name="_xlnm.Print_Titles" localSheetId="20">生産品名マスタ!$13:$13</definedName>
    <definedName name="_xlnm.Print_Titles" localSheetId="26">設備マスタ!$13:$13</definedName>
    <definedName name="_xlnm.Print_Titles" localSheetId="21">組立品構成マスタ!$13:$13</definedName>
    <definedName name="_xlnm.Print_Titles" localSheetId="31">通過工程間チェック!$13:$13</definedName>
    <definedName name="_xlnm.Print_Titles" localSheetId="5">投入指示データ!$13:$13</definedName>
    <definedName name="_xlnm.Print_Titles" localSheetId="32">投入指示作成!$13:$13</definedName>
    <definedName name="_xlnm.Print_Titles" localSheetId="10">投入順序実績!$13:$13</definedName>
    <definedName name="_xlnm.Print_Titles" localSheetId="43">読込ラベルグループマスタ!$13:$13</definedName>
    <definedName name="_xlnm.Print_Titles" localSheetId="33">判定理由マスタ!$13:$13</definedName>
    <definedName name="_xlnm.Print_Titles" localSheetId="16">非順列納入指示データ!$13:$13</definedName>
    <definedName name="_xlnm.Print_Titles" localSheetId="28">標準通過工程マスタ!$13:$13</definedName>
    <definedName name="_xlnm.Print_Titles" localSheetId="39">品種マスタ!$13:$13</definedName>
    <definedName name="_xlnm.Print_Titles" localSheetId="9">付帯作業データ!$13:$13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24" i="57" l="1"/>
  <c r="B24" i="57"/>
  <c r="N23" i="57"/>
  <c r="B23" i="57"/>
  <c r="N22" i="57"/>
  <c r="B22" i="57"/>
  <c r="N21" i="57"/>
  <c r="B21" i="57"/>
  <c r="N20" i="57"/>
  <c r="B20" i="57"/>
  <c r="N19" i="57"/>
  <c r="B19" i="57"/>
  <c r="N18" i="57"/>
  <c r="B18" i="57"/>
  <c r="N17" i="57"/>
  <c r="B17" i="57"/>
  <c r="N16" i="57"/>
  <c r="B16" i="57"/>
  <c r="N15" i="57"/>
  <c r="B15" i="57"/>
  <c r="N14" i="57"/>
  <c r="L9" i="57" s="1"/>
  <c r="L10" i="57" s="1"/>
  <c r="B14" i="57"/>
  <c r="N13" i="57"/>
  <c r="N12" i="57"/>
  <c r="N9" i="57"/>
  <c r="N7" i="57"/>
  <c r="A53" i="13"/>
  <c r="N25" i="56"/>
  <c r="B25" i="56"/>
  <c r="N24" i="56"/>
  <c r="B24" i="56"/>
  <c r="N23" i="56"/>
  <c r="B23" i="56"/>
  <c r="N22" i="56"/>
  <c r="B22" i="56"/>
  <c r="N21" i="56"/>
  <c r="B21" i="56"/>
  <c r="N20" i="56"/>
  <c r="B20" i="56"/>
  <c r="N19" i="56"/>
  <c r="B19" i="56"/>
  <c r="N18" i="56"/>
  <c r="B18" i="56"/>
  <c r="N17" i="56"/>
  <c r="B17" i="56"/>
  <c r="N16" i="56"/>
  <c r="B16" i="56"/>
  <c r="N15" i="56"/>
  <c r="B15" i="56"/>
  <c r="N14" i="56"/>
  <c r="L9" i="56" s="1"/>
  <c r="L10" i="56" s="1"/>
  <c r="B14" i="56"/>
  <c r="N13" i="56"/>
  <c r="N12" i="56"/>
  <c r="N9" i="56"/>
  <c r="N7" i="56"/>
  <c r="A52" i="13"/>
  <c r="N25" i="55"/>
  <c r="B25" i="55"/>
  <c r="N24" i="55"/>
  <c r="B24" i="55"/>
  <c r="N23" i="55"/>
  <c r="B23" i="55"/>
  <c r="N22" i="55"/>
  <c r="B22" i="55"/>
  <c r="N21" i="55"/>
  <c r="B21" i="55"/>
  <c r="N20" i="55"/>
  <c r="B20" i="55"/>
  <c r="N19" i="55"/>
  <c r="B19" i="55"/>
  <c r="N18" i="55"/>
  <c r="B18" i="55"/>
  <c r="N17" i="55"/>
  <c r="B17" i="55"/>
  <c r="N16" i="55"/>
  <c r="B16" i="55"/>
  <c r="N15" i="55"/>
  <c r="B15" i="55"/>
  <c r="N14" i="55"/>
  <c r="L9" i="55" s="1"/>
  <c r="L10" i="55" s="1"/>
  <c r="B14" i="55"/>
  <c r="N13" i="55"/>
  <c r="N12" i="55"/>
  <c r="N9" i="55"/>
  <c r="N7" i="55"/>
  <c r="A51" i="13"/>
  <c r="N26" i="54"/>
  <c r="B26" i="54"/>
  <c r="N25" i="54"/>
  <c r="B25" i="54"/>
  <c r="N24" i="54"/>
  <c r="B24" i="54"/>
  <c r="N23" i="54"/>
  <c r="B23" i="54"/>
  <c r="N22" i="54"/>
  <c r="B22" i="54"/>
  <c r="N21" i="54"/>
  <c r="B21" i="54"/>
  <c r="N20" i="54"/>
  <c r="B20" i="54"/>
  <c r="N19" i="54"/>
  <c r="B19" i="54"/>
  <c r="N18" i="54"/>
  <c r="B18" i="54"/>
  <c r="N17" i="54"/>
  <c r="B17" i="54"/>
  <c r="N16" i="54"/>
  <c r="B16" i="54"/>
  <c r="N15" i="54"/>
  <c r="L9" i="54" s="1"/>
  <c r="L10" i="54" s="1"/>
  <c r="B15" i="54"/>
  <c r="N14" i="54"/>
  <c r="B14" i="54"/>
  <c r="N13" i="54"/>
  <c r="N12" i="54"/>
  <c r="N9" i="54"/>
  <c r="N7" i="54"/>
  <c r="A50" i="13"/>
  <c r="N22" i="53"/>
  <c r="B22" i="53"/>
  <c r="N21" i="53"/>
  <c r="B21" i="53"/>
  <c r="N20" i="53"/>
  <c r="B20" i="53"/>
  <c r="N19" i="53"/>
  <c r="B19" i="53"/>
  <c r="N18" i="53"/>
  <c r="B18" i="53"/>
  <c r="N17" i="53"/>
  <c r="B17" i="53"/>
  <c r="N16" i="53"/>
  <c r="B16" i="53"/>
  <c r="N15" i="53"/>
  <c r="B15" i="53"/>
  <c r="N14" i="53"/>
  <c r="L9" i="53" s="1"/>
  <c r="L10" i="53" s="1"/>
  <c r="B14" i="53"/>
  <c r="N13" i="53"/>
  <c r="N12" i="53"/>
  <c r="N9" i="53"/>
  <c r="N7" i="53"/>
  <c r="A49" i="13"/>
  <c r="L9" i="52"/>
  <c r="L10" i="52" s="1"/>
  <c r="N25" i="52"/>
  <c r="B25" i="52"/>
  <c r="N24" i="52"/>
  <c r="B24" i="52"/>
  <c r="N23" i="52"/>
  <c r="B23" i="52"/>
  <c r="N22" i="52"/>
  <c r="B22" i="52"/>
  <c r="N21" i="52"/>
  <c r="B21" i="52"/>
  <c r="N20" i="52"/>
  <c r="B20" i="52"/>
  <c r="N19" i="52"/>
  <c r="B19" i="52"/>
  <c r="N18" i="52"/>
  <c r="B18" i="52"/>
  <c r="N17" i="52"/>
  <c r="B17" i="52"/>
  <c r="N16" i="52"/>
  <c r="B16" i="52"/>
  <c r="N15" i="52"/>
  <c r="B15" i="52"/>
  <c r="N14" i="52"/>
  <c r="B14" i="52"/>
  <c r="N13" i="52"/>
  <c r="N12" i="52"/>
  <c r="N9" i="52"/>
  <c r="N7" i="52"/>
  <c r="A48" i="13"/>
  <c r="N26" i="51"/>
  <c r="B26" i="51"/>
  <c r="N25" i="51"/>
  <c r="B25" i="51"/>
  <c r="N24" i="51"/>
  <c r="B24" i="51"/>
  <c r="N23" i="51"/>
  <c r="B23" i="51"/>
  <c r="N22" i="51"/>
  <c r="B22" i="51"/>
  <c r="N21" i="51"/>
  <c r="B21" i="51"/>
  <c r="N20" i="51"/>
  <c r="B20" i="51"/>
  <c r="N19" i="51"/>
  <c r="B19" i="51"/>
  <c r="N18" i="51"/>
  <c r="B18" i="51"/>
  <c r="N17" i="51"/>
  <c r="B17" i="51"/>
  <c r="N16" i="51"/>
  <c r="B16" i="51"/>
  <c r="N15" i="51"/>
  <c r="B15" i="51"/>
  <c r="N14" i="51"/>
  <c r="L9" i="51" s="1"/>
  <c r="L10" i="51" s="1"/>
  <c r="B14" i="51"/>
  <c r="N13" i="51"/>
  <c r="N12" i="51"/>
  <c r="N9" i="51"/>
  <c r="N7" i="51"/>
  <c r="A47" i="13"/>
  <c r="N28" i="50"/>
  <c r="B28" i="50"/>
  <c r="N27" i="50"/>
  <c r="B27" i="50"/>
  <c r="N26" i="50"/>
  <c r="B26" i="50"/>
  <c r="N25" i="50"/>
  <c r="B25" i="50"/>
  <c r="N24" i="50"/>
  <c r="B24" i="50"/>
  <c r="N23" i="50"/>
  <c r="B23" i="50"/>
  <c r="N22" i="50"/>
  <c r="B22" i="50"/>
  <c r="N21" i="50"/>
  <c r="B21" i="50"/>
  <c r="N20" i="50"/>
  <c r="B20" i="50"/>
  <c r="N19" i="50"/>
  <c r="B19" i="50"/>
  <c r="N18" i="50"/>
  <c r="B18" i="50"/>
  <c r="N17" i="50"/>
  <c r="B17" i="50"/>
  <c r="N16" i="50"/>
  <c r="B16" i="50"/>
  <c r="N15" i="50"/>
  <c r="B15" i="50"/>
  <c r="N14" i="50"/>
  <c r="L9" i="50" s="1"/>
  <c r="L10" i="50" s="1"/>
  <c r="B14" i="50"/>
  <c r="N13" i="50"/>
  <c r="N12" i="50"/>
  <c r="N9" i="50"/>
  <c r="N7" i="50"/>
  <c r="A46" i="13"/>
  <c r="L9" i="49"/>
  <c r="L10" i="49" s="1"/>
  <c r="N24" i="49"/>
  <c r="B24" i="49"/>
  <c r="N23" i="49"/>
  <c r="B23" i="49"/>
  <c r="N22" i="49"/>
  <c r="B22" i="49"/>
  <c r="N21" i="49"/>
  <c r="B21" i="49"/>
  <c r="N20" i="49"/>
  <c r="B20" i="49"/>
  <c r="N19" i="49"/>
  <c r="B19" i="49"/>
  <c r="N18" i="49"/>
  <c r="B18" i="49"/>
  <c r="N17" i="49"/>
  <c r="B17" i="49"/>
  <c r="N16" i="49"/>
  <c r="B16" i="49"/>
  <c r="N15" i="49"/>
  <c r="B15" i="49"/>
  <c r="N14" i="49"/>
  <c r="B14" i="49"/>
  <c r="N13" i="49"/>
  <c r="N12" i="49"/>
  <c r="N9" i="49"/>
  <c r="N7" i="49"/>
  <c r="A45" i="13"/>
  <c r="N24" i="48"/>
  <c r="B24" i="48"/>
  <c r="N23" i="48"/>
  <c r="B23" i="48"/>
  <c r="N22" i="48"/>
  <c r="B22" i="48"/>
  <c r="N21" i="48"/>
  <c r="B21" i="48"/>
  <c r="N20" i="48"/>
  <c r="B20" i="48"/>
  <c r="N19" i="48"/>
  <c r="B19" i="48"/>
  <c r="N18" i="48"/>
  <c r="B18" i="48"/>
  <c r="N17" i="48"/>
  <c r="B17" i="48"/>
  <c r="N16" i="48"/>
  <c r="B16" i="48"/>
  <c r="N15" i="48"/>
  <c r="B15" i="48"/>
  <c r="N14" i="48"/>
  <c r="L9" i="48" s="1"/>
  <c r="L10" i="48" s="1"/>
  <c r="B14" i="48"/>
  <c r="N13" i="48"/>
  <c r="N12" i="48"/>
  <c r="N9" i="48"/>
  <c r="N7" i="48"/>
  <c r="A44" i="13"/>
  <c r="N32" i="47"/>
  <c r="B32" i="47"/>
  <c r="N31" i="47"/>
  <c r="B31" i="47"/>
  <c r="N30" i="47"/>
  <c r="B30" i="47"/>
  <c r="N29" i="47"/>
  <c r="B29" i="47"/>
  <c r="N28" i="47"/>
  <c r="B28" i="47"/>
  <c r="N27" i="47"/>
  <c r="B27" i="47"/>
  <c r="N26" i="47"/>
  <c r="B26" i="47"/>
  <c r="N25" i="47"/>
  <c r="B25" i="47"/>
  <c r="N24" i="47"/>
  <c r="B24" i="47"/>
  <c r="N23" i="47"/>
  <c r="B23" i="47"/>
  <c r="N22" i="47"/>
  <c r="B22" i="47"/>
  <c r="N21" i="47"/>
  <c r="B21" i="47"/>
  <c r="N20" i="47"/>
  <c r="B20" i="47"/>
  <c r="N19" i="47"/>
  <c r="B19" i="47"/>
  <c r="N18" i="47"/>
  <c r="B18" i="47"/>
  <c r="N17" i="47"/>
  <c r="B17" i="47"/>
  <c r="N16" i="47"/>
  <c r="B16" i="47"/>
  <c r="N15" i="47"/>
  <c r="B15" i="47"/>
  <c r="N14" i="47"/>
  <c r="L9" i="47" s="1"/>
  <c r="L10" i="47" s="1"/>
  <c r="B14" i="47"/>
  <c r="N13" i="47"/>
  <c r="N12" i="47"/>
  <c r="N9" i="47"/>
  <c r="N7" i="47"/>
  <c r="A43" i="13"/>
  <c r="N31" i="46"/>
  <c r="B31" i="46"/>
  <c r="N30" i="46"/>
  <c r="B30" i="46"/>
  <c r="N29" i="46"/>
  <c r="B29" i="46"/>
  <c r="N28" i="46"/>
  <c r="B28" i="46"/>
  <c r="N27" i="46"/>
  <c r="B27" i="46"/>
  <c r="N26" i="46"/>
  <c r="B26" i="46"/>
  <c r="N25" i="46"/>
  <c r="B25" i="46"/>
  <c r="N24" i="46"/>
  <c r="B24" i="46"/>
  <c r="N23" i="46"/>
  <c r="B23" i="46"/>
  <c r="N22" i="46"/>
  <c r="B22" i="46"/>
  <c r="N21" i="46"/>
  <c r="B21" i="46"/>
  <c r="N20" i="46"/>
  <c r="B20" i="46"/>
  <c r="N19" i="46"/>
  <c r="B19" i="46"/>
  <c r="N18" i="46"/>
  <c r="B18" i="46"/>
  <c r="N17" i="46"/>
  <c r="B17" i="46"/>
  <c r="N16" i="46"/>
  <c r="B16" i="46"/>
  <c r="N15" i="46"/>
  <c r="B15" i="46"/>
  <c r="N14" i="46"/>
  <c r="L9" i="46" s="1"/>
  <c r="L10" i="46" s="1"/>
  <c r="B14" i="46"/>
  <c r="N13" i="46"/>
  <c r="N12" i="46"/>
  <c r="N9" i="46"/>
  <c r="N7" i="46"/>
  <c r="A42" i="13"/>
  <c r="N23" i="45"/>
  <c r="B23" i="45"/>
  <c r="N22" i="45"/>
  <c r="B22" i="45"/>
  <c r="N21" i="45"/>
  <c r="B21" i="45"/>
  <c r="N20" i="45"/>
  <c r="B20" i="45"/>
  <c r="N19" i="45"/>
  <c r="B19" i="45"/>
  <c r="N18" i="45"/>
  <c r="B18" i="45"/>
  <c r="N17" i="45"/>
  <c r="B17" i="45"/>
  <c r="N16" i="45"/>
  <c r="B16" i="45"/>
  <c r="N15" i="45"/>
  <c r="B15" i="45"/>
  <c r="N14" i="45"/>
  <c r="L9" i="45" s="1"/>
  <c r="L10" i="45" s="1"/>
  <c r="B14" i="45"/>
  <c r="N13" i="45"/>
  <c r="N12" i="45"/>
  <c r="N9" i="45"/>
  <c r="N7" i="45"/>
  <c r="A41" i="13"/>
  <c r="N26" i="44"/>
  <c r="B26" i="44"/>
  <c r="N25" i="44"/>
  <c r="B25" i="44"/>
  <c r="N24" i="44"/>
  <c r="B24" i="44"/>
  <c r="N23" i="44"/>
  <c r="B23" i="44"/>
  <c r="N22" i="44"/>
  <c r="B22" i="44"/>
  <c r="N21" i="44"/>
  <c r="B21" i="44"/>
  <c r="N20" i="44"/>
  <c r="B20" i="44"/>
  <c r="N19" i="44"/>
  <c r="B19" i="44"/>
  <c r="N18" i="44"/>
  <c r="B18" i="44"/>
  <c r="N17" i="44"/>
  <c r="B17" i="44"/>
  <c r="N16" i="44"/>
  <c r="B16" i="44"/>
  <c r="N15" i="44"/>
  <c r="B15" i="44"/>
  <c r="N14" i="44"/>
  <c r="L9" i="44" s="1"/>
  <c r="L10" i="44" s="1"/>
  <c r="B14" i="44"/>
  <c r="N13" i="44"/>
  <c r="N12" i="44"/>
  <c r="N9" i="44"/>
  <c r="N7" i="44"/>
  <c r="A40" i="13"/>
  <c r="N36" i="43"/>
  <c r="B36" i="43"/>
  <c r="N35" i="43"/>
  <c r="B35" i="43"/>
  <c r="N34" i="43"/>
  <c r="B34" i="43"/>
  <c r="N33" i="43"/>
  <c r="B33" i="43"/>
  <c r="N32" i="43"/>
  <c r="B32" i="43"/>
  <c r="N31" i="43"/>
  <c r="B31" i="43"/>
  <c r="N30" i="43"/>
  <c r="B30" i="43"/>
  <c r="N29" i="43"/>
  <c r="B29" i="43"/>
  <c r="N28" i="43"/>
  <c r="B28" i="43"/>
  <c r="N27" i="43"/>
  <c r="B27" i="43"/>
  <c r="N26" i="43"/>
  <c r="B26" i="43"/>
  <c r="N25" i="43"/>
  <c r="B25" i="43"/>
  <c r="N24" i="43"/>
  <c r="B24" i="43"/>
  <c r="N23" i="43"/>
  <c r="B23" i="43"/>
  <c r="N22" i="43"/>
  <c r="B22" i="43"/>
  <c r="N21" i="43"/>
  <c r="B21" i="43"/>
  <c r="N20" i="43"/>
  <c r="B20" i="43"/>
  <c r="N19" i="43"/>
  <c r="B19" i="43"/>
  <c r="N18" i="43"/>
  <c r="B18" i="43"/>
  <c r="N17" i="43"/>
  <c r="B17" i="43"/>
  <c r="N16" i="43"/>
  <c r="B16" i="43"/>
  <c r="N15" i="43"/>
  <c r="B15" i="43"/>
  <c r="N14" i="43"/>
  <c r="L9" i="43" s="1"/>
  <c r="L10" i="43" s="1"/>
  <c r="B14" i="43"/>
  <c r="N13" i="43"/>
  <c r="N12" i="43"/>
  <c r="N9" i="43"/>
  <c r="N7" i="43"/>
  <c r="A39" i="13"/>
  <c r="N25" i="42"/>
  <c r="B25" i="42"/>
  <c r="N24" i="42"/>
  <c r="B24" i="42"/>
  <c r="N23" i="42"/>
  <c r="B23" i="42"/>
  <c r="N22" i="42"/>
  <c r="B22" i="42"/>
  <c r="N21" i="42"/>
  <c r="B21" i="42"/>
  <c r="N20" i="42"/>
  <c r="B20" i="42"/>
  <c r="N19" i="42"/>
  <c r="B19" i="42"/>
  <c r="N18" i="42"/>
  <c r="B18" i="42"/>
  <c r="N17" i="42"/>
  <c r="B17" i="42"/>
  <c r="N16" i="42"/>
  <c r="B16" i="42"/>
  <c r="N15" i="42"/>
  <c r="L9" i="42" s="1"/>
  <c r="L10" i="42" s="1"/>
  <c r="B15" i="42"/>
  <c r="N14" i="42"/>
  <c r="B14" i="42"/>
  <c r="N13" i="42"/>
  <c r="N12" i="42"/>
  <c r="N9" i="42"/>
  <c r="N7" i="42"/>
  <c r="A38" i="13"/>
  <c r="N26" i="41"/>
  <c r="B26" i="41"/>
  <c r="N25" i="41"/>
  <c r="B25" i="41"/>
  <c r="N24" i="41"/>
  <c r="B24" i="41"/>
  <c r="N23" i="41"/>
  <c r="B23" i="41"/>
  <c r="N22" i="41"/>
  <c r="B22" i="41"/>
  <c r="N21" i="41"/>
  <c r="B21" i="41"/>
  <c r="N20" i="41"/>
  <c r="B20" i="41"/>
  <c r="N19" i="41"/>
  <c r="B19" i="41"/>
  <c r="N18" i="41"/>
  <c r="B18" i="41"/>
  <c r="N17" i="41"/>
  <c r="B17" i="41"/>
  <c r="N16" i="41"/>
  <c r="B16" i="41"/>
  <c r="N15" i="41"/>
  <c r="B15" i="41"/>
  <c r="N14" i="41"/>
  <c r="L9" i="41" s="1"/>
  <c r="L10" i="41" s="1"/>
  <c r="B14" i="41"/>
  <c r="N13" i="41"/>
  <c r="N12" i="41"/>
  <c r="N9" i="41"/>
  <c r="N7" i="41"/>
  <c r="A37" i="13"/>
  <c r="N25" i="40"/>
  <c r="B25" i="40"/>
  <c r="N24" i="40"/>
  <c r="B24" i="40"/>
  <c r="N23" i="40"/>
  <c r="B23" i="40"/>
  <c r="N22" i="40"/>
  <c r="B22" i="40"/>
  <c r="N21" i="40"/>
  <c r="B21" i="40"/>
  <c r="N20" i="40"/>
  <c r="B20" i="40"/>
  <c r="N19" i="40"/>
  <c r="B19" i="40"/>
  <c r="N18" i="40"/>
  <c r="B18" i="40"/>
  <c r="N17" i="40"/>
  <c r="B17" i="40"/>
  <c r="N16" i="40"/>
  <c r="B16" i="40"/>
  <c r="N15" i="40"/>
  <c r="L9" i="40" s="1"/>
  <c r="L10" i="40" s="1"/>
  <c r="B15" i="40"/>
  <c r="N14" i="40"/>
  <c r="B14" i="40"/>
  <c r="N13" i="40"/>
  <c r="N12" i="40"/>
  <c r="N9" i="40"/>
  <c r="N7" i="40"/>
  <c r="A36" i="13"/>
  <c r="N31" i="39"/>
  <c r="B31" i="39"/>
  <c r="N30" i="39"/>
  <c r="B30" i="39"/>
  <c r="N29" i="39"/>
  <c r="B29" i="39"/>
  <c r="N28" i="39"/>
  <c r="B28" i="39"/>
  <c r="N27" i="39"/>
  <c r="B27" i="39"/>
  <c r="N26" i="39"/>
  <c r="B26" i="39"/>
  <c r="N25" i="39"/>
  <c r="B25" i="39"/>
  <c r="N24" i="39"/>
  <c r="B24" i="39"/>
  <c r="N23" i="39"/>
  <c r="B23" i="39"/>
  <c r="N22" i="39"/>
  <c r="B22" i="39"/>
  <c r="N21" i="39"/>
  <c r="B21" i="39"/>
  <c r="N20" i="39"/>
  <c r="B20" i="39"/>
  <c r="N19" i="39"/>
  <c r="B19" i="39"/>
  <c r="N18" i="39"/>
  <c r="B18" i="39"/>
  <c r="N17" i="39"/>
  <c r="B17" i="39"/>
  <c r="N16" i="39"/>
  <c r="B16" i="39"/>
  <c r="N15" i="39"/>
  <c r="B15" i="39"/>
  <c r="N14" i="39"/>
  <c r="L9" i="39" s="1"/>
  <c r="L10" i="39" s="1"/>
  <c r="B14" i="39"/>
  <c r="N13" i="39"/>
  <c r="N12" i="39"/>
  <c r="N9" i="39"/>
  <c r="N7" i="39"/>
  <c r="A35" i="13"/>
  <c r="N26" i="38"/>
  <c r="B26" i="38"/>
  <c r="N25" i="38"/>
  <c r="B25" i="38"/>
  <c r="N24" i="38"/>
  <c r="B24" i="38"/>
  <c r="N23" i="38"/>
  <c r="B23" i="38"/>
  <c r="N22" i="38"/>
  <c r="B22" i="38"/>
  <c r="N21" i="38"/>
  <c r="B21" i="38"/>
  <c r="N20" i="38"/>
  <c r="B20" i="38"/>
  <c r="N19" i="38"/>
  <c r="B19" i="38"/>
  <c r="N18" i="38"/>
  <c r="B18" i="38"/>
  <c r="N17" i="38"/>
  <c r="B17" i="38"/>
  <c r="N16" i="38"/>
  <c r="B16" i="38"/>
  <c r="N15" i="38"/>
  <c r="L9" i="38" s="1"/>
  <c r="L10" i="38" s="1"/>
  <c r="B15" i="38"/>
  <c r="N14" i="38"/>
  <c r="B14" i="38"/>
  <c r="N13" i="38"/>
  <c r="N12" i="38"/>
  <c r="N9" i="38"/>
  <c r="N7" i="38"/>
  <c r="A34" i="13"/>
  <c r="N33" i="37"/>
  <c r="B33" i="37"/>
  <c r="N32" i="37"/>
  <c r="B32" i="37"/>
  <c r="N31" i="37"/>
  <c r="B31" i="37"/>
  <c r="N30" i="37"/>
  <c r="B30" i="37"/>
  <c r="N29" i="37"/>
  <c r="B29" i="37"/>
  <c r="N28" i="37"/>
  <c r="B28" i="37"/>
  <c r="N27" i="37"/>
  <c r="B27" i="37"/>
  <c r="N26" i="37"/>
  <c r="B26" i="37"/>
  <c r="N25" i="37"/>
  <c r="B25" i="37"/>
  <c r="N24" i="37"/>
  <c r="B24" i="37"/>
  <c r="N23" i="37"/>
  <c r="B23" i="37"/>
  <c r="N22" i="37"/>
  <c r="B22" i="37"/>
  <c r="N21" i="37"/>
  <c r="B21" i="37"/>
  <c r="N20" i="37"/>
  <c r="B20" i="37"/>
  <c r="N19" i="37"/>
  <c r="B19" i="37"/>
  <c r="N18" i="37"/>
  <c r="B18" i="37"/>
  <c r="N17" i="37"/>
  <c r="B17" i="37"/>
  <c r="N16" i="37"/>
  <c r="B16" i="37"/>
  <c r="N15" i="37"/>
  <c r="B15" i="37"/>
  <c r="N14" i="37"/>
  <c r="L9" i="37" s="1"/>
  <c r="L10" i="37" s="1"/>
  <c r="B14" i="37"/>
  <c r="N13" i="37"/>
  <c r="N12" i="37"/>
  <c r="N9" i="37"/>
  <c r="N7" i="37"/>
  <c r="A33" i="13"/>
  <c r="N32" i="36"/>
  <c r="B32" i="36"/>
  <c r="N31" i="36"/>
  <c r="B31" i="36"/>
  <c r="N30" i="36"/>
  <c r="B30" i="36"/>
  <c r="N29" i="36"/>
  <c r="B29" i="36"/>
  <c r="N28" i="36"/>
  <c r="B28" i="36"/>
  <c r="N27" i="36"/>
  <c r="B27" i="36"/>
  <c r="N26" i="36"/>
  <c r="B26" i="36"/>
  <c r="N25" i="36"/>
  <c r="B25" i="36"/>
  <c r="N24" i="36"/>
  <c r="B24" i="36"/>
  <c r="N23" i="36"/>
  <c r="B23" i="36"/>
  <c r="N22" i="36"/>
  <c r="B22" i="36"/>
  <c r="N21" i="36"/>
  <c r="B21" i="36"/>
  <c r="N20" i="36"/>
  <c r="B20" i="36"/>
  <c r="N19" i="36"/>
  <c r="B19" i="36"/>
  <c r="N18" i="36"/>
  <c r="B18" i="36"/>
  <c r="N17" i="36"/>
  <c r="B17" i="36"/>
  <c r="N16" i="36"/>
  <c r="B16" i="36"/>
  <c r="N15" i="36"/>
  <c r="L9" i="36" s="1"/>
  <c r="L10" i="36" s="1"/>
  <c r="B15" i="36"/>
  <c r="N14" i="36"/>
  <c r="B14" i="36"/>
  <c r="N13" i="36"/>
  <c r="N12" i="36"/>
  <c r="N9" i="36"/>
  <c r="N7" i="36"/>
  <c r="A32" i="13"/>
  <c r="N24" i="35"/>
  <c r="B24" i="35"/>
  <c r="N23" i="35"/>
  <c r="B23" i="35"/>
  <c r="N22" i="35"/>
  <c r="B22" i="35"/>
  <c r="N21" i="35"/>
  <c r="B21" i="35"/>
  <c r="N20" i="35"/>
  <c r="B20" i="35"/>
  <c r="N19" i="35"/>
  <c r="B19" i="35"/>
  <c r="N18" i="35"/>
  <c r="B18" i="35"/>
  <c r="N17" i="35"/>
  <c r="B17" i="35"/>
  <c r="N16" i="35"/>
  <c r="B16" i="35"/>
  <c r="N15" i="35"/>
  <c r="B15" i="35"/>
  <c r="N14" i="35"/>
  <c r="L9" i="35" s="1"/>
  <c r="L10" i="35" s="1"/>
  <c r="B14" i="35"/>
  <c r="N13" i="35"/>
  <c r="N12" i="35"/>
  <c r="N9" i="35"/>
  <c r="N7" i="35"/>
  <c r="A31" i="13"/>
  <c r="N35" i="34"/>
  <c r="B35" i="34"/>
  <c r="N34" i="34"/>
  <c r="B34" i="34"/>
  <c r="N33" i="34"/>
  <c r="B33" i="34"/>
  <c r="N32" i="34"/>
  <c r="B32" i="34"/>
  <c r="N31" i="34"/>
  <c r="B31" i="34"/>
  <c r="N30" i="34"/>
  <c r="B30" i="34"/>
  <c r="N29" i="34"/>
  <c r="B29" i="34"/>
  <c r="N28" i="34"/>
  <c r="B28" i="34"/>
  <c r="N27" i="34"/>
  <c r="B27" i="34"/>
  <c r="N26" i="34"/>
  <c r="B26" i="34"/>
  <c r="N25" i="34"/>
  <c r="B25" i="34"/>
  <c r="N24" i="34"/>
  <c r="B24" i="34"/>
  <c r="N23" i="34"/>
  <c r="B23" i="34"/>
  <c r="N22" i="34"/>
  <c r="B22" i="34"/>
  <c r="N21" i="34"/>
  <c r="B21" i="34"/>
  <c r="N20" i="34"/>
  <c r="B20" i="34"/>
  <c r="N19" i="34"/>
  <c r="B19" i="34"/>
  <c r="N18" i="34"/>
  <c r="B18" i="34"/>
  <c r="N17" i="34"/>
  <c r="B17" i="34"/>
  <c r="N16" i="34"/>
  <c r="B16" i="34"/>
  <c r="N15" i="34"/>
  <c r="L9" i="34" s="1"/>
  <c r="L10" i="34" s="1"/>
  <c r="B15" i="34"/>
  <c r="N14" i="34"/>
  <c r="B14" i="34"/>
  <c r="N13" i="34"/>
  <c r="N12" i="34"/>
  <c r="N9" i="34"/>
  <c r="N7" i="34"/>
  <c r="A30" i="13"/>
  <c r="N85" i="33"/>
  <c r="B85" i="33"/>
  <c r="N84" i="33"/>
  <c r="B84" i="33"/>
  <c r="N83" i="33"/>
  <c r="B83" i="33"/>
  <c r="N82" i="33"/>
  <c r="B82" i="33"/>
  <c r="N81" i="33"/>
  <c r="B81" i="33"/>
  <c r="N80" i="33"/>
  <c r="B80" i="33"/>
  <c r="N79" i="33"/>
  <c r="B79" i="33"/>
  <c r="N78" i="33"/>
  <c r="B78" i="33"/>
  <c r="N77" i="33"/>
  <c r="B77" i="33"/>
  <c r="N76" i="33"/>
  <c r="B76" i="33"/>
  <c r="N75" i="33"/>
  <c r="B75" i="33"/>
  <c r="N74" i="33"/>
  <c r="B74" i="33"/>
  <c r="N73" i="33"/>
  <c r="B73" i="33"/>
  <c r="N72" i="33"/>
  <c r="B72" i="33"/>
  <c r="N71" i="33"/>
  <c r="B71" i="33"/>
  <c r="N70" i="33"/>
  <c r="B70" i="33"/>
  <c r="N69" i="33"/>
  <c r="B69" i="33"/>
  <c r="N68" i="33"/>
  <c r="B68" i="33"/>
  <c r="N67" i="33"/>
  <c r="B67" i="33"/>
  <c r="N66" i="33"/>
  <c r="B66" i="33"/>
  <c r="N65" i="33"/>
  <c r="B65" i="33"/>
  <c r="N64" i="33"/>
  <c r="B64" i="33"/>
  <c r="N63" i="33"/>
  <c r="B63" i="33"/>
  <c r="N62" i="33"/>
  <c r="B62" i="33"/>
  <c r="N61" i="33"/>
  <c r="B61" i="33"/>
  <c r="N60" i="33"/>
  <c r="B60" i="33"/>
  <c r="N59" i="33"/>
  <c r="B59" i="33"/>
  <c r="N58" i="33"/>
  <c r="B58" i="33"/>
  <c r="N57" i="33"/>
  <c r="B57" i="33"/>
  <c r="N56" i="33"/>
  <c r="B56" i="33"/>
  <c r="N55" i="33"/>
  <c r="B55" i="33"/>
  <c r="N54" i="33"/>
  <c r="B54" i="33"/>
  <c r="N53" i="33"/>
  <c r="B53" i="33"/>
  <c r="N52" i="33"/>
  <c r="B52" i="33"/>
  <c r="N51" i="33"/>
  <c r="B51" i="33"/>
  <c r="N50" i="33"/>
  <c r="B50" i="33"/>
  <c r="N49" i="33"/>
  <c r="B49" i="33"/>
  <c r="N48" i="33"/>
  <c r="B48" i="33"/>
  <c r="N47" i="33"/>
  <c r="B47" i="33"/>
  <c r="N46" i="33"/>
  <c r="B46" i="33"/>
  <c r="N45" i="33"/>
  <c r="B45" i="33"/>
  <c r="N44" i="33"/>
  <c r="B44" i="33"/>
  <c r="N43" i="33"/>
  <c r="B43" i="33"/>
  <c r="N42" i="33"/>
  <c r="B42" i="33"/>
  <c r="N41" i="33"/>
  <c r="B41" i="33"/>
  <c r="N40" i="33"/>
  <c r="B40" i="33"/>
  <c r="N39" i="33"/>
  <c r="B39" i="33"/>
  <c r="N38" i="33"/>
  <c r="B38" i="33"/>
  <c r="N37" i="33"/>
  <c r="B37" i="33"/>
  <c r="N36" i="33"/>
  <c r="B36" i="33"/>
  <c r="N35" i="33"/>
  <c r="B35" i="33"/>
  <c r="N34" i="33"/>
  <c r="B34" i="33"/>
  <c r="N33" i="33"/>
  <c r="B33" i="33"/>
  <c r="N32" i="33"/>
  <c r="B32" i="33"/>
  <c r="N31" i="33"/>
  <c r="B31" i="33"/>
  <c r="N30" i="33"/>
  <c r="B30" i="33"/>
  <c r="N29" i="33"/>
  <c r="B29" i="33"/>
  <c r="N28" i="33"/>
  <c r="B28" i="33"/>
  <c r="N27" i="33"/>
  <c r="B27" i="33"/>
  <c r="N26" i="33"/>
  <c r="B26" i="33"/>
  <c r="N25" i="33"/>
  <c r="B25" i="33"/>
  <c r="N24" i="33"/>
  <c r="B24" i="33"/>
  <c r="N23" i="33"/>
  <c r="B23" i="33"/>
  <c r="N22" i="33"/>
  <c r="B22" i="33"/>
  <c r="N21" i="33"/>
  <c r="B21" i="33"/>
  <c r="N20" i="33"/>
  <c r="B20" i="33"/>
  <c r="N19" i="33"/>
  <c r="B19" i="33"/>
  <c r="N18" i="33"/>
  <c r="B18" i="33"/>
  <c r="N17" i="33"/>
  <c r="B17" i="33"/>
  <c r="N16" i="33"/>
  <c r="B16" i="33"/>
  <c r="N15" i="33"/>
  <c r="B15" i="33"/>
  <c r="N14" i="33"/>
  <c r="L9" i="33" s="1"/>
  <c r="L10" i="33" s="1"/>
  <c r="B14" i="33"/>
  <c r="N13" i="33"/>
  <c r="N12" i="33"/>
  <c r="N9" i="33"/>
  <c r="N7" i="33"/>
  <c r="A29" i="13"/>
  <c r="L9" i="32"/>
  <c r="L10" i="32" s="1"/>
  <c r="N30" i="32"/>
  <c r="B30" i="32"/>
  <c r="N29" i="32"/>
  <c r="B29" i="32"/>
  <c r="N28" i="32"/>
  <c r="B28" i="32"/>
  <c r="N27" i="32"/>
  <c r="B27" i="32"/>
  <c r="N26" i="32"/>
  <c r="B26" i="32"/>
  <c r="N25" i="32"/>
  <c r="B25" i="32"/>
  <c r="N24" i="32"/>
  <c r="B24" i="32"/>
  <c r="N23" i="32"/>
  <c r="B23" i="32"/>
  <c r="N22" i="32"/>
  <c r="B22" i="32"/>
  <c r="N21" i="32"/>
  <c r="B21" i="32"/>
  <c r="N20" i="32"/>
  <c r="B20" i="32"/>
  <c r="N19" i="32"/>
  <c r="B19" i="32"/>
  <c r="N18" i="32"/>
  <c r="B18" i="32"/>
  <c r="N17" i="32"/>
  <c r="B17" i="32"/>
  <c r="N16" i="32"/>
  <c r="B16" i="32"/>
  <c r="N15" i="32"/>
  <c r="B15" i="32"/>
  <c r="N14" i="32"/>
  <c r="B14" i="32"/>
  <c r="N13" i="32"/>
  <c r="N12" i="32"/>
  <c r="N9" i="32"/>
  <c r="N7" i="32"/>
  <c r="A28" i="13"/>
  <c r="N37" i="31"/>
  <c r="B37" i="31"/>
  <c r="N36" i="31"/>
  <c r="B36" i="31"/>
  <c r="N35" i="31"/>
  <c r="B35" i="31"/>
  <c r="N34" i="31"/>
  <c r="B34" i="31"/>
  <c r="N33" i="31"/>
  <c r="B33" i="31"/>
  <c r="N32" i="31"/>
  <c r="B32" i="31"/>
  <c r="N31" i="31"/>
  <c r="B31" i="31"/>
  <c r="N30" i="31"/>
  <c r="B30" i="31"/>
  <c r="N29" i="31"/>
  <c r="B29" i="31"/>
  <c r="N28" i="31"/>
  <c r="B28" i="31"/>
  <c r="N27" i="31"/>
  <c r="B27" i="31"/>
  <c r="N26" i="31"/>
  <c r="B26" i="31"/>
  <c r="N25" i="31"/>
  <c r="B25" i="31"/>
  <c r="N24" i="31"/>
  <c r="B24" i="31"/>
  <c r="N23" i="31"/>
  <c r="B23" i="31"/>
  <c r="N22" i="31"/>
  <c r="B22" i="31"/>
  <c r="N21" i="31"/>
  <c r="B21" i="31"/>
  <c r="N20" i="31"/>
  <c r="B20" i="31"/>
  <c r="N19" i="31"/>
  <c r="B19" i="31"/>
  <c r="N18" i="31"/>
  <c r="B18" i="31"/>
  <c r="N17" i="31"/>
  <c r="B17" i="31"/>
  <c r="N16" i="31"/>
  <c r="B16" i="31"/>
  <c r="N15" i="31"/>
  <c r="B15" i="31"/>
  <c r="N14" i="31"/>
  <c r="L9" i="31" s="1"/>
  <c r="L10" i="31" s="1"/>
  <c r="B14" i="31"/>
  <c r="N13" i="31"/>
  <c r="N12" i="31"/>
  <c r="N9" i="31"/>
  <c r="N7" i="31"/>
  <c r="A27" i="13"/>
  <c r="L9" i="30"/>
  <c r="L10" i="30" s="1"/>
  <c r="N28" i="30"/>
  <c r="B28" i="30"/>
  <c r="N27" i="30"/>
  <c r="B27" i="30"/>
  <c r="N26" i="30"/>
  <c r="B26" i="30"/>
  <c r="N25" i="30"/>
  <c r="B25" i="30"/>
  <c r="N24" i="30"/>
  <c r="B24" i="30"/>
  <c r="N23" i="30"/>
  <c r="B23" i="30"/>
  <c r="N22" i="30"/>
  <c r="B22" i="30"/>
  <c r="N21" i="30"/>
  <c r="B21" i="30"/>
  <c r="N20" i="30"/>
  <c r="B20" i="30"/>
  <c r="N19" i="30"/>
  <c r="B19" i="30"/>
  <c r="N18" i="30"/>
  <c r="B18" i="30"/>
  <c r="N17" i="30"/>
  <c r="B17" i="30"/>
  <c r="N16" i="30"/>
  <c r="B16" i="30"/>
  <c r="N15" i="30"/>
  <c r="B15" i="30"/>
  <c r="N14" i="30"/>
  <c r="B14" i="30"/>
  <c r="N13" i="30"/>
  <c r="N12" i="30"/>
  <c r="N9" i="30"/>
  <c r="N7" i="30"/>
  <c r="A26" i="13"/>
  <c r="N44" i="29"/>
  <c r="B44" i="29"/>
  <c r="N43" i="29"/>
  <c r="B43" i="29"/>
  <c r="N42" i="29"/>
  <c r="B42" i="29"/>
  <c r="N41" i="29"/>
  <c r="B41" i="29"/>
  <c r="N40" i="29"/>
  <c r="B40" i="29"/>
  <c r="N39" i="29"/>
  <c r="B39" i="29"/>
  <c r="N38" i="29"/>
  <c r="B38" i="29"/>
  <c r="N37" i="29"/>
  <c r="B37" i="29"/>
  <c r="N36" i="29"/>
  <c r="B36" i="29"/>
  <c r="N35" i="29"/>
  <c r="B35" i="29"/>
  <c r="N34" i="29"/>
  <c r="B34" i="29"/>
  <c r="N33" i="29"/>
  <c r="B33" i="29"/>
  <c r="N32" i="29"/>
  <c r="B32" i="29"/>
  <c r="N31" i="29"/>
  <c r="B31" i="29"/>
  <c r="N30" i="29"/>
  <c r="B30" i="29"/>
  <c r="N29" i="29"/>
  <c r="B29" i="29"/>
  <c r="N28" i="29"/>
  <c r="B28" i="29"/>
  <c r="N27" i="29"/>
  <c r="B27" i="29"/>
  <c r="N26" i="29"/>
  <c r="B26" i="29"/>
  <c r="N25" i="29"/>
  <c r="B25" i="29"/>
  <c r="N24" i="29"/>
  <c r="B24" i="29"/>
  <c r="N23" i="29"/>
  <c r="B23" i="29"/>
  <c r="N22" i="29"/>
  <c r="B22" i="29"/>
  <c r="N21" i="29"/>
  <c r="B21" i="29"/>
  <c r="N20" i="29"/>
  <c r="B20" i="29"/>
  <c r="N19" i="29"/>
  <c r="B19" i="29"/>
  <c r="N18" i="29"/>
  <c r="B18" i="29"/>
  <c r="N17" i="29"/>
  <c r="B17" i="29"/>
  <c r="N16" i="29"/>
  <c r="B16" i="29"/>
  <c r="N15" i="29"/>
  <c r="B15" i="29"/>
  <c r="N14" i="29"/>
  <c r="L9" i="29" s="1"/>
  <c r="L10" i="29" s="1"/>
  <c r="B14" i="29"/>
  <c r="N13" i="29"/>
  <c r="N12" i="29"/>
  <c r="N9" i="29"/>
  <c r="N7" i="29"/>
  <c r="A25" i="13"/>
  <c r="L9" i="28"/>
  <c r="L10" i="28" s="1"/>
  <c r="N39" i="28"/>
  <c r="B39" i="28"/>
  <c r="N38" i="28"/>
  <c r="B38" i="28"/>
  <c r="N37" i="28"/>
  <c r="B37" i="28"/>
  <c r="N36" i="28"/>
  <c r="B36" i="28"/>
  <c r="N35" i="28"/>
  <c r="B35" i="28"/>
  <c r="N34" i="28"/>
  <c r="B34" i="28"/>
  <c r="N33" i="28"/>
  <c r="B33" i="28"/>
  <c r="N32" i="28"/>
  <c r="B32" i="28"/>
  <c r="N31" i="28"/>
  <c r="B31" i="28"/>
  <c r="N30" i="28"/>
  <c r="B30" i="28"/>
  <c r="N29" i="28"/>
  <c r="B29" i="28"/>
  <c r="N28" i="28"/>
  <c r="B28" i="28"/>
  <c r="N27" i="28"/>
  <c r="B27" i="28"/>
  <c r="N26" i="28"/>
  <c r="B26" i="28"/>
  <c r="N25" i="28"/>
  <c r="B25" i="28"/>
  <c r="N24" i="28"/>
  <c r="B24" i="28"/>
  <c r="N23" i="28"/>
  <c r="B23" i="28"/>
  <c r="N22" i="28"/>
  <c r="B22" i="28"/>
  <c r="N21" i="28"/>
  <c r="B21" i="28"/>
  <c r="N20" i="28"/>
  <c r="B20" i="28"/>
  <c r="N19" i="28"/>
  <c r="B19" i="28"/>
  <c r="N18" i="28"/>
  <c r="B18" i="28"/>
  <c r="N17" i="28"/>
  <c r="B17" i="28"/>
  <c r="N16" i="28"/>
  <c r="B16" i="28"/>
  <c r="N15" i="28"/>
  <c r="B15" i="28"/>
  <c r="N14" i="28"/>
  <c r="B14" i="28"/>
  <c r="N13" i="28"/>
  <c r="N12" i="28"/>
  <c r="N9" i="28"/>
  <c r="N7" i="28"/>
  <c r="A24" i="13"/>
  <c r="N34" i="27"/>
  <c r="B34" i="27"/>
  <c r="N33" i="27"/>
  <c r="B33" i="27"/>
  <c r="N32" i="27"/>
  <c r="B32" i="27"/>
  <c r="N31" i="27"/>
  <c r="B31" i="27"/>
  <c r="N30" i="27"/>
  <c r="B30" i="27"/>
  <c r="N29" i="27"/>
  <c r="B29" i="27"/>
  <c r="N28" i="27"/>
  <c r="B28" i="27"/>
  <c r="N27" i="27"/>
  <c r="B27" i="27"/>
  <c r="N26" i="27"/>
  <c r="B26" i="27"/>
  <c r="N25" i="27"/>
  <c r="B25" i="27"/>
  <c r="N24" i="27"/>
  <c r="B24" i="27"/>
  <c r="N23" i="27"/>
  <c r="B23" i="27"/>
  <c r="N22" i="27"/>
  <c r="B22" i="27"/>
  <c r="N21" i="27"/>
  <c r="B21" i="27"/>
  <c r="N20" i="27"/>
  <c r="B20" i="27"/>
  <c r="N19" i="27"/>
  <c r="B19" i="27"/>
  <c r="N18" i="27"/>
  <c r="B18" i="27"/>
  <c r="N17" i="27"/>
  <c r="B17" i="27"/>
  <c r="N16" i="27"/>
  <c r="B16" i="27"/>
  <c r="N15" i="27"/>
  <c r="B15" i="27"/>
  <c r="N14" i="27"/>
  <c r="L9" i="27" s="1"/>
  <c r="L10" i="27" s="1"/>
  <c r="B14" i="27"/>
  <c r="N13" i="27"/>
  <c r="N12" i="27"/>
  <c r="N9" i="27"/>
  <c r="N7" i="27"/>
  <c r="A23" i="13"/>
  <c r="L9" i="26"/>
  <c r="L10" i="26" s="1"/>
  <c r="N34" i="26"/>
  <c r="B34" i="26"/>
  <c r="N33" i="26"/>
  <c r="B33" i="26"/>
  <c r="N32" i="26"/>
  <c r="B32" i="26"/>
  <c r="N31" i="26"/>
  <c r="B31" i="26"/>
  <c r="N30" i="26"/>
  <c r="B30" i="26"/>
  <c r="N29" i="26"/>
  <c r="B29" i="26"/>
  <c r="N28" i="26"/>
  <c r="B28" i="26"/>
  <c r="N27" i="26"/>
  <c r="B27" i="26"/>
  <c r="N26" i="26"/>
  <c r="B26" i="26"/>
  <c r="N25" i="26"/>
  <c r="B25" i="26"/>
  <c r="N24" i="26"/>
  <c r="B24" i="26"/>
  <c r="N23" i="26"/>
  <c r="B23" i="26"/>
  <c r="N22" i="26"/>
  <c r="B22" i="26"/>
  <c r="N21" i="26"/>
  <c r="B21" i="26"/>
  <c r="N20" i="26"/>
  <c r="B20" i="26"/>
  <c r="N19" i="26"/>
  <c r="B19" i="26"/>
  <c r="N18" i="26"/>
  <c r="B18" i="26"/>
  <c r="N17" i="26"/>
  <c r="B17" i="26"/>
  <c r="N16" i="26"/>
  <c r="B16" i="26"/>
  <c r="N15" i="26"/>
  <c r="B15" i="26"/>
  <c r="N14" i="26"/>
  <c r="B14" i="26"/>
  <c r="N13" i="26"/>
  <c r="N12" i="26"/>
  <c r="N9" i="26"/>
  <c r="N7" i="26"/>
  <c r="A22" i="13"/>
  <c r="N36" i="25"/>
  <c r="B36" i="25"/>
  <c r="N35" i="25"/>
  <c r="B35" i="25"/>
  <c r="N34" i="25"/>
  <c r="B34" i="25"/>
  <c r="N33" i="25"/>
  <c r="B33" i="25"/>
  <c r="N32" i="25"/>
  <c r="B32" i="25"/>
  <c r="N31" i="25"/>
  <c r="B31" i="25"/>
  <c r="N30" i="25"/>
  <c r="B30" i="25"/>
  <c r="N29" i="25"/>
  <c r="B29" i="25"/>
  <c r="N28" i="25"/>
  <c r="B28" i="25"/>
  <c r="N27" i="25"/>
  <c r="B27" i="25"/>
  <c r="N26" i="25"/>
  <c r="B26" i="25"/>
  <c r="N25" i="25"/>
  <c r="B25" i="25"/>
  <c r="N24" i="25"/>
  <c r="B24" i="25"/>
  <c r="N23" i="25"/>
  <c r="B23" i="25"/>
  <c r="N22" i="25"/>
  <c r="B22" i="25"/>
  <c r="N21" i="25"/>
  <c r="B21" i="25"/>
  <c r="N20" i="25"/>
  <c r="B20" i="25"/>
  <c r="N19" i="25"/>
  <c r="B19" i="25"/>
  <c r="N18" i="25"/>
  <c r="B18" i="25"/>
  <c r="N17" i="25"/>
  <c r="B17" i="25"/>
  <c r="N16" i="25"/>
  <c r="B16" i="25"/>
  <c r="N15" i="25"/>
  <c r="B15" i="25"/>
  <c r="N14" i="25"/>
  <c r="L9" i="25" s="1"/>
  <c r="L10" i="25" s="1"/>
  <c r="B14" i="25"/>
  <c r="N13" i="25"/>
  <c r="N12" i="25"/>
  <c r="N9" i="25"/>
  <c r="N7" i="25"/>
  <c r="A21" i="13"/>
  <c r="L9" i="24"/>
  <c r="L10" i="24" s="1"/>
  <c r="N45" i="24"/>
  <c r="B45" i="24"/>
  <c r="N44" i="24"/>
  <c r="B44" i="24"/>
  <c r="N43" i="24"/>
  <c r="B43" i="24"/>
  <c r="N42" i="24"/>
  <c r="B42" i="24"/>
  <c r="N41" i="24"/>
  <c r="B41" i="24"/>
  <c r="N40" i="24"/>
  <c r="B40" i="24"/>
  <c r="N39" i="24"/>
  <c r="B39" i="24"/>
  <c r="N38" i="24"/>
  <c r="B38" i="24"/>
  <c r="N37" i="24"/>
  <c r="B37" i="24"/>
  <c r="N36" i="24"/>
  <c r="B36" i="24"/>
  <c r="N35" i="24"/>
  <c r="B35" i="24"/>
  <c r="N34" i="24"/>
  <c r="B34" i="24"/>
  <c r="N33" i="24"/>
  <c r="B33" i="24"/>
  <c r="N32" i="24"/>
  <c r="B32" i="24"/>
  <c r="N31" i="24"/>
  <c r="B31" i="24"/>
  <c r="N30" i="24"/>
  <c r="B30" i="24"/>
  <c r="N29" i="24"/>
  <c r="B29" i="24"/>
  <c r="N28" i="24"/>
  <c r="B28" i="24"/>
  <c r="N27" i="24"/>
  <c r="B27" i="24"/>
  <c r="N26" i="24"/>
  <c r="B26" i="24"/>
  <c r="N25" i="24"/>
  <c r="B25" i="24"/>
  <c r="N24" i="24"/>
  <c r="B24" i="24"/>
  <c r="N23" i="24"/>
  <c r="B23" i="24"/>
  <c r="N22" i="24"/>
  <c r="B22" i="24"/>
  <c r="N21" i="24"/>
  <c r="B21" i="24"/>
  <c r="N20" i="24"/>
  <c r="B20" i="24"/>
  <c r="N19" i="24"/>
  <c r="B19" i="24"/>
  <c r="N18" i="24"/>
  <c r="B18" i="24"/>
  <c r="N17" i="24"/>
  <c r="B17" i="24"/>
  <c r="N16" i="24"/>
  <c r="B16" i="24"/>
  <c r="N15" i="24"/>
  <c r="B15" i="24"/>
  <c r="N14" i="24"/>
  <c r="B14" i="24"/>
  <c r="N13" i="24"/>
  <c r="N12" i="24"/>
  <c r="N9" i="24"/>
  <c r="N7" i="24"/>
  <c r="A20" i="13"/>
  <c r="N24" i="23"/>
  <c r="B24" i="23"/>
  <c r="N23" i="23"/>
  <c r="B23" i="23"/>
  <c r="N22" i="23"/>
  <c r="B22" i="23"/>
  <c r="N21" i="23"/>
  <c r="B21" i="23"/>
  <c r="N20" i="23"/>
  <c r="B20" i="23"/>
  <c r="N19" i="23"/>
  <c r="B19" i="23"/>
  <c r="N18" i="23"/>
  <c r="B18" i="23"/>
  <c r="N17" i="23"/>
  <c r="B17" i="23"/>
  <c r="N16" i="23"/>
  <c r="B16" i="23"/>
  <c r="N15" i="23"/>
  <c r="B15" i="23"/>
  <c r="N14" i="23"/>
  <c r="L9" i="23" s="1"/>
  <c r="L10" i="23" s="1"/>
  <c r="B14" i="23"/>
  <c r="N13" i="23"/>
  <c r="N12" i="23"/>
  <c r="N9" i="23"/>
  <c r="N7" i="23"/>
  <c r="A19" i="13"/>
  <c r="L9" i="22"/>
  <c r="L10" i="22" s="1"/>
  <c r="N43" i="22"/>
  <c r="B43" i="22"/>
  <c r="N42" i="22"/>
  <c r="B42" i="22"/>
  <c r="N41" i="22"/>
  <c r="B41" i="22"/>
  <c r="N40" i="22"/>
  <c r="B40" i="22"/>
  <c r="N39" i="22"/>
  <c r="B39" i="22"/>
  <c r="N38" i="22"/>
  <c r="B38" i="22"/>
  <c r="N37" i="22"/>
  <c r="B37" i="22"/>
  <c r="N36" i="22"/>
  <c r="B36" i="22"/>
  <c r="N35" i="22"/>
  <c r="B35" i="22"/>
  <c r="N34" i="22"/>
  <c r="B34" i="22"/>
  <c r="N33" i="22"/>
  <c r="B33" i="22"/>
  <c r="N32" i="22"/>
  <c r="B32" i="22"/>
  <c r="N31" i="22"/>
  <c r="B31" i="22"/>
  <c r="N30" i="22"/>
  <c r="B30" i="22"/>
  <c r="N29" i="22"/>
  <c r="B29" i="22"/>
  <c r="N28" i="22"/>
  <c r="B28" i="22"/>
  <c r="N27" i="22"/>
  <c r="B27" i="22"/>
  <c r="N26" i="22"/>
  <c r="B26" i="22"/>
  <c r="N25" i="22"/>
  <c r="B25" i="22"/>
  <c r="N24" i="22"/>
  <c r="B24" i="22"/>
  <c r="N23" i="22"/>
  <c r="B23" i="22"/>
  <c r="N22" i="22"/>
  <c r="B22" i="22"/>
  <c r="N21" i="22"/>
  <c r="B21" i="22"/>
  <c r="N20" i="22"/>
  <c r="B20" i="22"/>
  <c r="N19" i="22"/>
  <c r="B19" i="22"/>
  <c r="N18" i="22"/>
  <c r="B18" i="22"/>
  <c r="N17" i="22"/>
  <c r="B17" i="22"/>
  <c r="N16" i="22"/>
  <c r="B16" i="22"/>
  <c r="N15" i="22"/>
  <c r="B15" i="22"/>
  <c r="N14" i="22"/>
  <c r="B14" i="22"/>
  <c r="N13" i="22"/>
  <c r="N12" i="22"/>
  <c r="N9" i="22"/>
  <c r="N7" i="22"/>
  <c r="A18" i="13"/>
  <c r="N25" i="21"/>
  <c r="B25" i="21"/>
  <c r="N24" i="21"/>
  <c r="B24" i="21"/>
  <c r="N23" i="21"/>
  <c r="B23" i="21"/>
  <c r="N22" i="21"/>
  <c r="B22" i="21"/>
  <c r="N21" i="21"/>
  <c r="B21" i="21"/>
  <c r="N20" i="21"/>
  <c r="B20" i="21"/>
  <c r="N19" i="21"/>
  <c r="B19" i="21"/>
  <c r="N18" i="21"/>
  <c r="B18" i="21"/>
  <c r="N17" i="21"/>
  <c r="B17" i="21"/>
  <c r="N16" i="21"/>
  <c r="B16" i="21"/>
  <c r="N15" i="21"/>
  <c r="B15" i="21"/>
  <c r="N14" i="21"/>
  <c r="L9" i="21" s="1"/>
  <c r="L10" i="21" s="1"/>
  <c r="B14" i="21"/>
  <c r="N13" i="21"/>
  <c r="N12" i="21"/>
  <c r="N9" i="21"/>
  <c r="N7" i="21"/>
  <c r="A17" i="13"/>
  <c r="L9" i="20"/>
  <c r="L10" i="20" s="1"/>
  <c r="N41" i="20"/>
  <c r="B41" i="20"/>
  <c r="N40" i="20"/>
  <c r="B40" i="20"/>
  <c r="N39" i="20"/>
  <c r="B39" i="20"/>
  <c r="N38" i="20"/>
  <c r="B38" i="20"/>
  <c r="N37" i="20"/>
  <c r="B37" i="20"/>
  <c r="N36" i="20"/>
  <c r="B36" i="20"/>
  <c r="N35" i="20"/>
  <c r="B35" i="20"/>
  <c r="N34" i="20"/>
  <c r="B34" i="20"/>
  <c r="N33" i="20"/>
  <c r="B33" i="20"/>
  <c r="N32" i="20"/>
  <c r="B32" i="20"/>
  <c r="N31" i="20"/>
  <c r="B31" i="20"/>
  <c r="N30" i="20"/>
  <c r="B30" i="20"/>
  <c r="N29" i="20"/>
  <c r="B29" i="20"/>
  <c r="N28" i="20"/>
  <c r="B28" i="20"/>
  <c r="N27" i="20"/>
  <c r="B27" i="20"/>
  <c r="N26" i="20"/>
  <c r="B26" i="20"/>
  <c r="N25" i="20"/>
  <c r="B25" i="20"/>
  <c r="N24" i="20"/>
  <c r="B24" i="20"/>
  <c r="N23" i="20"/>
  <c r="B23" i="20"/>
  <c r="N22" i="20"/>
  <c r="B22" i="20"/>
  <c r="N21" i="20"/>
  <c r="B21" i="20"/>
  <c r="N20" i="20"/>
  <c r="B20" i="20"/>
  <c r="N19" i="20"/>
  <c r="B19" i="20"/>
  <c r="N18" i="20"/>
  <c r="B18" i="20"/>
  <c r="N17" i="20"/>
  <c r="B17" i="20"/>
  <c r="N16" i="20"/>
  <c r="B16" i="20"/>
  <c r="N15" i="20"/>
  <c r="B15" i="20"/>
  <c r="N14" i="20"/>
  <c r="B14" i="20"/>
  <c r="N13" i="20"/>
  <c r="N12" i="20"/>
  <c r="N9" i="20"/>
  <c r="N7" i="20"/>
  <c r="A16" i="13"/>
  <c r="N48" i="19"/>
  <c r="B48" i="19"/>
  <c r="N47" i="19"/>
  <c r="B47" i="19"/>
  <c r="N46" i="19"/>
  <c r="B46" i="19"/>
  <c r="N45" i="19"/>
  <c r="B45" i="19"/>
  <c r="N44" i="19"/>
  <c r="B44" i="19"/>
  <c r="N43" i="19"/>
  <c r="B43" i="19"/>
  <c r="N42" i="19"/>
  <c r="B42" i="19"/>
  <c r="N41" i="19"/>
  <c r="B41" i="19"/>
  <c r="N40" i="19"/>
  <c r="B40" i="19"/>
  <c r="N39" i="19"/>
  <c r="B39" i="19"/>
  <c r="N38" i="19"/>
  <c r="B38" i="19"/>
  <c r="N37" i="19"/>
  <c r="B37" i="19"/>
  <c r="N36" i="19"/>
  <c r="B36" i="19"/>
  <c r="N35" i="19"/>
  <c r="B35" i="19"/>
  <c r="N34" i="19"/>
  <c r="B34" i="19"/>
  <c r="N33" i="19"/>
  <c r="B33" i="19"/>
  <c r="N32" i="19"/>
  <c r="B32" i="19"/>
  <c r="N31" i="19"/>
  <c r="B31" i="19"/>
  <c r="N30" i="19"/>
  <c r="B30" i="19"/>
  <c r="N29" i="19"/>
  <c r="B29" i="19"/>
  <c r="N28" i="19"/>
  <c r="B28" i="19"/>
  <c r="N27" i="19"/>
  <c r="B27" i="19"/>
  <c r="N26" i="19"/>
  <c r="B26" i="19"/>
  <c r="N25" i="19"/>
  <c r="B25" i="19"/>
  <c r="N24" i="19"/>
  <c r="B24" i="19"/>
  <c r="N23" i="19"/>
  <c r="B23" i="19"/>
  <c r="N22" i="19"/>
  <c r="B22" i="19"/>
  <c r="N21" i="19"/>
  <c r="B21" i="19"/>
  <c r="N20" i="19"/>
  <c r="B20" i="19"/>
  <c r="N19" i="19"/>
  <c r="B19" i="19"/>
  <c r="N18" i="19"/>
  <c r="B18" i="19"/>
  <c r="N17" i="19"/>
  <c r="B17" i="19"/>
  <c r="N16" i="19"/>
  <c r="B16" i="19"/>
  <c r="N15" i="19"/>
  <c r="B15" i="19"/>
  <c r="N14" i="19"/>
  <c r="L9" i="19" s="1"/>
  <c r="L10" i="19" s="1"/>
  <c r="B14" i="19"/>
  <c r="N13" i="19"/>
  <c r="N12" i="19"/>
  <c r="N9" i="19"/>
  <c r="N7" i="19"/>
  <c r="A15" i="13"/>
  <c r="L9" i="18"/>
  <c r="L10" i="18" s="1"/>
  <c r="N30" i="18"/>
  <c r="B30" i="18"/>
  <c r="N29" i="18"/>
  <c r="B29" i="18"/>
  <c r="N28" i="18"/>
  <c r="B28" i="18"/>
  <c r="N27" i="18"/>
  <c r="B27" i="18"/>
  <c r="N26" i="18"/>
  <c r="B26" i="18"/>
  <c r="N25" i="18"/>
  <c r="B25" i="18"/>
  <c r="N24" i="18"/>
  <c r="B24" i="18"/>
  <c r="N23" i="18"/>
  <c r="B23" i="18"/>
  <c r="N22" i="18"/>
  <c r="B22" i="18"/>
  <c r="N21" i="18"/>
  <c r="B21" i="18"/>
  <c r="N20" i="18"/>
  <c r="B20" i="18"/>
  <c r="N19" i="18"/>
  <c r="B19" i="18"/>
  <c r="N18" i="18"/>
  <c r="B18" i="18"/>
  <c r="N17" i="18"/>
  <c r="B17" i="18"/>
  <c r="N16" i="18"/>
  <c r="B16" i="18"/>
  <c r="N15" i="18"/>
  <c r="B15" i="18"/>
  <c r="N14" i="18"/>
  <c r="B14" i="18"/>
  <c r="N13" i="18"/>
  <c r="N12" i="18"/>
  <c r="N9" i="18"/>
  <c r="N7" i="18"/>
  <c r="A14" i="13"/>
  <c r="N40" i="17"/>
  <c r="B40" i="17"/>
  <c r="N39" i="17"/>
  <c r="B39" i="17"/>
  <c r="N38" i="17"/>
  <c r="B38" i="17"/>
  <c r="N37" i="17"/>
  <c r="B37" i="17"/>
  <c r="N36" i="17"/>
  <c r="B36" i="17"/>
  <c r="N35" i="17"/>
  <c r="B35" i="17"/>
  <c r="N34" i="17"/>
  <c r="B34" i="17"/>
  <c r="N33" i="17"/>
  <c r="B33" i="17"/>
  <c r="N32" i="17"/>
  <c r="B32" i="17"/>
  <c r="N31" i="17"/>
  <c r="B31" i="17"/>
  <c r="N30" i="17"/>
  <c r="B30" i="17"/>
  <c r="N29" i="17"/>
  <c r="B29" i="17"/>
  <c r="N28" i="17"/>
  <c r="B28" i="17"/>
  <c r="N27" i="17"/>
  <c r="B27" i="17"/>
  <c r="N26" i="17"/>
  <c r="B26" i="17"/>
  <c r="N25" i="17"/>
  <c r="B25" i="17"/>
  <c r="N24" i="17"/>
  <c r="B24" i="17"/>
  <c r="N23" i="17"/>
  <c r="B23" i="17"/>
  <c r="N22" i="17"/>
  <c r="B22" i="17"/>
  <c r="N21" i="17"/>
  <c r="B21" i="17"/>
  <c r="N20" i="17"/>
  <c r="B20" i="17"/>
  <c r="N19" i="17"/>
  <c r="B19" i="17"/>
  <c r="N18" i="17"/>
  <c r="B18" i="17"/>
  <c r="N17" i="17"/>
  <c r="B17" i="17"/>
  <c r="N16" i="17"/>
  <c r="B16" i="17"/>
  <c r="N15" i="17"/>
  <c r="B15" i="17"/>
  <c r="N14" i="17"/>
  <c r="L9" i="17" s="1"/>
  <c r="L10" i="17" s="1"/>
  <c r="B14" i="17"/>
  <c r="N13" i="17"/>
  <c r="N12" i="17"/>
  <c r="N9" i="17"/>
  <c r="N7" i="17"/>
  <c r="A13" i="13"/>
  <c r="L9" i="16"/>
  <c r="L10" i="16" s="1"/>
  <c r="N37" i="16"/>
  <c r="B37" i="16"/>
  <c r="N36" i="16"/>
  <c r="B36" i="16"/>
  <c r="N35" i="16"/>
  <c r="B35" i="16"/>
  <c r="N34" i="16"/>
  <c r="B34" i="16"/>
  <c r="N33" i="16"/>
  <c r="B33" i="16"/>
  <c r="N32" i="16"/>
  <c r="B32" i="16"/>
  <c r="N31" i="16"/>
  <c r="B31" i="16"/>
  <c r="N30" i="16"/>
  <c r="B30" i="16"/>
  <c r="N29" i="16"/>
  <c r="B29" i="16"/>
  <c r="N28" i="16"/>
  <c r="B28" i="16"/>
  <c r="N27" i="16"/>
  <c r="B27" i="16"/>
  <c r="N26" i="16"/>
  <c r="B26" i="16"/>
  <c r="N25" i="16"/>
  <c r="B25" i="16"/>
  <c r="N24" i="16"/>
  <c r="B24" i="16"/>
  <c r="N23" i="16"/>
  <c r="B23" i="16"/>
  <c r="N22" i="16"/>
  <c r="B22" i="16"/>
  <c r="N21" i="16"/>
  <c r="B21" i="16"/>
  <c r="N20" i="16"/>
  <c r="B20" i="16"/>
  <c r="N19" i="16"/>
  <c r="B19" i="16"/>
  <c r="N18" i="16"/>
  <c r="B18" i="16"/>
  <c r="N17" i="16"/>
  <c r="B17" i="16"/>
  <c r="N16" i="16"/>
  <c r="B16" i="16"/>
  <c r="N15" i="16"/>
  <c r="B15" i="16"/>
  <c r="N14" i="16"/>
  <c r="B14" i="16"/>
  <c r="N13" i="16"/>
  <c r="N12" i="16"/>
  <c r="N9" i="16"/>
  <c r="N7" i="16"/>
  <c r="A12" i="13"/>
  <c r="N46" i="15"/>
  <c r="B46" i="15"/>
  <c r="N45" i="15"/>
  <c r="B45" i="15"/>
  <c r="N44" i="15"/>
  <c r="B44" i="15"/>
  <c r="N43" i="15"/>
  <c r="B43" i="15"/>
  <c r="N42" i="15"/>
  <c r="B42" i="15"/>
  <c r="N41" i="15"/>
  <c r="B41" i="15"/>
  <c r="N40" i="15"/>
  <c r="B40" i="15"/>
  <c r="N39" i="15"/>
  <c r="B39" i="15"/>
  <c r="N38" i="15"/>
  <c r="B38" i="15"/>
  <c r="N37" i="15"/>
  <c r="B37" i="15"/>
  <c r="N36" i="15"/>
  <c r="B36" i="15"/>
  <c r="N35" i="15"/>
  <c r="B35" i="15"/>
  <c r="N34" i="15"/>
  <c r="B34" i="15"/>
  <c r="N33" i="15"/>
  <c r="B33" i="15"/>
  <c r="N32" i="15"/>
  <c r="B32" i="15"/>
  <c r="N31" i="15"/>
  <c r="B31" i="15"/>
  <c r="N30" i="15"/>
  <c r="B30" i="15"/>
  <c r="N29" i="15"/>
  <c r="B29" i="15"/>
  <c r="N28" i="15"/>
  <c r="B28" i="15"/>
  <c r="N27" i="15"/>
  <c r="B27" i="15"/>
  <c r="N26" i="15"/>
  <c r="B26" i="15"/>
  <c r="N25" i="15"/>
  <c r="B25" i="15"/>
  <c r="N24" i="15"/>
  <c r="B24" i="15"/>
  <c r="N23" i="15"/>
  <c r="B23" i="15"/>
  <c r="N22" i="15"/>
  <c r="B22" i="15"/>
  <c r="N21" i="15"/>
  <c r="B21" i="15"/>
  <c r="N20" i="15"/>
  <c r="B20" i="15"/>
  <c r="N19" i="15"/>
  <c r="B19" i="15"/>
  <c r="N18" i="15"/>
  <c r="B18" i="15"/>
  <c r="N17" i="15"/>
  <c r="B17" i="15"/>
  <c r="N16" i="15"/>
  <c r="B16" i="15"/>
  <c r="N15" i="15"/>
  <c r="B15" i="15"/>
  <c r="N14" i="15"/>
  <c r="L9" i="15" s="1"/>
  <c r="L10" i="15" s="1"/>
  <c r="B14" i="15"/>
  <c r="N13" i="15"/>
  <c r="N12" i="15"/>
  <c r="N9" i="15"/>
  <c r="N7" i="15"/>
  <c r="A11" i="13"/>
  <c r="L9" i="14"/>
  <c r="L10" i="14" s="1"/>
  <c r="N51" i="14"/>
  <c r="B51" i="14"/>
  <c r="N50" i="14"/>
  <c r="B50" i="14"/>
  <c r="N49" i="14"/>
  <c r="B49" i="14"/>
  <c r="N48" i="14"/>
  <c r="B48" i="14"/>
  <c r="N47" i="14"/>
  <c r="B47" i="14"/>
  <c r="N46" i="14"/>
  <c r="B46" i="14"/>
  <c r="N45" i="14"/>
  <c r="B45" i="14"/>
  <c r="N44" i="14"/>
  <c r="B44" i="14"/>
  <c r="N43" i="14"/>
  <c r="B43" i="14"/>
  <c r="N42" i="14"/>
  <c r="B42" i="14"/>
  <c r="N41" i="14"/>
  <c r="B41" i="14"/>
  <c r="N40" i="14"/>
  <c r="B40" i="14"/>
  <c r="N39" i="14"/>
  <c r="B39" i="14"/>
  <c r="N38" i="14"/>
  <c r="B38" i="14"/>
  <c r="N37" i="14"/>
  <c r="B37" i="14"/>
  <c r="N36" i="14"/>
  <c r="B36" i="14"/>
  <c r="N35" i="14"/>
  <c r="B35" i="14"/>
  <c r="N34" i="14"/>
  <c r="B34" i="14"/>
  <c r="N33" i="14"/>
  <c r="B33" i="14"/>
  <c r="N32" i="14"/>
  <c r="B32" i="14"/>
  <c r="N31" i="14"/>
  <c r="B31" i="14"/>
  <c r="N30" i="14"/>
  <c r="B30" i="14"/>
  <c r="N29" i="14"/>
  <c r="B29" i="14"/>
  <c r="N28" i="14"/>
  <c r="B28" i="14"/>
  <c r="N27" i="14"/>
  <c r="B27" i="14"/>
  <c r="N26" i="14"/>
  <c r="B26" i="14"/>
  <c r="N25" i="14"/>
  <c r="B25" i="14"/>
  <c r="N24" i="14"/>
  <c r="B24" i="14"/>
  <c r="N23" i="14"/>
  <c r="B23" i="14"/>
  <c r="N22" i="14"/>
  <c r="B22" i="14"/>
  <c r="N21" i="14"/>
  <c r="B21" i="14"/>
  <c r="N20" i="14"/>
  <c r="B20" i="14"/>
  <c r="N19" i="14"/>
  <c r="B19" i="14"/>
  <c r="N18" i="14"/>
  <c r="B18" i="14"/>
  <c r="N17" i="14"/>
  <c r="B17" i="14"/>
  <c r="N16" i="14"/>
  <c r="B16" i="14"/>
  <c r="N15" i="14"/>
  <c r="B15" i="14"/>
  <c r="N14" i="14"/>
  <c r="B14" i="14"/>
  <c r="N13" i="14"/>
  <c r="N12" i="14"/>
  <c r="N9" i="14"/>
  <c r="N7" i="14"/>
  <c r="A10" i="13"/>
  <c r="A10" i="12" l="1"/>
  <c r="A11" i="2" l="1"/>
  <c r="N14" i="11" l="1"/>
  <c r="L9" i="11" s="1"/>
  <c r="L10" i="11" s="1"/>
  <c r="B14" i="11"/>
  <c r="N13" i="11"/>
  <c r="N12" i="11"/>
  <c r="N9" i="11"/>
  <c r="N7" i="11"/>
  <c r="N9" i="10"/>
  <c r="B9" i="10"/>
  <c r="N8" i="10"/>
  <c r="B8" i="10"/>
  <c r="N7" i="10"/>
  <c r="B7" i="10"/>
  <c r="N6" i="10"/>
  <c r="B6" i="10"/>
  <c r="N5" i="10"/>
  <c r="B5" i="10"/>
  <c r="N4" i="10"/>
  <c r="B4" i="10"/>
  <c r="N3" i="10"/>
  <c r="B3" i="10"/>
  <c r="N2" i="10"/>
  <c r="B2" i="10"/>
  <c r="N1" i="10"/>
  <c r="A5" i="2" l="1"/>
  <c r="A9" i="2" l="1"/>
  <c r="B15" i="9" l="1"/>
  <c r="B14" i="9"/>
  <c r="N15" i="9"/>
  <c r="N22" i="9"/>
  <c r="B22" i="9"/>
  <c r="N14" i="9"/>
  <c r="N16" i="9"/>
  <c r="N17" i="9"/>
  <c r="N18" i="9"/>
  <c r="N19" i="9"/>
  <c r="N20" i="9"/>
  <c r="N21" i="9"/>
  <c r="A2" i="2"/>
  <c r="D12" i="2" s="1"/>
  <c r="A3" i="2"/>
  <c r="A4" i="2"/>
  <c r="A6" i="2"/>
  <c r="A7" i="2"/>
  <c r="A8" i="2"/>
  <c r="A10" i="2"/>
  <c r="B18" i="9"/>
  <c r="B19" i="9"/>
  <c r="B20" i="9"/>
  <c r="B16" i="9"/>
  <c r="B17" i="9"/>
  <c r="B21" i="9"/>
  <c r="N7" i="9"/>
  <c r="N13" i="9"/>
  <c r="N12" i="9"/>
  <c r="N9" i="9"/>
  <c r="L9" i="9" l="1"/>
  <c r="L10"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E4" authorId="0" shapeId="0" xr:uid="{5006334B-0C30-4F49-9DC6-3121D9EE3E99}">
      <text>
        <r>
          <rPr>
            <sz val="9"/>
            <color indexed="81"/>
            <rFont val="ＭＳ Ｐゴシック"/>
            <family val="3"/>
            <charset val="128"/>
          </rPr>
          <t xml:space="preserve">作成者
作成日 を必ず入力
</t>
        </r>
      </text>
    </comment>
    <comment ref="G4" authorId="0" shapeId="0" xr:uid="{DE3BBBFA-43B9-461F-BD82-F019AFE70232}">
      <text>
        <r>
          <rPr>
            <sz val="9"/>
            <color indexed="81"/>
            <rFont val="ＭＳ Ｐゴシック"/>
            <family val="3"/>
            <charset val="128"/>
          </rPr>
          <t xml:space="preserve">作成者
作成日 を必ず入力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C82EF082-4DD3-4502-94A1-6E158B9D3B17}">
      <text>
        <r>
          <rPr>
            <sz val="9"/>
            <color indexed="81"/>
            <rFont val="ＭＳ Ｐゴシック"/>
            <family val="3"/>
            <charset val="128"/>
          </rPr>
          <t xml:space="preserve">作成者
作成日 を必ず入力
</t>
        </r>
      </text>
    </comment>
    <comment ref="L4" authorId="0" shapeId="0" xr:uid="{66717565-6D8D-49F4-853A-48A0E0FF9E5C}">
      <text>
        <r>
          <rPr>
            <sz val="9"/>
            <color indexed="81"/>
            <rFont val="ＭＳ Ｐゴシック"/>
            <family val="3"/>
            <charset val="128"/>
          </rPr>
          <t xml:space="preserve">作成者
作成日 を必ず入力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AC6B9ECC-330C-4B3A-A005-903A91EF3313}">
      <text>
        <r>
          <rPr>
            <sz val="9"/>
            <color indexed="81"/>
            <rFont val="ＭＳ Ｐゴシック"/>
            <family val="3"/>
            <charset val="128"/>
          </rPr>
          <t xml:space="preserve">作成者
作成日 を必ず入力
</t>
        </r>
      </text>
    </comment>
    <comment ref="L4" authorId="0" shapeId="0" xr:uid="{CE2F1F09-2C3E-4806-BC82-D422FB5AF517}">
      <text>
        <r>
          <rPr>
            <sz val="9"/>
            <color indexed="81"/>
            <rFont val="ＭＳ Ｐゴシック"/>
            <family val="3"/>
            <charset val="128"/>
          </rPr>
          <t xml:space="preserve">作成者
作成日 を必ず入力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27C69505-FD79-4255-91F0-2463B9533996}">
      <text>
        <r>
          <rPr>
            <sz val="9"/>
            <color indexed="81"/>
            <rFont val="ＭＳ Ｐゴシック"/>
            <family val="3"/>
            <charset val="128"/>
          </rPr>
          <t xml:space="preserve">作成者
作成日 を必ず入力
</t>
        </r>
      </text>
    </comment>
    <comment ref="L4" authorId="0" shapeId="0" xr:uid="{0DD13BE7-0685-4DF1-977B-A367F81E49E0}">
      <text>
        <r>
          <rPr>
            <sz val="9"/>
            <color indexed="81"/>
            <rFont val="ＭＳ Ｐゴシック"/>
            <family val="3"/>
            <charset val="128"/>
          </rPr>
          <t xml:space="preserve">作成者
作成日 を必ず入力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36B8C2CE-1B5B-4E97-B74B-472DA17E14D7}">
      <text>
        <r>
          <rPr>
            <sz val="9"/>
            <color indexed="81"/>
            <rFont val="ＭＳ Ｐゴシック"/>
            <family val="3"/>
            <charset val="128"/>
          </rPr>
          <t xml:space="preserve">作成者
作成日 を必ず入力
</t>
        </r>
      </text>
    </comment>
    <comment ref="L4" authorId="0" shapeId="0" xr:uid="{FB9F2841-6638-4AE1-BAFE-AEED04DDE568}">
      <text>
        <r>
          <rPr>
            <sz val="9"/>
            <color indexed="81"/>
            <rFont val="ＭＳ Ｐゴシック"/>
            <family val="3"/>
            <charset val="128"/>
          </rPr>
          <t xml:space="preserve">作成者
作成日 を必ず入力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5A181460-207F-4D9D-83AB-C1CBFFFCA44A}">
      <text>
        <r>
          <rPr>
            <sz val="9"/>
            <color indexed="81"/>
            <rFont val="ＭＳ Ｐゴシック"/>
            <family val="3"/>
            <charset val="128"/>
          </rPr>
          <t xml:space="preserve">作成者
作成日 を必ず入力
</t>
        </r>
      </text>
    </comment>
    <comment ref="L4" authorId="0" shapeId="0" xr:uid="{148B4189-32E8-4382-8B12-60E8A2C1F9E7}">
      <text>
        <r>
          <rPr>
            <sz val="9"/>
            <color indexed="81"/>
            <rFont val="ＭＳ Ｐゴシック"/>
            <family val="3"/>
            <charset val="128"/>
          </rPr>
          <t xml:space="preserve">作成者
作成日 を必ず入力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7DBAFF8D-631B-47B3-BAB4-D0E390D09172}">
      <text>
        <r>
          <rPr>
            <sz val="9"/>
            <color indexed="81"/>
            <rFont val="ＭＳ Ｐゴシック"/>
            <family val="3"/>
            <charset val="128"/>
          </rPr>
          <t xml:space="preserve">作成者
作成日 を必ず入力
</t>
        </r>
      </text>
    </comment>
    <comment ref="L4" authorId="0" shapeId="0" xr:uid="{845C6800-FD40-47A2-9306-04B8491050C2}">
      <text>
        <r>
          <rPr>
            <sz val="9"/>
            <color indexed="81"/>
            <rFont val="ＭＳ Ｐゴシック"/>
            <family val="3"/>
            <charset val="128"/>
          </rPr>
          <t xml:space="preserve">作成者
作成日 を必ず入力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24695402-5A58-400F-92EE-6EDEF67B1BB4}">
      <text>
        <r>
          <rPr>
            <sz val="9"/>
            <color indexed="81"/>
            <rFont val="ＭＳ Ｐゴシック"/>
            <family val="3"/>
            <charset val="128"/>
          </rPr>
          <t xml:space="preserve">作成者
作成日 を必ず入力
</t>
        </r>
      </text>
    </comment>
    <comment ref="L4" authorId="0" shapeId="0" xr:uid="{DE526A51-EF1D-4C39-8526-5B0A29892619}">
      <text>
        <r>
          <rPr>
            <sz val="9"/>
            <color indexed="81"/>
            <rFont val="ＭＳ Ｐゴシック"/>
            <family val="3"/>
            <charset val="128"/>
          </rPr>
          <t xml:space="preserve">作成者
作成日 を必ず入力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618D7E70-BD51-4A2D-A3E0-3503C120366E}">
      <text>
        <r>
          <rPr>
            <sz val="9"/>
            <color indexed="81"/>
            <rFont val="ＭＳ Ｐゴシック"/>
            <family val="3"/>
            <charset val="128"/>
          </rPr>
          <t xml:space="preserve">作成者
作成日 を必ず入力
</t>
        </r>
      </text>
    </comment>
    <comment ref="L4" authorId="0" shapeId="0" xr:uid="{962EDFF9-C26D-4414-9B79-7EA6512C7163}">
      <text>
        <r>
          <rPr>
            <sz val="9"/>
            <color indexed="81"/>
            <rFont val="ＭＳ Ｐゴシック"/>
            <family val="3"/>
            <charset val="128"/>
          </rPr>
          <t xml:space="preserve">作成者
作成日 を必ず入力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9320C0DF-207F-4527-AA7D-BA971E374F12}">
      <text>
        <r>
          <rPr>
            <sz val="9"/>
            <color indexed="81"/>
            <rFont val="ＭＳ Ｐゴシック"/>
            <family val="3"/>
            <charset val="128"/>
          </rPr>
          <t xml:space="preserve">作成者
作成日 を必ず入力
</t>
        </r>
      </text>
    </comment>
    <comment ref="L4" authorId="0" shapeId="0" xr:uid="{BC92F52D-99E0-426D-9038-B97D11D0C20E}">
      <text>
        <r>
          <rPr>
            <sz val="9"/>
            <color indexed="81"/>
            <rFont val="ＭＳ Ｐゴシック"/>
            <family val="3"/>
            <charset val="128"/>
          </rPr>
          <t xml:space="preserve">作成者
作成日 を必ず入力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E1E7E911-E509-467F-A1CB-1D60AB9353B9}">
      <text>
        <r>
          <rPr>
            <sz val="9"/>
            <color indexed="81"/>
            <rFont val="ＭＳ Ｐゴシック"/>
            <family val="3"/>
            <charset val="128"/>
          </rPr>
          <t xml:space="preserve">作成者
作成日 を必ず入力
</t>
        </r>
      </text>
    </comment>
    <comment ref="L4" authorId="0" shapeId="0" xr:uid="{C586677D-EDC7-4799-B82A-DC0DADF1D8CB}">
      <text>
        <r>
          <rPr>
            <sz val="9"/>
            <color indexed="81"/>
            <rFont val="ＭＳ Ｐゴシック"/>
            <family val="3"/>
            <charset val="128"/>
          </rPr>
          <t xml:space="preserve">作成者
作成日 を必ず入力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776BB839-96B1-451C-81A7-A1DC6D28B779}">
      <text>
        <r>
          <rPr>
            <sz val="9"/>
            <color indexed="81"/>
            <rFont val="ＭＳ Ｐゴシック"/>
            <family val="3"/>
            <charset val="128"/>
          </rPr>
          <t xml:space="preserve">作成者
作成日 を必ず入力
</t>
        </r>
      </text>
    </comment>
    <comment ref="L4" authorId="0" shapeId="0" xr:uid="{C01C7538-67A2-46F5-B482-7DA8B49D454C}">
      <text>
        <r>
          <rPr>
            <sz val="9"/>
            <color indexed="81"/>
            <rFont val="ＭＳ Ｐゴシック"/>
            <family val="3"/>
            <charset val="128"/>
          </rPr>
          <t xml:space="preserve">作成者
作成日 を必ず入力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007602FF-583A-4E68-8B4F-2010E1EF6B41}">
      <text>
        <r>
          <rPr>
            <sz val="9"/>
            <color indexed="81"/>
            <rFont val="ＭＳ Ｐゴシック"/>
            <family val="3"/>
            <charset val="128"/>
          </rPr>
          <t xml:space="preserve">作成者
作成日 を必ず入力
</t>
        </r>
      </text>
    </comment>
    <comment ref="L4" authorId="0" shapeId="0" xr:uid="{E89CADC5-1263-416A-A146-6E56FEC4A5A5}">
      <text>
        <r>
          <rPr>
            <sz val="9"/>
            <color indexed="81"/>
            <rFont val="ＭＳ Ｐゴシック"/>
            <family val="3"/>
            <charset val="128"/>
          </rPr>
          <t xml:space="preserve">作成者
作成日 を必ず入力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3325ADC5-749B-4001-B6F2-BF80B8EE4CE4}">
      <text>
        <r>
          <rPr>
            <sz val="9"/>
            <color indexed="81"/>
            <rFont val="ＭＳ Ｐゴシック"/>
            <family val="3"/>
            <charset val="128"/>
          </rPr>
          <t xml:space="preserve">作成者
作成日 を必ず入力
</t>
        </r>
      </text>
    </comment>
    <comment ref="L4" authorId="0" shapeId="0" xr:uid="{F10EC276-9FA4-4CB8-8A22-334883A36D1D}">
      <text>
        <r>
          <rPr>
            <sz val="9"/>
            <color indexed="81"/>
            <rFont val="ＭＳ Ｐゴシック"/>
            <family val="3"/>
            <charset val="128"/>
          </rPr>
          <t xml:space="preserve">作成者
作成日 を必ず入力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B3AC7477-B551-4775-BD3C-63239777C067}">
      <text>
        <r>
          <rPr>
            <sz val="9"/>
            <color indexed="81"/>
            <rFont val="ＭＳ Ｐゴシック"/>
            <family val="3"/>
            <charset val="128"/>
          </rPr>
          <t xml:space="preserve">作成者
作成日 を必ず入力
</t>
        </r>
      </text>
    </comment>
    <comment ref="L4" authorId="0" shapeId="0" xr:uid="{A9640415-0773-4142-9441-78150BA0B87C}">
      <text>
        <r>
          <rPr>
            <sz val="9"/>
            <color indexed="81"/>
            <rFont val="ＭＳ Ｐゴシック"/>
            <family val="3"/>
            <charset val="128"/>
          </rPr>
          <t xml:space="preserve">作成者
作成日 を必ず入力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BB5E8B44-FF6F-4BE3-802C-C3F48DC7CE4F}">
      <text>
        <r>
          <rPr>
            <sz val="9"/>
            <color indexed="81"/>
            <rFont val="ＭＳ Ｐゴシック"/>
            <family val="3"/>
            <charset val="128"/>
          </rPr>
          <t xml:space="preserve">作成者
作成日 を必ず入力
</t>
        </r>
      </text>
    </comment>
    <comment ref="L4" authorId="0" shapeId="0" xr:uid="{E7F1F00D-70BA-4CD0-81E1-A04D5DA3C9EE}">
      <text>
        <r>
          <rPr>
            <sz val="9"/>
            <color indexed="81"/>
            <rFont val="ＭＳ Ｐゴシック"/>
            <family val="3"/>
            <charset val="128"/>
          </rPr>
          <t xml:space="preserve">作成者
作成日 を必ず入力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E3690726-AE6A-4F3A-81B1-02A427A4F264}">
      <text>
        <r>
          <rPr>
            <sz val="9"/>
            <color indexed="81"/>
            <rFont val="ＭＳ Ｐゴシック"/>
            <family val="3"/>
            <charset val="128"/>
          </rPr>
          <t xml:space="preserve">作成者
作成日 を必ず入力
</t>
        </r>
      </text>
    </comment>
    <comment ref="L4" authorId="0" shapeId="0" xr:uid="{4D01871B-EEC3-4E89-9365-CE53C5404A48}">
      <text>
        <r>
          <rPr>
            <sz val="9"/>
            <color indexed="81"/>
            <rFont val="ＭＳ Ｐゴシック"/>
            <family val="3"/>
            <charset val="128"/>
          </rPr>
          <t xml:space="preserve">作成者
作成日 を必ず入力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57D4DF7F-36BF-4BCD-82D6-F8C01CD34F6E}">
      <text>
        <r>
          <rPr>
            <sz val="9"/>
            <color indexed="81"/>
            <rFont val="ＭＳ Ｐゴシック"/>
            <family val="3"/>
            <charset val="128"/>
          </rPr>
          <t xml:space="preserve">作成者
作成日 を必ず入力
</t>
        </r>
      </text>
    </comment>
    <comment ref="L4" authorId="0" shapeId="0" xr:uid="{73F62052-02A3-4C00-B285-67534F14E2D4}">
      <text>
        <r>
          <rPr>
            <sz val="9"/>
            <color indexed="81"/>
            <rFont val="ＭＳ Ｐゴシック"/>
            <family val="3"/>
            <charset val="128"/>
          </rPr>
          <t xml:space="preserve">作成者
作成日 を必ず入力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27D7F5EC-83D3-4A95-BAA1-8C56CA63BCFB}">
      <text>
        <r>
          <rPr>
            <sz val="9"/>
            <color indexed="81"/>
            <rFont val="ＭＳ Ｐゴシック"/>
            <family val="3"/>
            <charset val="128"/>
          </rPr>
          <t xml:space="preserve">作成者
作成日 を必ず入力
</t>
        </r>
      </text>
    </comment>
    <comment ref="L4" authorId="0" shapeId="0" xr:uid="{56F85CCA-BE5C-4D11-AD95-ACD3E8D22A23}">
      <text>
        <r>
          <rPr>
            <sz val="9"/>
            <color indexed="81"/>
            <rFont val="ＭＳ Ｐゴシック"/>
            <family val="3"/>
            <charset val="128"/>
          </rPr>
          <t xml:space="preserve">作成者
作成日 を必ず入力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D909A42B-3626-471E-954B-467ED9FC5F53}">
      <text>
        <r>
          <rPr>
            <sz val="9"/>
            <color indexed="81"/>
            <rFont val="ＭＳ Ｐゴシック"/>
            <family val="3"/>
            <charset val="128"/>
          </rPr>
          <t xml:space="preserve">作成者
作成日 を必ず入力
</t>
        </r>
      </text>
    </comment>
    <comment ref="L4" authorId="0" shapeId="0" xr:uid="{F9990735-EA92-41B0-8E86-D48C8385A8B8}">
      <text>
        <r>
          <rPr>
            <sz val="9"/>
            <color indexed="81"/>
            <rFont val="ＭＳ Ｐゴシック"/>
            <family val="3"/>
            <charset val="128"/>
          </rPr>
          <t xml:space="preserve">作成者
作成日 を必ず入力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3D5F9567-D206-4A54-8878-9EA37EF39901}">
      <text>
        <r>
          <rPr>
            <sz val="9"/>
            <color indexed="81"/>
            <rFont val="ＭＳ Ｐゴシック"/>
            <family val="3"/>
            <charset val="128"/>
          </rPr>
          <t xml:space="preserve">作成者
作成日 を必ず入力
</t>
        </r>
      </text>
    </comment>
    <comment ref="L4" authorId="0" shapeId="0" xr:uid="{C9321D49-4F6D-4D06-8E6A-16BF5A316AC1}">
      <text>
        <r>
          <rPr>
            <sz val="9"/>
            <color indexed="81"/>
            <rFont val="ＭＳ Ｐゴシック"/>
            <family val="3"/>
            <charset val="128"/>
          </rPr>
          <t xml:space="preserve">作成者
作成日 を必ず入力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960363F1-086B-4095-B3A3-5E44A7E68EA8}">
      <text>
        <r>
          <rPr>
            <sz val="9"/>
            <color indexed="81"/>
            <rFont val="ＭＳ Ｐゴシック"/>
            <family val="3"/>
            <charset val="128"/>
          </rPr>
          <t xml:space="preserve">作成者
作成日 を必ず入力
</t>
        </r>
      </text>
    </comment>
    <comment ref="L4" authorId="0" shapeId="0" xr:uid="{C063F0FE-1304-4649-862C-DA1E95C33E00}">
      <text>
        <r>
          <rPr>
            <sz val="9"/>
            <color indexed="81"/>
            <rFont val="ＭＳ Ｐゴシック"/>
            <family val="3"/>
            <charset val="128"/>
          </rPr>
          <t xml:space="preserve">作成者
作成日 を必ず入力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78C854ED-0A09-4176-8427-2BE7F5DB3163}">
      <text>
        <r>
          <rPr>
            <sz val="9"/>
            <color indexed="81"/>
            <rFont val="ＭＳ Ｐゴシック"/>
            <family val="3"/>
            <charset val="128"/>
          </rPr>
          <t xml:space="preserve">作成者
作成日 を必ず入力
</t>
        </r>
      </text>
    </comment>
    <comment ref="L4" authorId="0" shapeId="0" xr:uid="{E3A088B2-2437-4AB1-83AA-198217165E0C}">
      <text>
        <r>
          <rPr>
            <sz val="9"/>
            <color indexed="81"/>
            <rFont val="ＭＳ Ｐゴシック"/>
            <family val="3"/>
            <charset val="128"/>
          </rPr>
          <t xml:space="preserve">作成者
作成日 を必ず入力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2DCC330D-F19C-4997-8A15-7D4E03789E5F}">
      <text>
        <r>
          <rPr>
            <sz val="9"/>
            <color indexed="81"/>
            <rFont val="ＭＳ Ｐゴシック"/>
            <family val="3"/>
            <charset val="128"/>
          </rPr>
          <t xml:space="preserve">作成者
作成日 を必ず入力
</t>
        </r>
      </text>
    </comment>
    <comment ref="L4" authorId="0" shapeId="0" xr:uid="{90686D30-7167-49D2-965A-995CB4573B78}">
      <text>
        <r>
          <rPr>
            <sz val="9"/>
            <color indexed="81"/>
            <rFont val="ＭＳ Ｐゴシック"/>
            <family val="3"/>
            <charset val="128"/>
          </rPr>
          <t xml:space="preserve">作成者
作成日 を必ず入力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647CD5A5-D64A-46DC-98F5-5E2A3C540DCE}">
      <text>
        <r>
          <rPr>
            <sz val="9"/>
            <color indexed="81"/>
            <rFont val="ＭＳ Ｐゴシック"/>
            <family val="3"/>
            <charset val="128"/>
          </rPr>
          <t xml:space="preserve">作成者
作成日 を必ず入力
</t>
        </r>
      </text>
    </comment>
    <comment ref="L4" authorId="0" shapeId="0" xr:uid="{07FDE02F-1F27-47DB-97C2-DBFDF96F8397}">
      <text>
        <r>
          <rPr>
            <sz val="9"/>
            <color indexed="81"/>
            <rFont val="ＭＳ Ｐゴシック"/>
            <family val="3"/>
            <charset val="128"/>
          </rPr>
          <t xml:space="preserve">作成者
作成日 を必ず入力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767FD0AA-FB0C-42D1-9D57-C897682CBBAF}">
      <text>
        <r>
          <rPr>
            <sz val="9"/>
            <color indexed="81"/>
            <rFont val="ＭＳ Ｐゴシック"/>
            <family val="3"/>
            <charset val="128"/>
          </rPr>
          <t xml:space="preserve">作成者
作成日 を必ず入力
</t>
        </r>
      </text>
    </comment>
    <comment ref="L4" authorId="0" shapeId="0" xr:uid="{6F3BDAFE-036F-4935-88AD-6F556DB4F131}">
      <text>
        <r>
          <rPr>
            <sz val="9"/>
            <color indexed="81"/>
            <rFont val="ＭＳ Ｐゴシック"/>
            <family val="3"/>
            <charset val="128"/>
          </rPr>
          <t xml:space="preserve">作成者
作成日 を必ず入力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47564D60-8402-465C-937B-F93F4439FD96}">
      <text>
        <r>
          <rPr>
            <sz val="9"/>
            <color indexed="81"/>
            <rFont val="ＭＳ Ｐゴシック"/>
            <family val="3"/>
            <charset val="128"/>
          </rPr>
          <t xml:space="preserve">作成者
作成日 を必ず入力
</t>
        </r>
      </text>
    </comment>
    <comment ref="L4" authorId="0" shapeId="0" xr:uid="{70FE3465-7109-4A6E-8696-B708F2928B0A}">
      <text>
        <r>
          <rPr>
            <sz val="9"/>
            <color indexed="81"/>
            <rFont val="ＭＳ Ｐゴシック"/>
            <family val="3"/>
            <charset val="128"/>
          </rPr>
          <t xml:space="preserve">作成者
作成日 を必ず入力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5682DF87-E252-415A-A7F4-021FF1865C19}">
      <text>
        <r>
          <rPr>
            <sz val="9"/>
            <color indexed="81"/>
            <rFont val="ＭＳ Ｐゴシック"/>
            <family val="3"/>
            <charset val="128"/>
          </rPr>
          <t xml:space="preserve">作成者
作成日 を必ず入力
</t>
        </r>
      </text>
    </comment>
    <comment ref="L4" authorId="0" shapeId="0" xr:uid="{F322B554-A2E2-4746-8404-B104914636DE}">
      <text>
        <r>
          <rPr>
            <sz val="9"/>
            <color indexed="81"/>
            <rFont val="ＭＳ Ｐゴシック"/>
            <family val="3"/>
            <charset val="128"/>
          </rPr>
          <t xml:space="preserve">作成者
作成日 を必ず入力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F7AAEDB0-B4AF-4430-B90E-173F8DCA3EED}">
      <text>
        <r>
          <rPr>
            <sz val="9"/>
            <color indexed="81"/>
            <rFont val="ＭＳ Ｐゴシック"/>
            <family val="3"/>
            <charset val="128"/>
          </rPr>
          <t xml:space="preserve">作成者
作成日 を必ず入力
</t>
        </r>
      </text>
    </comment>
    <comment ref="L4" authorId="0" shapeId="0" xr:uid="{42BC73CE-4BA7-458A-846B-AC69A7E9454C}">
      <text>
        <r>
          <rPr>
            <sz val="9"/>
            <color indexed="81"/>
            <rFont val="ＭＳ Ｐゴシック"/>
            <family val="3"/>
            <charset val="128"/>
          </rPr>
          <t xml:space="preserve">作成者
作成日 を必ず入力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C78CA7CD-FE7F-40E7-838A-6A25CD6926E0}">
      <text>
        <r>
          <rPr>
            <sz val="9"/>
            <color indexed="81"/>
            <rFont val="ＭＳ Ｐゴシック"/>
            <family val="3"/>
            <charset val="128"/>
          </rPr>
          <t xml:space="preserve">作成者
作成日 を必ず入力
</t>
        </r>
      </text>
    </comment>
    <comment ref="L4" authorId="0" shapeId="0" xr:uid="{0FC82968-EA2D-4DE3-8524-BE264DE7120C}">
      <text>
        <r>
          <rPr>
            <sz val="9"/>
            <color indexed="81"/>
            <rFont val="ＭＳ Ｐゴシック"/>
            <family val="3"/>
            <charset val="128"/>
          </rPr>
          <t xml:space="preserve">作成者
作成日 を必ず入力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7FCF5BAA-84B2-4206-824D-CC28A9250B1D}">
      <text>
        <r>
          <rPr>
            <sz val="9"/>
            <color indexed="81"/>
            <rFont val="ＭＳ Ｐゴシック"/>
            <family val="3"/>
            <charset val="128"/>
          </rPr>
          <t xml:space="preserve">作成者
作成日 を必ず入力
</t>
        </r>
      </text>
    </comment>
    <comment ref="L4" authorId="0" shapeId="0" xr:uid="{897AFFD4-823B-4585-A5EF-395360C6E770}">
      <text>
        <r>
          <rPr>
            <sz val="9"/>
            <color indexed="81"/>
            <rFont val="ＭＳ Ｐゴシック"/>
            <family val="3"/>
            <charset val="128"/>
          </rPr>
          <t xml:space="preserve">作成者
作成日 を必ず入力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97FE8DA9-C026-4300-81B6-29E4112B8761}">
      <text>
        <r>
          <rPr>
            <sz val="9"/>
            <color indexed="81"/>
            <rFont val="ＭＳ Ｐゴシック"/>
            <family val="3"/>
            <charset val="128"/>
          </rPr>
          <t xml:space="preserve">作成者
作成日 を必ず入力
</t>
        </r>
      </text>
    </comment>
    <comment ref="L4" authorId="0" shapeId="0" xr:uid="{C55735F4-9829-45B7-B145-AE74E27239DA}">
      <text>
        <r>
          <rPr>
            <sz val="9"/>
            <color indexed="81"/>
            <rFont val="ＭＳ Ｐゴシック"/>
            <family val="3"/>
            <charset val="128"/>
          </rPr>
          <t xml:space="preserve">作成者
作成日 を必ず入力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1B969293-C64E-4B2A-93A4-8348A32CADDB}">
      <text>
        <r>
          <rPr>
            <sz val="9"/>
            <color indexed="81"/>
            <rFont val="ＭＳ Ｐゴシック"/>
            <family val="3"/>
            <charset val="128"/>
          </rPr>
          <t xml:space="preserve">作成者
作成日 を必ず入力
</t>
        </r>
      </text>
    </comment>
    <comment ref="L4" authorId="0" shapeId="0" xr:uid="{5D61BEFF-8AE0-409E-AC83-518507B24263}">
      <text>
        <r>
          <rPr>
            <sz val="9"/>
            <color indexed="81"/>
            <rFont val="ＭＳ Ｐゴシック"/>
            <family val="3"/>
            <charset val="128"/>
          </rPr>
          <t xml:space="preserve">作成者
作成日 を必ず入力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9CAE6695-B160-4B5F-983C-42C3A9C41A2D}">
      <text>
        <r>
          <rPr>
            <sz val="9"/>
            <color indexed="81"/>
            <rFont val="ＭＳ Ｐゴシック"/>
            <family val="3"/>
            <charset val="128"/>
          </rPr>
          <t xml:space="preserve">作成者
作成日 を必ず入力
</t>
        </r>
      </text>
    </comment>
    <comment ref="L4" authorId="0" shapeId="0" xr:uid="{8CA29735-FDC5-483D-94C7-74BC5CEFD36B}">
      <text>
        <r>
          <rPr>
            <sz val="9"/>
            <color indexed="81"/>
            <rFont val="ＭＳ Ｐゴシック"/>
            <family val="3"/>
            <charset val="128"/>
          </rPr>
          <t xml:space="preserve">作成者
作成日 を必ず入力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EDB53D62-304B-4957-B0E4-1387FAFD85C5}">
      <text>
        <r>
          <rPr>
            <sz val="9"/>
            <color indexed="81"/>
            <rFont val="ＭＳ Ｐゴシック"/>
            <family val="3"/>
            <charset val="128"/>
          </rPr>
          <t xml:space="preserve">作成者
作成日 を必ず入力
</t>
        </r>
      </text>
    </comment>
    <comment ref="L4" authorId="0" shapeId="0" xr:uid="{5FFC19F4-4CEB-44F4-8C8A-D27CDDFC6E1D}">
      <text>
        <r>
          <rPr>
            <sz val="9"/>
            <color indexed="81"/>
            <rFont val="ＭＳ Ｐゴシック"/>
            <family val="3"/>
            <charset val="128"/>
          </rPr>
          <t xml:space="preserve">作成者
作成日 を必ず入力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60521785-9BEE-449C-ABA8-0CC16948AF4D}">
      <text>
        <r>
          <rPr>
            <sz val="9"/>
            <color indexed="81"/>
            <rFont val="ＭＳ Ｐゴシック"/>
            <family val="3"/>
            <charset val="128"/>
          </rPr>
          <t xml:space="preserve">作成者
作成日 を必ず入力
</t>
        </r>
      </text>
    </comment>
    <comment ref="L4" authorId="0" shapeId="0" xr:uid="{D1273444-22DE-4EDA-9768-C5C2BA25D851}">
      <text>
        <r>
          <rPr>
            <sz val="9"/>
            <color indexed="81"/>
            <rFont val="ＭＳ Ｐゴシック"/>
            <family val="3"/>
            <charset val="128"/>
          </rPr>
          <t xml:space="preserve">作成者
作成日 を必ず入力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B397A691-4B68-4789-9C1A-CB63E3BBE276}">
      <text>
        <r>
          <rPr>
            <sz val="9"/>
            <color indexed="81"/>
            <rFont val="ＭＳ Ｐゴシック"/>
            <family val="3"/>
            <charset val="128"/>
          </rPr>
          <t xml:space="preserve">作成者
作成日 を必ず入力
</t>
        </r>
      </text>
    </comment>
    <comment ref="L4" authorId="0" shapeId="0" xr:uid="{63ACF5E2-7636-40B6-BF28-D1FF9A874F6E}">
      <text>
        <r>
          <rPr>
            <sz val="9"/>
            <color indexed="81"/>
            <rFont val="ＭＳ Ｐゴシック"/>
            <family val="3"/>
            <charset val="128"/>
          </rPr>
          <t xml:space="preserve">作成者
作成日 を必ず入力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142E5708-B070-443F-B32B-102F71726E89}">
      <text>
        <r>
          <rPr>
            <sz val="9"/>
            <color indexed="81"/>
            <rFont val="ＭＳ Ｐゴシック"/>
            <family val="3"/>
            <charset val="128"/>
          </rPr>
          <t xml:space="preserve">作成者
作成日 を必ず入力
</t>
        </r>
      </text>
    </comment>
    <comment ref="L4" authorId="0" shapeId="0" xr:uid="{3B2D1148-1219-4BB4-AFE6-9921CE3830E1}">
      <text>
        <r>
          <rPr>
            <sz val="9"/>
            <color indexed="81"/>
            <rFont val="ＭＳ Ｐゴシック"/>
            <family val="3"/>
            <charset val="128"/>
          </rPr>
          <t xml:space="preserve">作成者
作成日 を必ず入力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D1076102-B66A-4E3B-BB68-6ADD8DECB8C3}">
      <text>
        <r>
          <rPr>
            <sz val="9"/>
            <color indexed="81"/>
            <rFont val="ＭＳ Ｐゴシック"/>
            <family val="3"/>
            <charset val="128"/>
          </rPr>
          <t xml:space="preserve">作成者
作成日 を必ず入力
</t>
        </r>
      </text>
    </comment>
    <comment ref="L4" authorId="0" shapeId="0" xr:uid="{634D9D4A-3DAD-4BFE-846C-6C75C062D252}">
      <text>
        <r>
          <rPr>
            <sz val="9"/>
            <color indexed="81"/>
            <rFont val="ＭＳ Ｐゴシック"/>
            <family val="3"/>
            <charset val="128"/>
          </rPr>
          <t xml:space="preserve">作成者
作成日 を必ず入力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1B2A5115-52C8-4446-91FF-B32444181F28}">
      <text>
        <r>
          <rPr>
            <sz val="9"/>
            <color indexed="81"/>
            <rFont val="ＭＳ Ｐゴシック"/>
            <family val="3"/>
            <charset val="128"/>
          </rPr>
          <t xml:space="preserve">作成者
作成日 を必ず入力
</t>
        </r>
      </text>
    </comment>
    <comment ref="L4" authorId="0" shapeId="0" xr:uid="{BF25366B-3F3F-4B65-8017-8A10D15FAFCE}">
      <text>
        <r>
          <rPr>
            <sz val="9"/>
            <color indexed="81"/>
            <rFont val="ＭＳ Ｐゴシック"/>
            <family val="3"/>
            <charset val="128"/>
          </rPr>
          <t xml:space="preserve">作成者
作成日 を必ず入力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CCF1CF32-31B0-4766-B44B-FF1D89902693}">
      <text>
        <r>
          <rPr>
            <sz val="9"/>
            <color indexed="81"/>
            <rFont val="ＭＳ Ｐゴシック"/>
            <family val="3"/>
            <charset val="128"/>
          </rPr>
          <t xml:space="preserve">作成者
作成日 を必ず入力
</t>
        </r>
      </text>
    </comment>
    <comment ref="L4" authorId="0" shapeId="0" xr:uid="{2D15C09A-E3FF-428E-9F3B-A4BEFB7B7BCE}">
      <text>
        <r>
          <rPr>
            <sz val="9"/>
            <color indexed="81"/>
            <rFont val="ＭＳ Ｐゴシック"/>
            <family val="3"/>
            <charset val="128"/>
          </rPr>
          <t xml:space="preserve">作成者
作成日 を必ず入力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721E317D-E40E-4E6C-9A8E-2EEAE79AE08C}">
      <text>
        <r>
          <rPr>
            <sz val="9"/>
            <color indexed="81"/>
            <rFont val="ＭＳ Ｐゴシック"/>
            <family val="3"/>
            <charset val="128"/>
          </rPr>
          <t xml:space="preserve">作成者
作成日 を必ず入力
</t>
        </r>
      </text>
    </comment>
    <comment ref="L4" authorId="0" shapeId="0" xr:uid="{D0B5A8F1-CBFA-49A9-B470-BCA4C15E363F}">
      <text>
        <r>
          <rPr>
            <sz val="9"/>
            <color indexed="81"/>
            <rFont val="ＭＳ Ｐゴシック"/>
            <family val="3"/>
            <charset val="128"/>
          </rPr>
          <t xml:space="preserve">作成者
作成日 を必ず入力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C641ECCF-A012-4C72-AD06-7DD400F201C4}">
      <text>
        <r>
          <rPr>
            <sz val="9"/>
            <color indexed="81"/>
            <rFont val="ＭＳ Ｐゴシック"/>
            <family val="3"/>
            <charset val="128"/>
          </rPr>
          <t xml:space="preserve">作成者
作成日 を必ず入力
</t>
        </r>
      </text>
    </comment>
    <comment ref="L4" authorId="0" shapeId="0" xr:uid="{9F34DCAD-630F-4F22-8EE3-0109697E4644}">
      <text>
        <r>
          <rPr>
            <sz val="9"/>
            <color indexed="81"/>
            <rFont val="ＭＳ Ｐゴシック"/>
            <family val="3"/>
            <charset val="128"/>
          </rPr>
          <t xml:space="preserve">作成者
作成日 を必ず入力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1FE8A87A-095A-4814-ABB6-7389D636BACC}">
      <text>
        <r>
          <rPr>
            <sz val="9"/>
            <color indexed="81"/>
            <rFont val="ＭＳ Ｐゴシック"/>
            <family val="3"/>
            <charset val="128"/>
          </rPr>
          <t xml:space="preserve">作成者
作成日 を必ず入力
</t>
        </r>
      </text>
    </comment>
    <comment ref="L4" authorId="0" shapeId="0" xr:uid="{24B63832-2417-49A8-B8B4-C3A9E8740271}">
      <text>
        <r>
          <rPr>
            <sz val="9"/>
            <color indexed="81"/>
            <rFont val="ＭＳ Ｐゴシック"/>
            <family val="3"/>
            <charset val="128"/>
          </rPr>
          <t xml:space="preserve">作成者
作成日 を必ず入力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2A74720B-BA46-4F01-AB68-6C6B7DBFC845}">
      <text>
        <r>
          <rPr>
            <sz val="9"/>
            <color indexed="81"/>
            <rFont val="ＭＳ Ｐゴシック"/>
            <family val="3"/>
            <charset val="128"/>
          </rPr>
          <t xml:space="preserve">作成者
作成日 を必ず入力
</t>
        </r>
      </text>
    </comment>
    <comment ref="L4" authorId="0" shapeId="0" xr:uid="{D57BB375-1035-476F-9BA4-BA8A0F0E9E33}">
      <text>
        <r>
          <rPr>
            <sz val="9"/>
            <color indexed="81"/>
            <rFont val="ＭＳ Ｐゴシック"/>
            <family val="3"/>
            <charset val="128"/>
          </rPr>
          <t xml:space="preserve">作成者
作成日 を必ず入力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00000000-0006-0000-0000-000001000000}">
      <text>
        <r>
          <rPr>
            <sz val="9"/>
            <color indexed="81"/>
            <rFont val="ＭＳ Ｐゴシック"/>
            <family val="3"/>
            <charset val="128"/>
          </rPr>
          <t xml:space="preserve">作成者
作成日 を必ず入力
</t>
        </r>
      </text>
    </comment>
    <comment ref="L4" authorId="0" shapeId="0" xr:uid="{00000000-0006-0000-0000-000002000000}">
      <text>
        <r>
          <rPr>
            <sz val="9"/>
            <color indexed="81"/>
            <rFont val="ＭＳ Ｐゴシック"/>
            <family val="3"/>
            <charset val="128"/>
          </rPr>
          <t xml:space="preserve">作成者
作成日 を必ず入力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I4" authorId="0" shapeId="0" xr:uid="{00000000-0006-0000-0200-000001000000}">
      <text>
        <r>
          <rPr>
            <sz val="9"/>
            <color indexed="81"/>
            <rFont val="ＭＳ Ｐゴシック"/>
            <family val="3"/>
            <charset val="128"/>
          </rPr>
          <t xml:space="preserve">作成者
作成日 を必ず入力
</t>
        </r>
      </text>
    </comment>
    <comment ref="L4" authorId="0" shapeId="0" xr:uid="{00000000-0006-0000-0200-000002000000}">
      <text>
        <r>
          <rPr>
            <sz val="9"/>
            <color indexed="81"/>
            <rFont val="ＭＳ Ｐゴシック"/>
            <family val="3"/>
            <charset val="128"/>
          </rPr>
          <t xml:space="preserve">作成者
作成日 を必ず入力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日立化成工業株式会社</author>
  </authors>
  <commentList>
    <comment ref="E4" authorId="0" shapeId="0" xr:uid="{00000000-0006-0000-0300-000001000000}">
      <text>
        <r>
          <rPr>
            <sz val="9"/>
            <color indexed="81"/>
            <rFont val="ＭＳ Ｐゴシック"/>
            <family val="3"/>
            <charset val="128"/>
          </rPr>
          <t xml:space="preserve">作成者
作成日 を必ず入力
</t>
        </r>
      </text>
    </comment>
    <comment ref="G4" authorId="0" shapeId="0" xr:uid="{00000000-0006-0000-0300-000002000000}">
      <text>
        <r>
          <rPr>
            <sz val="9"/>
            <color indexed="81"/>
            <rFont val="ＭＳ Ｐゴシック"/>
            <family val="3"/>
            <charset val="128"/>
          </rPr>
          <t xml:space="preserve">作成者
作成日 を必ず入力
</t>
        </r>
      </text>
    </comment>
  </commentList>
</comments>
</file>

<file path=xl/sharedStrings.xml><?xml version="1.0" encoding="utf-8"?>
<sst xmlns="http://schemas.openxmlformats.org/spreadsheetml/2006/main" count="5785" uniqueCount="698">
  <si>
    <t>承認者印</t>
  </si>
  <si>
    <t>管理者印</t>
  </si>
  <si>
    <t>作成者印</t>
  </si>
  <si>
    <t>仕　様　書</t>
  </si>
  <si>
    <t>使用システム名称</t>
  </si>
  <si>
    <t>DUMMY</t>
  </si>
  <si>
    <t>テーブル名称(論理名)</t>
  </si>
  <si>
    <t>テーブル名称(物理名)</t>
  </si>
  <si>
    <t>作成ユーザＩＤ</t>
  </si>
  <si>
    <r>
      <t>レコード長</t>
    </r>
    <r>
      <rPr>
        <sz val="8"/>
        <rFont val="Times New Roman"/>
        <family val="1"/>
      </rPr>
      <t>(Byte)</t>
    </r>
  </si>
  <si>
    <t>作成パスワード</t>
  </si>
  <si>
    <r>
      <t>テーブル容量</t>
    </r>
    <r>
      <rPr>
        <sz val="8"/>
        <rFont val="Times New Roman"/>
        <family val="1"/>
      </rPr>
      <t>(KB)</t>
    </r>
  </si>
  <si>
    <r>
      <t>ｲﾝﾃﾞｯｸｽ容量</t>
    </r>
    <r>
      <rPr>
        <sz val="8"/>
        <rFont val="Times New Roman"/>
        <family val="1"/>
      </rPr>
      <t>(KB)</t>
    </r>
  </si>
  <si>
    <t>桁数</t>
  </si>
  <si>
    <t>No</t>
  </si>
  <si>
    <t>項　目　名</t>
  </si>
  <si>
    <t>定　義　名</t>
  </si>
  <si>
    <t>データタイプ</t>
  </si>
  <si>
    <t>全体</t>
  </si>
  <si>
    <t>小数</t>
  </si>
  <si>
    <t>INDEX</t>
  </si>
  <si>
    <t>□</t>
  </si>
  <si>
    <t>NO</t>
  </si>
  <si>
    <t>DATA TYPE</t>
  </si>
  <si>
    <t>DATE</t>
  </si>
  <si>
    <t>ﾃﾞｰﾀﾀｲﾌﾟﾘｽﾄﾎﾞｯｸｽ</t>
  </si>
  <si>
    <r>
      <t>表領域名称(</t>
    </r>
    <r>
      <rPr>
        <sz val="8"/>
        <rFont val="Times New Roman"/>
        <family val="1"/>
      </rPr>
      <t>TBL</t>
    </r>
    <r>
      <rPr>
        <sz val="10"/>
        <rFont val="ＭＳ ゴシック"/>
        <family val="3"/>
        <charset val="128"/>
      </rPr>
      <t>用)</t>
    </r>
    <phoneticPr fontId="17"/>
  </si>
  <si>
    <t>テ　　　ー　　　ブ　　　ル　　　概　　　要</t>
  </si>
  <si>
    <t>領域名称(INDEX用)</t>
  </si>
  <si>
    <t>最大データ件数</t>
  </si>
  <si>
    <t>Not Null</t>
  </si>
  <si>
    <t>DEFAULT</t>
  </si>
  <si>
    <t>項　　　　　目　　　　　概　　　　　要</t>
  </si>
  <si>
    <t>USERDATA</t>
    <phoneticPr fontId="16"/>
  </si>
  <si>
    <t>USERINDX</t>
    <phoneticPr fontId="16"/>
  </si>
  <si>
    <t>□</t>
    <phoneticPr fontId="16"/>
  </si>
  <si>
    <t>登録画面ID</t>
  </si>
  <si>
    <t>登録者</t>
  </si>
  <si>
    <t>登録日</t>
  </si>
  <si>
    <t>更新画面ID</t>
  </si>
  <si>
    <t>更新者</t>
  </si>
  <si>
    <t>更新日</t>
  </si>
  <si>
    <t>PK</t>
    <phoneticPr fontId="16"/>
  </si>
  <si>
    <t>ENTRYNAME</t>
    <phoneticPr fontId="16"/>
  </si>
  <si>
    <t>UPDATENAME</t>
    <phoneticPr fontId="16"/>
  </si>
  <si>
    <t>□</t>
    <phoneticPr fontId="16"/>
  </si>
  <si>
    <t>排他キー</t>
    <phoneticPr fontId="16"/>
  </si>
  <si>
    <t>υ</t>
    <phoneticPr fontId="16"/>
  </si>
  <si>
    <t>楽観排他用のキー</t>
    <phoneticPr fontId="16"/>
  </si>
  <si>
    <t>NCHAR</t>
  </si>
  <si>
    <t>NCHAR</t>
    <phoneticPr fontId="17"/>
  </si>
  <si>
    <t>NVARCHAR</t>
  </si>
  <si>
    <t>NVARCHAR</t>
    <phoneticPr fontId="17"/>
  </si>
  <si>
    <t>DATE</t>
    <phoneticPr fontId="17"/>
  </si>
  <si>
    <t>TIME</t>
  </si>
  <si>
    <t>TIME</t>
    <phoneticPr fontId="17"/>
  </si>
  <si>
    <t>DECIMAL</t>
  </si>
  <si>
    <t>DECIMAL</t>
    <phoneticPr fontId="17"/>
  </si>
  <si>
    <t>BIT</t>
  </si>
  <si>
    <t>BIT</t>
    <phoneticPr fontId="17"/>
  </si>
  <si>
    <t>BINARY</t>
  </si>
  <si>
    <t>BINARY</t>
    <phoneticPr fontId="17"/>
  </si>
  <si>
    <t>ROWVERSION</t>
  </si>
  <si>
    <t>ROWVERSION</t>
    <phoneticPr fontId="17"/>
  </si>
  <si>
    <t>Ｄ／Ｂ　テーブル(表)</t>
    <phoneticPr fontId="16"/>
  </si>
  <si>
    <t>バックドア生産管理システム</t>
    <rPh sb="5" eb="7">
      <t>セイサン</t>
    </rPh>
    <rPh sb="7" eb="9">
      <t>カンリ</t>
    </rPh>
    <phoneticPr fontId="16"/>
  </si>
  <si>
    <t>車種マスタ</t>
    <rPh sb="0" eb="2">
      <t>シャシュ</t>
    </rPh>
    <phoneticPr fontId="16"/>
  </si>
  <si>
    <t>CAR_MODEL_MASTER</t>
    <phoneticPr fontId="16"/>
  </si>
  <si>
    <t>dbo</t>
    <phoneticPr fontId="16"/>
  </si>
  <si>
    <t>車種コード</t>
    <rPh sb="0" eb="2">
      <t>シャシュ</t>
    </rPh>
    <phoneticPr fontId="1"/>
  </si>
  <si>
    <t>車種名</t>
    <rPh sb="0" eb="2">
      <t>シャシュ</t>
    </rPh>
    <rPh sb="2" eb="3">
      <t>メイ</t>
    </rPh>
    <phoneticPr fontId="1"/>
  </si>
  <si>
    <t>EXCLUSIVE_KEY</t>
    <phoneticPr fontId="16"/>
  </si>
  <si>
    <t>CAR_MODEL_CODE</t>
    <phoneticPr fontId="16"/>
  </si>
  <si>
    <t>CAR_MODEL_NAME</t>
    <phoneticPr fontId="16"/>
  </si>
  <si>
    <t>DATETIME</t>
    <phoneticPr fontId="17"/>
  </si>
  <si>
    <t>DATETIME</t>
    <phoneticPr fontId="16"/>
  </si>
  <si>
    <t>NVARCHAR</t>
    <phoneticPr fontId="16"/>
  </si>
  <si>
    <t>NCHAR</t>
    <phoneticPr fontId="16"/>
  </si>
  <si>
    <t>ENTRYSCREENID</t>
    <phoneticPr fontId="16"/>
  </si>
  <si>
    <t>UPDATESCREENID</t>
    <phoneticPr fontId="16"/>
  </si>
  <si>
    <t>ENTRYDATE</t>
    <phoneticPr fontId="16"/>
  </si>
  <si>
    <t>UPDATEDATE</t>
    <phoneticPr fontId="16"/>
  </si>
  <si>
    <t>ROWVERSION</t>
    <phoneticPr fontId="16"/>
  </si>
  <si>
    <t>車種コードを管理するマスタ</t>
    <rPh sb="0" eb="2">
      <t>シャシュ</t>
    </rPh>
    <rPh sb="6" eb="8">
      <t>カンリ</t>
    </rPh>
    <phoneticPr fontId="16"/>
  </si>
  <si>
    <t>--</t>
    <phoneticPr fontId="1"/>
  </si>
  <si>
    <t>--</t>
    <phoneticPr fontId="16"/>
  </si>
  <si>
    <t>DATETIME</t>
  </si>
  <si>
    <t>ＤＢ設計書パス</t>
    <rPh sb="2" eb="5">
      <t>セッケイショ</t>
    </rPh>
    <phoneticPr fontId="17"/>
  </si>
  <si>
    <t>作業計画データ</t>
    <phoneticPr fontId="17"/>
  </si>
  <si>
    <t>作業計画準備データ</t>
    <phoneticPr fontId="17"/>
  </si>
  <si>
    <t>○</t>
    <phoneticPr fontId="17"/>
  </si>
  <si>
    <t>INT</t>
    <phoneticPr fontId="17"/>
  </si>
  <si>
    <t>INT</t>
    <phoneticPr fontId="17"/>
  </si>
  <si>
    <t>実績数量</t>
    <phoneticPr fontId="17"/>
  </si>
  <si>
    <t>作業指示明細データ</t>
    <phoneticPr fontId="17"/>
  </si>
  <si>
    <t>実績管理データ</t>
    <phoneticPr fontId="17"/>
  </si>
  <si>
    <t>実績登録データ</t>
    <phoneticPr fontId="17"/>
  </si>
  <si>
    <t>個体ＮＯ管理データ</t>
    <phoneticPr fontId="17"/>
  </si>
  <si>
    <t>付帯作業データ</t>
    <phoneticPr fontId="17"/>
  </si>
  <si>
    <t>梱包指示データ</t>
    <phoneticPr fontId="17"/>
  </si>
  <si>
    <t>梱包実績データ</t>
    <phoneticPr fontId="17"/>
  </si>
  <si>
    <t>在庫データ</t>
    <phoneticPr fontId="17"/>
  </si>
  <si>
    <t>受払データ</t>
    <phoneticPr fontId="17"/>
  </si>
  <si>
    <t>順列納入指示データ</t>
    <phoneticPr fontId="17"/>
  </si>
  <si>
    <t>シミュレーションヘッダ</t>
    <phoneticPr fontId="17"/>
  </si>
  <si>
    <t>シミュレーションデータ</t>
    <phoneticPr fontId="17"/>
  </si>
  <si>
    <t>シミュレーション組立順序</t>
    <phoneticPr fontId="17"/>
  </si>
  <si>
    <t>生産品名マスタ</t>
    <phoneticPr fontId="17"/>
  </si>
  <si>
    <t>資材マスタ</t>
    <phoneticPr fontId="17"/>
  </si>
  <si>
    <t>使用資材</t>
    <phoneticPr fontId="17"/>
  </si>
  <si>
    <t>車種マスタ</t>
    <phoneticPr fontId="17"/>
  </si>
  <si>
    <t>設備マスタ</t>
    <phoneticPr fontId="17"/>
  </si>
  <si>
    <t>工程マスタ</t>
    <phoneticPr fontId="17"/>
  </si>
  <si>
    <t>標準通過工程マスタ</t>
    <phoneticPr fontId="17"/>
  </si>
  <si>
    <t>区分標準通過工程</t>
    <phoneticPr fontId="17"/>
  </si>
  <si>
    <t>通過工程間チェック</t>
    <phoneticPr fontId="17"/>
  </si>
  <si>
    <t>判定理由マスタ</t>
    <phoneticPr fontId="17"/>
  </si>
  <si>
    <t>コードマスタ</t>
    <phoneticPr fontId="17"/>
  </si>
  <si>
    <t>社員マスタ</t>
    <phoneticPr fontId="17"/>
  </si>
  <si>
    <t>稼働日マスタ</t>
    <phoneticPr fontId="17"/>
  </si>
  <si>
    <t>休憩時間マスタ</t>
    <phoneticPr fontId="17"/>
  </si>
  <si>
    <t>事業所マスタ</t>
    <phoneticPr fontId="17"/>
  </si>
  <si>
    <t>□</t>
    <phoneticPr fontId="16"/>
  </si>
  <si>
    <t>テーブルID</t>
    <phoneticPr fontId="25"/>
  </si>
  <si>
    <t>テーブル名</t>
    <rPh sb="4" eb="5">
      <t>メイ</t>
    </rPh>
    <phoneticPr fontId="25"/>
  </si>
  <si>
    <t>分類</t>
    <rPh sb="0" eb="2">
      <t>ブンルイ</t>
    </rPh>
    <phoneticPr fontId="25"/>
  </si>
  <si>
    <t>スキーマ</t>
    <phoneticPr fontId="25"/>
  </si>
  <si>
    <t>Ｄ／Ｂ　テーブル一覧</t>
    <rPh sb="8" eb="10">
      <t>イチラン</t>
    </rPh>
    <phoneticPr fontId="16"/>
  </si>
  <si>
    <t>No</t>
    <phoneticPr fontId="25"/>
  </si>
  <si>
    <t>概　　　　　要</t>
    <phoneticPr fontId="25"/>
  </si>
  <si>
    <t>C:\work\08_テーブル定義書_統合版_20191015.xlsx</t>
    <phoneticPr fontId="17"/>
  </si>
  <si>
    <t>作業計画データ</t>
  </si>
  <si>
    <t>作業計画準備データ</t>
  </si>
  <si>
    <t>実績数量</t>
  </si>
  <si>
    <t>作業指示明細データ</t>
  </si>
  <si>
    <t>投入指示データ</t>
  </si>
  <si>
    <t>投入指示データ</t>
    <phoneticPr fontId="17"/>
  </si>
  <si>
    <t>実績管理データ</t>
  </si>
  <si>
    <t>実績登録データ</t>
  </si>
  <si>
    <t>個体ＮＯ管理データ</t>
  </si>
  <si>
    <t>付帯作業データ</t>
  </si>
  <si>
    <t>投入順序実績</t>
  </si>
  <si>
    <t>投入順序実績</t>
    <phoneticPr fontId="17"/>
  </si>
  <si>
    <t>梱包指示データ</t>
  </si>
  <si>
    <t>梱包実績データ</t>
  </si>
  <si>
    <t>在庫データ</t>
  </si>
  <si>
    <t>受払データ</t>
  </si>
  <si>
    <t>順列納入指示データ</t>
  </si>
  <si>
    <t>非順列納入指示データ</t>
  </si>
  <si>
    <t>非順列納入指示データ</t>
    <phoneticPr fontId="17"/>
  </si>
  <si>
    <t>シミュレーションヘッダ</t>
  </si>
  <si>
    <t>シミュレーションデータ</t>
  </si>
  <si>
    <t>シミュレーション組立順序</t>
  </si>
  <si>
    <t>生産品名マスタ</t>
  </si>
  <si>
    <t>組立品構成マスタ</t>
  </si>
  <si>
    <t>組立品構成マスタ</t>
    <phoneticPr fontId="17"/>
  </si>
  <si>
    <t>資材マスタ</t>
  </si>
  <si>
    <t>使用資材</t>
  </si>
  <si>
    <t>生産製品マスタ</t>
  </si>
  <si>
    <t>生産製品マスタ</t>
    <phoneticPr fontId="17"/>
  </si>
  <si>
    <t>車種マスタ</t>
  </si>
  <si>
    <t>設備マスタ</t>
  </si>
  <si>
    <t>工程マスタ</t>
  </si>
  <si>
    <t>標準通過工程マスタ</t>
  </si>
  <si>
    <t>工程グループマスタ</t>
  </si>
  <si>
    <t>工程グループマスタ</t>
    <phoneticPr fontId="17"/>
  </si>
  <si>
    <t>区分標準通過工程</t>
  </si>
  <si>
    <t>通過工程間チェック</t>
  </si>
  <si>
    <t>投入指示作成</t>
  </si>
  <si>
    <t>投入指示作成</t>
    <phoneticPr fontId="17"/>
  </si>
  <si>
    <t>判定理由マスタ</t>
  </si>
  <si>
    <t>コードマスタ</t>
  </si>
  <si>
    <t>社員マスタ</t>
  </si>
  <si>
    <t>稼働日マスタ</t>
  </si>
  <si>
    <t>休憩時間マスタ</t>
  </si>
  <si>
    <t>事業所マスタ</t>
  </si>
  <si>
    <t>品種マスタ</t>
  </si>
  <si>
    <t>パスワードマスタ</t>
  </si>
  <si>
    <t>ＩＰアドレス管理マスタ</t>
  </si>
  <si>
    <t>採番マスタ</t>
  </si>
  <si>
    <t>読込ラベルグループマスタ</t>
  </si>
  <si>
    <t>ラベル定義マスタ</t>
  </si>
  <si>
    <t>○</t>
  </si>
  <si>
    <t>T_WORKPLAN</t>
  </si>
  <si>
    <t>作業計画データ</t>
    <phoneticPr fontId="16"/>
  </si>
  <si>
    <t>作業計画</t>
  </si>
  <si>
    <t>作業計画情報を保持する</t>
  </si>
  <si>
    <t>事業所コード</t>
    <phoneticPr fontId="1"/>
  </si>
  <si>
    <t>OFFICE_CD</t>
    <phoneticPr fontId="16"/>
  </si>
  <si>
    <t>υ</t>
  </si>
  <si>
    <t>PK</t>
  </si>
  <si>
    <t>作番</t>
    <phoneticPr fontId="1"/>
  </si>
  <si>
    <t>WORK_NO</t>
    <phoneticPr fontId="16"/>
  </si>
  <si>
    <t>大工程コード</t>
    <phoneticPr fontId="1"/>
  </si>
  <si>
    <t>PROC_CD</t>
    <phoneticPr fontId="16"/>
  </si>
  <si>
    <t>品名コード</t>
    <phoneticPr fontId="1"/>
  </si>
  <si>
    <t>PART_CD</t>
    <phoneticPr fontId="16"/>
  </si>
  <si>
    <t>品名事業所コード</t>
    <phoneticPr fontId="1"/>
  </si>
  <si>
    <t>PART_OFFICE_CD</t>
    <phoneticPr fontId="16"/>
  </si>
  <si>
    <t>パック品名略称</t>
    <phoneticPr fontId="1"/>
  </si>
  <si>
    <t>PART_NAME</t>
    <phoneticPr fontId="16"/>
  </si>
  <si>
    <t>納入先コード</t>
    <phoneticPr fontId="1"/>
  </si>
  <si>
    <t>DEST_CD</t>
    <phoneticPr fontId="16"/>
  </si>
  <si>
    <t>コードマスタに定義</t>
  </si>
  <si>
    <t>納入区分</t>
    <phoneticPr fontId="1"/>
  </si>
  <si>
    <t>DEST_KIND</t>
    <phoneticPr fontId="16"/>
  </si>
  <si>
    <t>空欄：組立品以外
O：順列
L：ライン品
S：SP
K：KD
T：試作品</t>
  </si>
  <si>
    <t>製品半製品区分</t>
    <phoneticPr fontId="1"/>
  </si>
  <si>
    <t>１：製品
２：半製品</t>
  </si>
  <si>
    <t>作業指示数量</t>
    <phoneticPr fontId="1"/>
  </si>
  <si>
    <t>PLAN_QTY</t>
    <phoneticPr fontId="16"/>
  </si>
  <si>
    <t>INT</t>
  </si>
  <si>
    <t>設備NO</t>
    <phoneticPr fontId="1"/>
  </si>
  <si>
    <t>FACILITY_NO</t>
    <phoneticPr fontId="16"/>
  </si>
  <si>
    <t>成形工程、塗装工程で設定
設備マスタ</t>
  </si>
  <si>
    <t>製造ライン</t>
    <phoneticPr fontId="1"/>
  </si>
  <si>
    <t>ASSY_LINE</t>
    <phoneticPr fontId="16"/>
  </si>
  <si>
    <t>作業年月日</t>
    <phoneticPr fontId="1"/>
  </si>
  <si>
    <t>WORK_DATE</t>
    <phoneticPr fontId="16"/>
  </si>
  <si>
    <t>作業直区分</t>
    <phoneticPr fontId="1"/>
  </si>
  <si>
    <t>SHIFT</t>
    <phoneticPr fontId="16"/>
  </si>
  <si>
    <t>１：１直
２：２直
３：３直</t>
  </si>
  <si>
    <t>作業順序</t>
    <phoneticPr fontId="1"/>
  </si>
  <si>
    <t>WORK_ORDER</t>
    <phoneticPr fontId="16"/>
  </si>
  <si>
    <t>確定状態</t>
    <phoneticPr fontId="1"/>
  </si>
  <si>
    <t>FIX_STAT</t>
    <phoneticPr fontId="16"/>
  </si>
  <si>
    <t>１：未確定
２：仮確定
３：確定済</t>
  </si>
  <si>
    <t>取消フラグ</t>
    <phoneticPr fontId="1"/>
  </si>
  <si>
    <t>０：有効データ
１：取消し済データ</t>
  </si>
  <si>
    <t>再塗装フラグ</t>
    <phoneticPr fontId="1"/>
  </si>
  <si>
    <t>REPAINT_FLAG</t>
    <phoneticPr fontId="16"/>
  </si>
  <si>
    <t>塗装工程のみ設定
０：生地
１：再塗装</t>
  </si>
  <si>
    <t>着手区分</t>
    <phoneticPr fontId="1"/>
  </si>
  <si>
    <t>PROGRESS_STAT</t>
    <phoneticPr fontId="16"/>
  </si>
  <si>
    <t>１：未着手
２：作業中
３：完了</t>
  </si>
  <si>
    <t>セット品フラグ</t>
    <phoneticPr fontId="1"/>
  </si>
  <si>
    <t>SET_FLAG</t>
    <phoneticPr fontId="16"/>
  </si>
  <si>
    <t>０：非セット品
１：セット品</t>
  </si>
  <si>
    <t>金型番号</t>
    <phoneticPr fontId="1"/>
  </si>
  <si>
    <t>MOLD_NO</t>
    <phoneticPr fontId="16"/>
  </si>
  <si>
    <t>計画台車NO</t>
    <phoneticPr fontId="1"/>
  </si>
  <si>
    <t>PLAN_DOLLY_NO</t>
    <phoneticPr fontId="16"/>
  </si>
  <si>
    <t>計画同期一貫ＮＯ</t>
    <phoneticPr fontId="1"/>
  </si>
  <si>
    <t>PLAN_SYNC_NO</t>
    <phoneticPr fontId="16"/>
  </si>
  <si>
    <t>計画台車ＳＥＱＮＯ</t>
    <phoneticPr fontId="1"/>
  </si>
  <si>
    <t>PLAN_DOLLY_SEQNO</t>
    <phoneticPr fontId="16"/>
  </si>
  <si>
    <t>計画コンテナＮＯ</t>
    <phoneticPr fontId="1"/>
  </si>
  <si>
    <t>PLAN_CONTAINER_NO</t>
    <phoneticPr fontId="16"/>
  </si>
  <si>
    <t>計画梱包年月日</t>
    <phoneticPr fontId="1"/>
  </si>
  <si>
    <t>PLAN_PACK_DATE</t>
    <phoneticPr fontId="16"/>
  </si>
  <si>
    <t>計画納入年月日</t>
    <phoneticPr fontId="1"/>
  </si>
  <si>
    <t>PLAN_DELV_DATE</t>
    <phoneticPr fontId="16"/>
  </si>
  <si>
    <t>計画納入時間</t>
    <phoneticPr fontId="1"/>
  </si>
  <si>
    <t>PLAN_DELV_TIME</t>
    <phoneticPr fontId="16"/>
  </si>
  <si>
    <t>計画要求元ライン</t>
    <phoneticPr fontId="1"/>
  </si>
  <si>
    <t>PLAN_CUST_LINE</t>
    <phoneticPr fontId="16"/>
  </si>
  <si>
    <t>計画時発行ＮＯ</t>
    <phoneticPr fontId="1"/>
  </si>
  <si>
    <t>PLAN_WNO</t>
    <phoneticPr fontId="16"/>
  </si>
  <si>
    <t>計画準備作番</t>
    <phoneticPr fontId="1"/>
  </si>
  <si>
    <t>PLAN_PREP_WNO</t>
    <phoneticPr fontId="16"/>
  </si>
  <si>
    <t>順列納入指示データの場合はNULL</t>
  </si>
  <si>
    <t>作業計画準備データ</t>
    <phoneticPr fontId="16"/>
  </si>
  <si>
    <t>作業計画データを作成するためのワークデータを保持する</t>
  </si>
  <si>
    <t>データ作成区分</t>
    <phoneticPr fontId="1"/>
  </si>
  <si>
    <t>１：納入指示データ（KD/SP）
２：生産手配データ
３：作業指示保留データ</t>
  </si>
  <si>
    <t>O：順列
L：ライン品
S：SP
K：KD
T：試作品</t>
  </si>
  <si>
    <t>梱包年月日</t>
    <phoneticPr fontId="1"/>
  </si>
  <si>
    <t>梱包時間</t>
    <phoneticPr fontId="1"/>
  </si>
  <si>
    <t>梱包直区分</t>
    <phoneticPr fontId="1"/>
  </si>
  <si>
    <t>０：有効
１：取消</t>
  </si>
  <si>
    <t>台車NO</t>
    <phoneticPr fontId="1"/>
  </si>
  <si>
    <t>同期一貫ＮＯ</t>
    <phoneticPr fontId="1"/>
  </si>
  <si>
    <t>台車ＳＥＱＮＯ</t>
    <phoneticPr fontId="1"/>
  </si>
  <si>
    <t>コンテナＮＯ</t>
    <phoneticPr fontId="1"/>
  </si>
  <si>
    <t>段ＮＯ</t>
    <phoneticPr fontId="1"/>
  </si>
  <si>
    <t>要求元ライン</t>
    <phoneticPr fontId="1"/>
  </si>
  <si>
    <t>備考</t>
    <phoneticPr fontId="1"/>
  </si>
  <si>
    <t>試作品の用メモ欄</t>
  </si>
  <si>
    <t>実績数量</t>
    <phoneticPr fontId="16"/>
  </si>
  <si>
    <t>作業計画に紐づくロット処理する実施数などを保持する</t>
  </si>
  <si>
    <t>着手数</t>
    <phoneticPr fontId="1"/>
  </si>
  <si>
    <t>完成数</t>
    <phoneticPr fontId="1"/>
  </si>
  <si>
    <t>不良数</t>
    <phoneticPr fontId="1"/>
  </si>
  <si>
    <t>再塗装数</t>
    <phoneticPr fontId="1"/>
  </si>
  <si>
    <t>指示残</t>
    <phoneticPr fontId="1"/>
  </si>
  <si>
    <t>リペア数</t>
    <phoneticPr fontId="1"/>
  </si>
  <si>
    <t>調整数</t>
    <phoneticPr fontId="1"/>
  </si>
  <si>
    <t>引当数</t>
    <phoneticPr fontId="1"/>
  </si>
  <si>
    <t>誤塗装</t>
    <phoneticPr fontId="1"/>
  </si>
  <si>
    <t>スポイラ実績数量</t>
    <phoneticPr fontId="1"/>
  </si>
  <si>
    <t>スポイラ・カバー用
スポイラ・カバーには個体NOが無いので、作成数量を実績数量テーブルに保存する。</t>
  </si>
  <si>
    <t>作業指示明細データ</t>
    <phoneticPr fontId="16"/>
  </si>
  <si>
    <t>ライン作業で使用する作業指示</t>
  </si>
  <si>
    <t>個体ＮＯ</t>
    <phoneticPr fontId="1"/>
  </si>
  <si>
    <t>組立個体ＮＯ</t>
  </si>
  <si>
    <t>O：順列
L：ライン品
S：SP
K：KD
T：試作</t>
  </si>
  <si>
    <t>作業時間</t>
    <phoneticPr fontId="1"/>
  </si>
  <si>
    <t>直区分</t>
    <phoneticPr fontId="1"/>
  </si>
  <si>
    <t>ラベル発行フラグ</t>
    <phoneticPr fontId="1"/>
  </si>
  <si>
    <t>０：未発行
１：ラベル発行済</t>
  </si>
  <si>
    <t>着手実績フラグ</t>
    <phoneticPr fontId="1"/>
  </si>
  <si>
    <t>0：未着手
1：着手</t>
  </si>
  <si>
    <t>スポイラ組立投入フラグ</t>
    <phoneticPr fontId="1"/>
  </si>
  <si>
    <t>０：未投入
１：投入</t>
  </si>
  <si>
    <t>代替投入フラグ</t>
    <phoneticPr fontId="1"/>
  </si>
  <si>
    <t>０：通常投入
１：代替投入（再）</t>
  </si>
  <si>
    <t>連番</t>
    <phoneticPr fontId="1"/>
  </si>
  <si>
    <t>自動採番（IDENTITY)</t>
  </si>
  <si>
    <t>投入指示データ</t>
    <phoneticPr fontId="16"/>
  </si>
  <si>
    <t>インナ、小物、ガラスなどの投入指示データ</t>
  </si>
  <si>
    <t>組立個体ＮＯ</t>
    <phoneticPr fontId="1"/>
  </si>
  <si>
    <t>構成要素区分</t>
    <phoneticPr fontId="1"/>
  </si>
  <si>
    <t>コードマスタに定義　インナ、ガラス、小物</t>
  </si>
  <si>
    <t>成形個体NO</t>
    <phoneticPr fontId="1"/>
  </si>
  <si>
    <t>着手実績</t>
    <phoneticPr fontId="1"/>
  </si>
  <si>
    <t>１：未投入
２：投入</t>
  </si>
  <si>
    <t>実績管理データ</t>
    <phoneticPr fontId="16"/>
  </si>
  <si>
    <t>実績関連</t>
  </si>
  <si>
    <t>各ロットＮＯごとの最新状態を保持する</t>
  </si>
  <si>
    <t>区分個体ＮＯ</t>
    <phoneticPr fontId="1"/>
  </si>
  <si>
    <t>塗装カウント</t>
    <phoneticPr fontId="1"/>
  </si>
  <si>
    <t>０、１、２（３回以上の塗装は無い）</t>
  </si>
  <si>
    <t>中工程コード</t>
    <phoneticPr fontId="1"/>
  </si>
  <si>
    <t>成形ラベル発行回数</t>
    <phoneticPr fontId="1"/>
  </si>
  <si>
    <t>塗装ラベル発行回数</t>
    <phoneticPr fontId="1"/>
  </si>
  <si>
    <t>判定結果</t>
    <phoneticPr fontId="1"/>
  </si>
  <si>
    <t>１：待機
２：完了
３：合格
４：不良
５：保留
６：投入
７：再塗装
８：リペア
９：投入キャンセル
A：手直し
B：手直し完了
Z：廃棄</t>
  </si>
  <si>
    <t>理由コード</t>
    <phoneticPr fontId="1"/>
  </si>
  <si>
    <t>塗装工程状態</t>
    <phoneticPr fontId="1"/>
  </si>
  <si>
    <t>0：該当せず
1：判定待ち
2：直行合格
3：リペア判定
4：リペア合格
5：不良判定
6：成形不良
7：仕上不良
8：再塗装判定
9：再塗装完了
10：再塗装合格
11：再塗装リペア判定
12：再塗装リペア合格
13：再塗装不良判定
14：再塗装成形不良
15：再塗装仕上不良</t>
  </si>
  <si>
    <t>不良区分</t>
    <phoneticPr fontId="1"/>
  </si>
  <si>
    <t>１：不良判定
２：成形不良
３：仕上不良</t>
  </si>
  <si>
    <t>保管区分</t>
    <phoneticPr fontId="1"/>
  </si>
  <si>
    <t>０：未投入
１：設備　→　設備コード
２：保管場所　→　保管場所コード＆コンテナNO
３：組付け済み</t>
  </si>
  <si>
    <t>保管場所</t>
    <phoneticPr fontId="1"/>
  </si>
  <si>
    <t>コードマスタに登録（最初は未使用）</t>
  </si>
  <si>
    <t>梱包NO</t>
    <phoneticPr fontId="1"/>
  </si>
  <si>
    <t>コンテナNO</t>
    <phoneticPr fontId="1"/>
  </si>
  <si>
    <t>コードマスタで定義</t>
  </si>
  <si>
    <t>投入NO</t>
    <phoneticPr fontId="1"/>
  </si>
  <si>
    <t>ラインごとのその日の投入連番</t>
  </si>
  <si>
    <t>実績登録データ</t>
    <phoneticPr fontId="16"/>
  </si>
  <si>
    <t>設備、H/Tから送信された実績データを登録するテーブル</t>
  </si>
  <si>
    <t>自動採番（IDENTITY）</t>
  </si>
  <si>
    <t>区分個体NO</t>
    <phoneticPr fontId="1"/>
  </si>
  <si>
    <t>設備ＮＯ</t>
    <phoneticPr fontId="1"/>
  </si>
  <si>
    <t>塗装工程実績種別</t>
    <phoneticPr fontId="1"/>
  </si>
  <si>
    <t>0：未塗装
A1	塗装実績
B1	合格判定
B2	リペア合格判定
C1	リペア判定
D1	不良判定
D2	成形不良
D3	仕上不良
F1	再塗装判定
A2	再塗装実績
G1	再塗装合格
G2	再塗装リペア合格判定
H1	再塗装リペア判定
I1	再塗装不良判定
I2	再塗装成形不良
I3	再塗装仕上不良
X1	再塗装判定取消
X2	リペア取消
X3	再塗装リペア取消
Y1	不良判定取消
Y2	成形不良取消
Y3	仕上不良取消
Z1	再塗装不良判定取消
Z2	再塗装成形不良取消
Z3	再塗装仕上不良取消</t>
  </si>
  <si>
    <t>前工程不良発生フラグ</t>
    <phoneticPr fontId="1"/>
  </si>
  <si>
    <t>0：自工程発生
１：前工程発生</t>
  </si>
  <si>
    <t>氏名コード</t>
    <phoneticPr fontId="1"/>
  </si>
  <si>
    <t>個体ＮＯ管理データ</t>
    <phoneticPr fontId="16"/>
  </si>
  <si>
    <t>ロットＮＯの前後関係を保持する</t>
  </si>
  <si>
    <t>取得個体NO</t>
  </si>
  <si>
    <t>個体ＮＯ変換種別</t>
    <phoneticPr fontId="1"/>
  </si>
  <si>
    <t>１：区分
２：組立
３：組付品</t>
  </si>
  <si>
    <t>実績管理データの区分個体NO</t>
  </si>
  <si>
    <t>コードマスタ
アウタ、インナ、スポイラ、組立品など</t>
  </si>
  <si>
    <t>付帯作業データ</t>
    <phoneticPr fontId="16"/>
  </si>
  <si>
    <t>あんどんに表示する作業予定データ</t>
  </si>
  <si>
    <t>付帯作業ＮＯ</t>
    <phoneticPr fontId="1"/>
  </si>
  <si>
    <t>作業区分</t>
    <phoneticPr fontId="1"/>
  </si>
  <si>
    <t>色コード</t>
    <phoneticPr fontId="1"/>
  </si>
  <si>
    <t>開始時間</t>
    <phoneticPr fontId="1"/>
  </si>
  <si>
    <t>終了時間</t>
    <phoneticPr fontId="1"/>
  </si>
  <si>
    <t>開始年月日</t>
    <phoneticPr fontId="1"/>
  </si>
  <si>
    <t>終了年月日</t>
    <phoneticPr fontId="1"/>
  </si>
  <si>
    <t>経過時間</t>
    <phoneticPr fontId="1"/>
  </si>
  <si>
    <t>対象年月日</t>
    <phoneticPr fontId="1"/>
  </si>
  <si>
    <t>付帯データ</t>
    <phoneticPr fontId="1"/>
  </si>
  <si>
    <t>発行フラグ</t>
    <phoneticPr fontId="1"/>
  </si>
  <si>
    <t>０：未発行
１：発行済</t>
  </si>
  <si>
    <t>数量</t>
    <phoneticPr fontId="1"/>
  </si>
  <si>
    <t>数値１</t>
    <phoneticPr fontId="1"/>
  </si>
  <si>
    <t>投入順序実績</t>
    <phoneticPr fontId="16"/>
  </si>
  <si>
    <t>組立工程のラインごとの投入順序の実績を保持する</t>
  </si>
  <si>
    <t>車種コード</t>
    <phoneticPr fontId="1"/>
  </si>
  <si>
    <t>投入台数</t>
    <phoneticPr fontId="1"/>
  </si>
  <si>
    <t>梱包指示データ</t>
    <phoneticPr fontId="16"/>
  </si>
  <si>
    <t>梱包</t>
  </si>
  <si>
    <t>受注データから作成する完成品梱包指示</t>
  </si>
  <si>
    <t>梱包ＮＯ</t>
    <phoneticPr fontId="1"/>
  </si>
  <si>
    <t>梱包指示数</t>
    <phoneticPr fontId="1"/>
  </si>
  <si>
    <t>１，２，３</t>
  </si>
  <si>
    <t>台車ＮＯ</t>
    <phoneticPr fontId="1"/>
  </si>
  <si>
    <t>順列ＳＥＱＮＯ</t>
    <phoneticPr fontId="1"/>
  </si>
  <si>
    <t>事業所コードと組み合わせてキーとしてデータを一意に検索可能</t>
  </si>
  <si>
    <t>納入年月日</t>
    <phoneticPr fontId="1"/>
  </si>
  <si>
    <t>納入時間</t>
    <phoneticPr fontId="1"/>
  </si>
  <si>
    <t>納入場所</t>
    <phoneticPr fontId="1"/>
  </si>
  <si>
    <t>コンテナラベル発行フラグ</t>
    <phoneticPr fontId="1"/>
  </si>
  <si>
    <t>０：未発行
1：ラベル発行済</t>
  </si>
  <si>
    <t>梱包実績データ</t>
    <phoneticPr fontId="16"/>
  </si>
  <si>
    <t>完成品梱包実績</t>
  </si>
  <si>
    <t>梱包実績数</t>
    <phoneticPr fontId="1"/>
  </si>
  <si>
    <t>在庫データ</t>
    <phoneticPr fontId="16"/>
  </si>
  <si>
    <t>在庫</t>
  </si>
  <si>
    <t>事業所・品名コードごとに在庫数、引当可能数を保持</t>
  </si>
  <si>
    <t>置き場事業所コード</t>
    <phoneticPr fontId="1"/>
  </si>
  <si>
    <t>前月残</t>
    <phoneticPr fontId="1"/>
  </si>
  <si>
    <t>当月受入数量</t>
    <phoneticPr fontId="1"/>
  </si>
  <si>
    <t>当月払出数量</t>
    <phoneticPr fontId="1"/>
  </si>
  <si>
    <t>在庫数</t>
    <phoneticPr fontId="1"/>
  </si>
  <si>
    <t>引当可能数量</t>
    <phoneticPr fontId="1"/>
  </si>
  <si>
    <t>負数あり</t>
  </si>
  <si>
    <t>再塗装数量</t>
    <phoneticPr fontId="1"/>
  </si>
  <si>
    <t>受払データ</t>
    <phoneticPr fontId="16"/>
  </si>
  <si>
    <t>受払の詳細レコードを保持する</t>
  </si>
  <si>
    <t>シーケンス</t>
    <phoneticPr fontId="1"/>
  </si>
  <si>
    <t>IDENTITY</t>
  </si>
  <si>
    <t>個体NO</t>
    <phoneticPr fontId="1"/>
  </si>
  <si>
    <t>受払年月日</t>
    <phoneticPr fontId="1"/>
  </si>
  <si>
    <t>受払区分</t>
    <phoneticPr fontId="1"/>
  </si>
  <si>
    <t>01：受入
02：払出
03：受入移動
04：払出移動
05：受入（再塗装）
06：払出（再塗装）</t>
  </si>
  <si>
    <t>振替区分</t>
    <phoneticPr fontId="1"/>
  </si>
  <si>
    <t>その他払出画面の振替区分</t>
  </si>
  <si>
    <t>その他払出画面の備考</t>
  </si>
  <si>
    <t>順列納入指示データ</t>
    <phoneticPr fontId="16"/>
  </si>
  <si>
    <t>受注</t>
  </si>
  <si>
    <t>順列納入指示に相当するデータ</t>
  </si>
  <si>
    <t>要元</t>
    <phoneticPr fontId="1"/>
  </si>
  <si>
    <t>メーカー</t>
    <phoneticPr fontId="1"/>
  </si>
  <si>
    <t>デポコード</t>
    <phoneticPr fontId="1"/>
  </si>
  <si>
    <t>部品番号</t>
    <phoneticPr fontId="1"/>
  </si>
  <si>
    <t>客先部品番号</t>
  </si>
  <si>
    <t>納入指示数</t>
    <phoneticPr fontId="1"/>
  </si>
  <si>
    <t>非順列納入指示データ</t>
    <phoneticPr fontId="16"/>
  </si>
  <si>
    <t>KD・SP・試作・在庫品納入指示データ</t>
  </si>
  <si>
    <t>ラインの場合、'T'
KDの場合、'E'
SPの場合、'F'</t>
  </si>
  <si>
    <t>発行ＮＯ</t>
    <phoneticPr fontId="1"/>
  </si>
  <si>
    <t>納入指示時間</t>
    <phoneticPr fontId="1"/>
  </si>
  <si>
    <t>荷卸単位</t>
    <phoneticPr fontId="1"/>
  </si>
  <si>
    <t>客先部品番号</t>
    <phoneticPr fontId="1"/>
  </si>
  <si>
    <t>納入指示数量</t>
    <phoneticPr fontId="1"/>
  </si>
  <si>
    <t>納入指示端数</t>
    <phoneticPr fontId="1"/>
  </si>
  <si>
    <t>化成注略</t>
    <phoneticPr fontId="1"/>
  </si>
  <si>
    <t>最終顧客コード</t>
    <phoneticPr fontId="1"/>
  </si>
  <si>
    <t>原価部門コード</t>
    <phoneticPr fontId="1"/>
  </si>
  <si>
    <t>売上品種コード</t>
    <phoneticPr fontId="1"/>
  </si>
  <si>
    <t>納入指示端数区分</t>
    <phoneticPr fontId="1"/>
  </si>
  <si>
    <t>'0'</t>
  </si>
  <si>
    <t>日産組立ライン
コードマスタで定義</t>
  </si>
  <si>
    <t>SIMHEAD</t>
  </si>
  <si>
    <t>シミュレーションヘッダ</t>
    <phoneticPr fontId="16"/>
  </si>
  <si>
    <t>シミュレーション</t>
  </si>
  <si>
    <t>データ更新の日時と開始番号、終了番号</t>
  </si>
  <si>
    <t>種別</t>
    <phoneticPr fontId="1"/>
  </si>
  <si>
    <t>１：初期データ
２：実行データ</t>
  </si>
  <si>
    <t>作成年月日</t>
    <phoneticPr fontId="1"/>
  </si>
  <si>
    <t>作成時間</t>
    <phoneticPr fontId="1"/>
  </si>
  <si>
    <t>開始</t>
    <phoneticPr fontId="1"/>
  </si>
  <si>
    <t>終了</t>
    <phoneticPr fontId="1"/>
  </si>
  <si>
    <t>SIMDATA</t>
  </si>
  <si>
    <t>シミュレーションデータ</t>
    <phoneticPr fontId="16"/>
  </si>
  <si>
    <t>納入指示数、在庫数、作業指示数</t>
  </si>
  <si>
    <t>順列生産数</t>
    <phoneticPr fontId="1"/>
  </si>
  <si>
    <t>その他生産数</t>
    <phoneticPr fontId="1"/>
  </si>
  <si>
    <t>計画数１</t>
    <phoneticPr fontId="1"/>
  </si>
  <si>
    <t>計画数２</t>
    <phoneticPr fontId="1"/>
  </si>
  <si>
    <t>計画数３</t>
    <phoneticPr fontId="1"/>
  </si>
  <si>
    <t>計画数４</t>
    <phoneticPr fontId="1"/>
  </si>
  <si>
    <t>計画数５</t>
    <phoneticPr fontId="1"/>
  </si>
  <si>
    <t>SIMORDR</t>
  </si>
  <si>
    <t>シミュレーション組立順序</t>
    <phoneticPr fontId="16"/>
  </si>
  <si>
    <t>シミュレーション用の組立順序</t>
  </si>
  <si>
    <t>組立順序</t>
    <phoneticPr fontId="1"/>
  </si>
  <si>
    <t>生産品名マスタ</t>
    <phoneticPr fontId="16"/>
  </si>
  <si>
    <t>マスタ</t>
  </si>
  <si>
    <t>品名コードに紐づく情報を定義するマスタ</t>
  </si>
  <si>
    <t>新基幹システムに送る品名略称</t>
  </si>
  <si>
    <t>空欄：該当せず
O：順列
L：ライン品
S：SP
K：KD
T：試作品</t>
  </si>
  <si>
    <t>適用開始日</t>
    <phoneticPr fontId="1"/>
  </si>
  <si>
    <t>計画登録時に適用範囲外の作業日はエラーとする</t>
  </si>
  <si>
    <t>適用終了日</t>
    <phoneticPr fontId="1"/>
  </si>
  <si>
    <t>品名略称</t>
    <phoneticPr fontId="1"/>
  </si>
  <si>
    <t>表示用品名略称</t>
  </si>
  <si>
    <t>原価部門</t>
    <phoneticPr fontId="1"/>
  </si>
  <si>
    <t>桁数は要確認</t>
  </si>
  <si>
    <t>組立工程</t>
  </si>
  <si>
    <t>塗装フラグ</t>
    <phoneticPr fontId="1"/>
  </si>
  <si>
    <t>０：非塗装品
１：塗装品</t>
  </si>
  <si>
    <t>セット親品名事業所コード</t>
    <phoneticPr fontId="1"/>
  </si>
  <si>
    <t>セットで成形する親成形品名コード</t>
  </si>
  <si>
    <t>セット親パック品名略称</t>
    <phoneticPr fontId="1"/>
  </si>
  <si>
    <t>セット親納入先コード</t>
    <phoneticPr fontId="1"/>
  </si>
  <si>
    <t>セット親納入区分</t>
    <phoneticPr fontId="1"/>
  </si>
  <si>
    <t>取数</t>
    <phoneticPr fontId="1"/>
  </si>
  <si>
    <t>単位</t>
    <phoneticPr fontId="1"/>
  </si>
  <si>
    <t>音源ファイルパス</t>
    <phoneticPr fontId="1"/>
  </si>
  <si>
    <t>塗布機表示NO</t>
    <phoneticPr fontId="1"/>
  </si>
  <si>
    <t>塗布機ハーネス品名</t>
    <phoneticPr fontId="1"/>
  </si>
  <si>
    <t>ガラス接合区分</t>
    <phoneticPr fontId="1"/>
  </si>
  <si>
    <t>ガラス品名</t>
    <phoneticPr fontId="1"/>
  </si>
  <si>
    <t>インナ指示略称</t>
    <phoneticPr fontId="1"/>
  </si>
  <si>
    <t>インナ品種</t>
    <phoneticPr fontId="1"/>
  </si>
  <si>
    <t>仕様</t>
    <phoneticPr fontId="1"/>
  </si>
  <si>
    <t>ヒンジボルト</t>
    <phoneticPr fontId="1"/>
  </si>
  <si>
    <t>オープナーSW</t>
    <phoneticPr fontId="1"/>
  </si>
  <si>
    <t>アウタ生地仕様</t>
    <phoneticPr fontId="1"/>
  </si>
  <si>
    <t>車種</t>
    <phoneticPr fontId="1"/>
  </si>
  <si>
    <t>塗装車種</t>
    <phoneticPr fontId="1"/>
  </si>
  <si>
    <t>生地名</t>
    <phoneticPr fontId="1"/>
  </si>
  <si>
    <t>元はアウタ生地</t>
  </si>
  <si>
    <t>アウタ穴仕様</t>
    <phoneticPr fontId="1"/>
  </si>
  <si>
    <t>コンビランプ</t>
    <phoneticPr fontId="1"/>
  </si>
  <si>
    <t>成形品名コード</t>
    <phoneticPr fontId="1"/>
  </si>
  <si>
    <t>仕向地</t>
    <phoneticPr fontId="1"/>
  </si>
  <si>
    <t>カメラ</t>
    <phoneticPr fontId="1"/>
  </si>
  <si>
    <t>カメラ建付装置用</t>
    <phoneticPr fontId="1"/>
  </si>
  <si>
    <t>クリヤー</t>
    <phoneticPr fontId="1"/>
  </si>
  <si>
    <t>プライマー</t>
    <phoneticPr fontId="1"/>
  </si>
  <si>
    <t>塗装色</t>
    <phoneticPr fontId="1"/>
  </si>
  <si>
    <t>穴明仕様コード</t>
    <phoneticPr fontId="1"/>
  </si>
  <si>
    <t>チェックシート区分</t>
    <phoneticPr fontId="1"/>
  </si>
  <si>
    <t>基準車系</t>
    <phoneticPr fontId="1"/>
  </si>
  <si>
    <t>ロック品種</t>
    <phoneticPr fontId="1"/>
  </si>
  <si>
    <t>ボックス品種</t>
    <phoneticPr fontId="1"/>
  </si>
  <si>
    <t>SUBASSY名称</t>
    <phoneticPr fontId="1"/>
  </si>
  <si>
    <t>棚ＮＯ</t>
    <phoneticPr fontId="1"/>
  </si>
  <si>
    <t>DVD名称</t>
    <phoneticPr fontId="1"/>
  </si>
  <si>
    <t>発注用部品</t>
    <phoneticPr fontId="1"/>
  </si>
  <si>
    <t>ハーネス</t>
    <phoneticPr fontId="1"/>
  </si>
  <si>
    <t>AV-CONT数量</t>
    <phoneticPr fontId="1"/>
  </si>
  <si>
    <t>チェック表部品表示</t>
    <phoneticPr fontId="1"/>
  </si>
  <si>
    <t>Ｏ/Ｆフラグ</t>
    <phoneticPr fontId="1"/>
  </si>
  <si>
    <t>設定コード名２</t>
    <phoneticPr fontId="1"/>
  </si>
  <si>
    <t>分割区分</t>
    <phoneticPr fontId="1"/>
  </si>
  <si>
    <t>キャップB/D</t>
    <phoneticPr fontId="1"/>
  </si>
  <si>
    <t>非接触センサー</t>
    <phoneticPr fontId="1"/>
  </si>
  <si>
    <t>同色の変更可能な品名コード</t>
    <phoneticPr fontId="1"/>
  </si>
  <si>
    <t>ナンバープレート</t>
    <phoneticPr fontId="1"/>
  </si>
  <si>
    <t>成形モジュール</t>
    <phoneticPr fontId="1"/>
  </si>
  <si>
    <t>分類</t>
    <phoneticPr fontId="1"/>
  </si>
  <si>
    <t>成形・塗装作業指示確定及び発行画面
塗装工程作業指示一覧の表示カラム</t>
  </si>
  <si>
    <t>REMARKS</t>
    <phoneticPr fontId="16"/>
  </si>
  <si>
    <t>組立品構成マスタ</t>
    <phoneticPr fontId="16"/>
  </si>
  <si>
    <t>組立品を構成する品名を定義するマスタ</t>
  </si>
  <si>
    <t>親の品名略称
コードマスタに定義</t>
  </si>
  <si>
    <t>親の納入先コード
コードマスタに定義</t>
  </si>
  <si>
    <t>親の納入区分
コードマスタに定義</t>
  </si>
  <si>
    <t>子品名事業所コード</t>
    <phoneticPr fontId="1"/>
  </si>
  <si>
    <t>子パック品名略称</t>
    <phoneticPr fontId="1"/>
  </si>
  <si>
    <t>子納入先コード</t>
    <phoneticPr fontId="1"/>
  </si>
  <si>
    <t>子納入区分</t>
    <phoneticPr fontId="1"/>
  </si>
  <si>
    <t>子製品半製品区分</t>
    <phoneticPr fontId="1"/>
  </si>
  <si>
    <t>構成区分</t>
    <phoneticPr fontId="1"/>
  </si>
  <si>
    <t>１：構成品（アウタ、インナ等）
２：組付け品</t>
  </si>
  <si>
    <t>使用数量</t>
    <phoneticPr fontId="1"/>
  </si>
  <si>
    <t>組付け大工程コード</t>
    <phoneticPr fontId="1"/>
  </si>
  <si>
    <t>組付け作業を行う通過工程
標準通過工程マスタ</t>
  </si>
  <si>
    <t>組付け中工程コード</t>
    <phoneticPr fontId="1"/>
  </si>
  <si>
    <t>資材マスタ</t>
    <phoneticPr fontId="16"/>
  </si>
  <si>
    <t>資材を停止するマスタ</t>
  </si>
  <si>
    <t>資材コード</t>
    <phoneticPr fontId="1"/>
  </si>
  <si>
    <t>資材名</t>
    <phoneticPr fontId="1"/>
  </si>
  <si>
    <t>使用資材</t>
    <phoneticPr fontId="16"/>
  </si>
  <si>
    <t>品名ごと、工程ごとの使用資材を定義するマスタ</t>
  </si>
  <si>
    <t>資材を組付け作業を行う通過工程
標準通過工程マスタ</t>
  </si>
  <si>
    <t>使用単位</t>
    <phoneticPr fontId="1"/>
  </si>
  <si>
    <t>コードマスタ参照</t>
  </si>
  <si>
    <t>生産製品マスタ</t>
    <phoneticPr fontId="16"/>
  </si>
  <si>
    <t>製品情報を定義するマスタ</t>
  </si>
  <si>
    <t>品種コード</t>
    <phoneticPr fontId="1"/>
  </si>
  <si>
    <t>取付け指示コード</t>
    <phoneticPr fontId="1"/>
  </si>
  <si>
    <t>製品出荷ＳＮＰ</t>
    <phoneticPr fontId="1"/>
  </si>
  <si>
    <t>オプション項目</t>
    <phoneticPr fontId="1"/>
  </si>
  <si>
    <t>車種マスタ</t>
    <phoneticPr fontId="16"/>
  </si>
  <si>
    <t>車種名を定義するマスタ</t>
  </si>
  <si>
    <t>車種名</t>
    <phoneticPr fontId="1"/>
  </si>
  <si>
    <t>表示順序</t>
    <phoneticPr fontId="1"/>
  </si>
  <si>
    <t>表示フラグ</t>
    <phoneticPr fontId="1"/>
  </si>
  <si>
    <t>0：表示しない
1：表示する</t>
  </si>
  <si>
    <t>設備マスタ</t>
    <phoneticPr fontId="16"/>
  </si>
  <si>
    <t>設備を定義するマスタ</t>
  </si>
  <si>
    <t>設備名</t>
    <phoneticPr fontId="1"/>
  </si>
  <si>
    <t>設備固有コード</t>
    <phoneticPr fontId="1"/>
  </si>
  <si>
    <t>ラインコード</t>
    <phoneticPr fontId="1"/>
  </si>
  <si>
    <t>自動ラベルフラグ</t>
    <phoneticPr fontId="1"/>
  </si>
  <si>
    <t>０：手動ラベル
１：自動ラベル</t>
  </si>
  <si>
    <t>工程マスタ</t>
    <phoneticPr fontId="16"/>
  </si>
  <si>
    <t>大工程を定義するマスタ</t>
  </si>
  <si>
    <t>工程略称</t>
    <phoneticPr fontId="1"/>
  </si>
  <si>
    <t>ラインロット区分</t>
    <phoneticPr fontId="1"/>
  </si>
  <si>
    <t>１：ライン工程（組立工程）
２：ロット工程（成形・塗装工程計画画面で選択できる工程）</t>
  </si>
  <si>
    <t>標準通過工程マスタ</t>
    <phoneticPr fontId="16"/>
  </si>
  <si>
    <t>実績登録する単位の通過工程を定義するマスタ</t>
  </si>
  <si>
    <t>標準通過工程略称</t>
    <phoneticPr fontId="1"/>
  </si>
  <si>
    <t>組立以外の工程では共通のコードを設定する</t>
  </si>
  <si>
    <t>マスタ設定時の表示順を設定する</t>
  </si>
  <si>
    <t>工程グループマスタ</t>
    <phoneticPr fontId="16"/>
  </si>
  <si>
    <t>区分標準通過工程</t>
    <phoneticPr fontId="16"/>
  </si>
  <si>
    <t>標準通過工程の先行/後続関係とチェック項目を定義するマスタ</t>
  </si>
  <si>
    <t>品名マスタ主キー</t>
  </si>
  <si>
    <t>品名マスタ主キー
空欄：該当せず
O：順列
L：ライン品
S：SP
K：KD
T：試作品</t>
  </si>
  <si>
    <t>品名マスタ主キー
１：製品
２：半製品</t>
  </si>
  <si>
    <t>後続大工程コード</t>
    <phoneticPr fontId="1"/>
  </si>
  <si>
    <t>後続中工程コード</t>
    <phoneticPr fontId="1"/>
  </si>
  <si>
    <t>自工程順位</t>
    <phoneticPr fontId="1"/>
  </si>
  <si>
    <t>次工程順位</t>
    <phoneticPr fontId="1"/>
  </si>
  <si>
    <t>入庫フラグ</t>
    <phoneticPr fontId="1"/>
  </si>
  <si>
    <t>０：仕掛通過工程
１：入庫通過工程</t>
  </si>
  <si>
    <t>滞留時間チェックフラグ</t>
    <phoneticPr fontId="1"/>
  </si>
  <si>
    <t>通過工程間テーブルのチェック
０：チェックしない
１：チェックする</t>
  </si>
  <si>
    <t>投入指示フラグ</t>
    <phoneticPr fontId="1"/>
  </si>
  <si>
    <t>投入指示テーブルの処理
０：実行しない
１：実行する</t>
  </si>
  <si>
    <t>読込ラベルグループコード</t>
    <phoneticPr fontId="1"/>
  </si>
  <si>
    <t>H/Tでの読み込みラベルを定義
※定義がある場合のみ有効</t>
  </si>
  <si>
    <t>通過工程間チェック</t>
    <phoneticPr fontId="16"/>
  </si>
  <si>
    <t>各標準通過工程の実績登録時に行うチェック内容を定義するマスタ</t>
  </si>
  <si>
    <t>先行中工程コード</t>
    <phoneticPr fontId="1"/>
  </si>
  <si>
    <t>チェック区分</t>
    <phoneticPr fontId="1"/>
  </si>
  <si>
    <t>１：先行工程実施（経過時間は不問）
２：YY分以内に
３：XX分後以降に
４：XX分以降、YY分以内に
他に必要であれば区分を増やす想定</t>
  </si>
  <si>
    <t>基準経過時間（以降）</t>
    <phoneticPr fontId="1"/>
  </si>
  <si>
    <t>XX分</t>
  </si>
  <si>
    <t>基準経過時間（以内）</t>
    <phoneticPr fontId="1"/>
  </si>
  <si>
    <t>YY分</t>
  </si>
  <si>
    <t>投入指示作成</t>
    <phoneticPr fontId="16"/>
  </si>
  <si>
    <t>各標準通過工程で作成する投入指示データの定義をするマスタ</t>
  </si>
  <si>
    <t>標準通過工程</t>
  </si>
  <si>
    <t>投入中工程コード</t>
    <phoneticPr fontId="1"/>
  </si>
  <si>
    <t>投入指示を作成する標準通過工程
標準通過工程マスタ</t>
  </si>
  <si>
    <t>判定理由マスタ</t>
    <phoneticPr fontId="16"/>
  </si>
  <si>
    <t>実績の判定結果の理由を定義するマスタ</t>
  </si>
  <si>
    <t>工程コードマスタ</t>
  </si>
  <si>
    <t>理由区分</t>
    <phoneticPr fontId="1"/>
  </si>
  <si>
    <t>１：不良
２：保留
３：再塗装
４：リペア
５：手直し</t>
  </si>
  <si>
    <t>判定理由</t>
    <phoneticPr fontId="1"/>
  </si>
  <si>
    <t>塗装不良区分</t>
    <phoneticPr fontId="1"/>
  </si>
  <si>
    <t>空欄：該当せず
１：不良
２：成形不良
３：仕上不良</t>
  </si>
  <si>
    <t>表示区分</t>
    <phoneticPr fontId="1"/>
  </si>
  <si>
    <t>０：表示
１：非表示</t>
  </si>
  <si>
    <t>ボタン表示</t>
    <phoneticPr fontId="1"/>
  </si>
  <si>
    <t>ボタン表示順序</t>
    <phoneticPr fontId="1"/>
  </si>
  <si>
    <t>コードマスタ</t>
    <phoneticPr fontId="16"/>
  </si>
  <si>
    <t>各種コードと表示値を保持するマスタ</t>
  </si>
  <si>
    <t>コード区分</t>
    <phoneticPr fontId="1"/>
  </si>
  <si>
    <t>コード</t>
    <phoneticPr fontId="1"/>
  </si>
  <si>
    <t>コード名称</t>
    <phoneticPr fontId="1"/>
  </si>
  <si>
    <t>コード名称（英語）</t>
    <phoneticPr fontId="1"/>
  </si>
  <si>
    <t>項目１</t>
    <phoneticPr fontId="1"/>
  </si>
  <si>
    <t>項目２</t>
    <phoneticPr fontId="1"/>
  </si>
  <si>
    <t>項目３</t>
    <phoneticPr fontId="1"/>
  </si>
  <si>
    <t>項目４</t>
    <phoneticPr fontId="1"/>
  </si>
  <si>
    <t>項目５</t>
    <phoneticPr fontId="1"/>
  </si>
  <si>
    <t>社員マスタ</t>
    <phoneticPr fontId="16"/>
  </si>
  <si>
    <t>社員情報を定義するマスタ</t>
  </si>
  <si>
    <t>氏名</t>
    <phoneticPr fontId="1"/>
  </si>
  <si>
    <t>稼働日マスタ</t>
    <phoneticPr fontId="16"/>
  </si>
  <si>
    <t>稼働日情報を定義するマスタ</t>
  </si>
  <si>
    <t>稼働年月日</t>
    <phoneticPr fontId="1"/>
  </si>
  <si>
    <t>稼働区分</t>
    <phoneticPr fontId="1"/>
  </si>
  <si>
    <t>０：非稼働
１：稼働</t>
  </si>
  <si>
    <t>休憩時間マスタ</t>
    <phoneticPr fontId="16"/>
  </si>
  <si>
    <t>休憩時間を定義するマスタ</t>
  </si>
  <si>
    <t>１，２，３・・・</t>
  </si>
  <si>
    <t>休憩開始時間</t>
    <phoneticPr fontId="1"/>
  </si>
  <si>
    <t>HH:MM　　時間は２４H</t>
  </si>
  <si>
    <t>休憩終了時間</t>
    <phoneticPr fontId="1"/>
  </si>
  <si>
    <t>休憩時間</t>
    <phoneticPr fontId="1"/>
  </si>
  <si>
    <t>日付変更区分</t>
    <phoneticPr fontId="1"/>
  </si>
  <si>
    <t>事業所マスタ</t>
    <phoneticPr fontId="16"/>
  </si>
  <si>
    <t>事業所情報を定義するマスタ</t>
  </si>
  <si>
    <t>Q：九州、D：五所宮、F：下館、C：HCAT</t>
  </si>
  <si>
    <t>事業所名称</t>
    <phoneticPr fontId="1"/>
  </si>
  <si>
    <t>事業所正式名</t>
    <phoneticPr fontId="1"/>
  </si>
  <si>
    <t>品種マスタ</t>
    <phoneticPr fontId="16"/>
  </si>
  <si>
    <t>品種情報を定義するマスタ</t>
  </si>
  <si>
    <t>品種名</t>
    <phoneticPr fontId="1"/>
  </si>
  <si>
    <t>パスワードマスタ</t>
    <phoneticPr fontId="16"/>
  </si>
  <si>
    <t>パスワードを保持するマスタ</t>
  </si>
  <si>
    <t>パスワード種別</t>
    <phoneticPr fontId="1"/>
  </si>
  <si>
    <t>パスワード</t>
    <phoneticPr fontId="1"/>
  </si>
  <si>
    <t>ＩＰアドレス管理マスタ</t>
    <phoneticPr fontId="16"/>
  </si>
  <si>
    <t>IPアドレスを保持するマスタ</t>
  </si>
  <si>
    <t>ＩＰアドレス</t>
    <phoneticPr fontId="1"/>
  </si>
  <si>
    <t>設備コード</t>
    <phoneticPr fontId="1"/>
  </si>
  <si>
    <t>稼動区分</t>
    <phoneticPr fontId="1"/>
  </si>
  <si>
    <t>用途区分</t>
    <phoneticPr fontId="1"/>
  </si>
  <si>
    <t>機種</t>
    <phoneticPr fontId="1"/>
  </si>
  <si>
    <t>採番マスタ</t>
    <phoneticPr fontId="16"/>
  </si>
  <si>
    <t>採番管理をするマスタ</t>
  </si>
  <si>
    <t>管理ＮＯ種別</t>
    <phoneticPr fontId="1"/>
  </si>
  <si>
    <t>固定部</t>
    <phoneticPr fontId="1"/>
  </si>
  <si>
    <t>変動データ部</t>
    <phoneticPr fontId="1"/>
  </si>
  <si>
    <t>番号</t>
    <phoneticPr fontId="1"/>
  </si>
  <si>
    <t>読込ラベルグループマスタ</t>
    <phoneticPr fontId="16"/>
  </si>
  <si>
    <t>H/T画面で複数ラベル読込を行うグループを定義するマスタ</t>
  </si>
  <si>
    <t>資材品名コード</t>
    <phoneticPr fontId="1"/>
  </si>
  <si>
    <t>組付部品の資材品名コード</t>
  </si>
  <si>
    <t>ポカヨケフラグ</t>
    <phoneticPr fontId="1"/>
  </si>
  <si>
    <t>０：チェックしない
１：チェックする</t>
  </si>
  <si>
    <t>ラベル定義マスタ</t>
    <phoneticPr fontId="16"/>
  </si>
  <si>
    <t>H/T画面で読み込む組付部品バーコードの部品番号部分を定義するマスタ</t>
  </si>
  <si>
    <t>ポカヨケ対象となる使用資材マスタの資材品名コード</t>
  </si>
  <si>
    <t>読込開始位置</t>
    <phoneticPr fontId="1"/>
  </si>
  <si>
    <t>資材バーコードの部品番号開始位置</t>
  </si>
  <si>
    <t>読込桁数</t>
    <phoneticPr fontId="1"/>
  </si>
  <si>
    <t>資材バーコードの部品番号桁数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</si>
</sst>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quot;件&quot;"/>
  </numFmts>
  <fonts count="26">
    <font>
      <sz val="11"/>
      <name val="明朝"/>
      <family val="1"/>
      <charset val="128"/>
    </font>
    <font>
      <sz val="11"/>
      <name val="明朝"/>
      <family val="1"/>
      <charset val="128"/>
    </font>
    <font>
      <sz val="11"/>
      <name val="ＭＳ ゴシック"/>
      <family val="3"/>
      <charset val="128"/>
    </font>
    <font>
      <b/>
      <sz val="11"/>
      <color indexed="8"/>
      <name val="ＭＳ ゴシック"/>
      <family val="3"/>
      <charset val="128"/>
    </font>
    <font>
      <sz val="10"/>
      <color indexed="9"/>
      <name val="ＭＳ ゴシック"/>
      <family val="3"/>
      <charset val="128"/>
    </font>
    <font>
      <sz val="10"/>
      <name val="ＭＳ ゴシック"/>
      <family val="3"/>
      <charset val="128"/>
    </font>
    <font>
      <b/>
      <sz val="10"/>
      <name val="ＭＳ ゴシック"/>
      <family val="3"/>
      <charset val="128"/>
    </font>
    <font>
      <b/>
      <sz val="8"/>
      <name val="Times New Roman"/>
      <family val="1"/>
    </font>
    <font>
      <sz val="10"/>
      <name val="Times New Roman"/>
      <family val="1"/>
    </font>
    <font>
      <sz val="12"/>
      <name val="Times New Roman"/>
      <family val="1"/>
    </font>
    <font>
      <sz val="11"/>
      <name val="Times New Roman"/>
      <family val="1"/>
    </font>
    <font>
      <sz val="8"/>
      <name val="Times New Roman"/>
      <family val="1"/>
    </font>
    <font>
      <sz val="8"/>
      <color indexed="9"/>
      <name val="Times New Roman"/>
      <family val="1"/>
    </font>
    <font>
      <b/>
      <sz val="8"/>
      <color indexed="8"/>
      <name val="Times New Roman"/>
      <family val="1"/>
    </font>
    <font>
      <sz val="10"/>
      <name val="ＭＳ 明朝"/>
      <family val="1"/>
      <charset val="128"/>
    </font>
    <font>
      <sz val="10"/>
      <name val="ＭＳ Ｐ明朝"/>
      <family val="1"/>
      <charset val="128"/>
    </font>
    <font>
      <sz val="8"/>
      <name val="ＭＳ Ｐ明朝"/>
      <family val="1"/>
      <charset val="128"/>
    </font>
    <font>
      <sz val="6"/>
      <name val="ＭＳ Ｐ明朝"/>
      <family val="1"/>
      <charset val="128"/>
    </font>
    <font>
      <sz val="12"/>
      <name val="ＭＳ ゴシック"/>
      <family val="3"/>
      <charset val="128"/>
    </font>
    <font>
      <sz val="9"/>
      <color indexed="81"/>
      <name val="ＭＳ Ｐゴシック"/>
      <family val="3"/>
      <charset val="128"/>
    </font>
    <font>
      <sz val="11"/>
      <name val="メイリオ"/>
      <family val="3"/>
      <charset val="128"/>
    </font>
    <font>
      <sz val="8"/>
      <color rgb="FF000000"/>
      <name val="Times New Roman"/>
      <family val="1"/>
    </font>
    <font>
      <sz val="8"/>
      <color rgb="FF000000"/>
      <name val="ＭＳ 明朝"/>
      <family val="1"/>
      <charset val="128"/>
    </font>
    <font>
      <sz val="10"/>
      <color rgb="FF008000"/>
      <name val="ＭＳ Ｐゴシック"/>
      <family val="3"/>
      <charset val="128"/>
    </font>
    <font>
      <sz val="10"/>
      <color rgb="FFFF0000"/>
      <name val="ＭＳ Ｐゴシック"/>
      <family val="3"/>
      <charset val="128"/>
    </font>
    <font>
      <sz val="6"/>
      <name val="明朝"/>
      <family val="1"/>
      <charset val="128"/>
    </font>
  </fonts>
  <fills count="6">
    <fill>
      <patternFill patternType="none"/>
    </fill>
    <fill>
      <patternFill patternType="gray125"/>
    </fill>
    <fill>
      <patternFill patternType="solid">
        <fgColor indexed="13"/>
        <bgColor indexed="64"/>
      </patternFill>
    </fill>
    <fill>
      <patternFill patternType="lightTrellis">
        <fgColor indexed="55"/>
      </patternFill>
    </fill>
    <fill>
      <patternFill patternType="solid">
        <fgColor indexed="22"/>
        <bgColor indexed="64"/>
      </patternFill>
    </fill>
    <fill>
      <patternFill patternType="solid">
        <fgColor indexed="26"/>
        <bgColor indexed="64"/>
      </patternFill>
    </fill>
  </fills>
  <borders count="4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dashed">
        <color indexed="64"/>
      </top>
      <bottom/>
      <diagonal/>
    </border>
    <border>
      <left/>
      <right/>
      <top style="dashed">
        <color indexed="64"/>
      </top>
      <bottom/>
      <diagonal/>
    </border>
    <border>
      <left/>
      <right style="medium">
        <color indexed="64"/>
      </right>
      <top style="dashed">
        <color indexed="64"/>
      </top>
      <bottom/>
      <diagonal/>
    </border>
    <border>
      <left style="medium">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s>
  <cellStyleXfs count="2">
    <xf numFmtId="0" fontId="0" fillId="0" borderId="0"/>
    <xf numFmtId="38" fontId="1" fillId="0" borderId="0" applyFont="0" applyFill="0" applyBorder="0" applyAlignment="0" applyProtection="0"/>
  </cellStyleXfs>
  <cellXfs count="253">
    <xf numFmtId="0" fontId="0" fillId="0" borderId="0" xfId="0"/>
    <xf numFmtId="0" fontId="4" fillId="3" borderId="10" xfId="0" applyFont="1" applyFill="1" applyBorder="1" applyAlignment="1"/>
    <xf numFmtId="0" fontId="5" fillId="3" borderId="10" xfId="0" quotePrefix="1" applyFont="1" applyFill="1" applyBorder="1" applyAlignment="1"/>
    <xf numFmtId="0" fontId="5" fillId="3" borderId="2" xfId="0" quotePrefix="1" applyFont="1" applyFill="1" applyBorder="1" applyAlignment="1">
      <alignment horizontal="left"/>
    </xf>
    <xf numFmtId="0" fontId="5" fillId="0" borderId="0" xfId="0" applyFont="1"/>
    <xf numFmtId="0" fontId="4" fillId="3" borderId="0" xfId="0" applyFont="1" applyFill="1" applyBorder="1" applyAlignment="1">
      <alignment horizontal="centerContinuous"/>
    </xf>
    <xf numFmtId="0" fontId="5" fillId="3" borderId="0" xfId="0" applyFont="1" applyFill="1" applyBorder="1" applyAlignment="1">
      <alignment horizontal="centerContinuous"/>
    </xf>
    <xf numFmtId="0" fontId="5" fillId="3" borderId="4" xfId="0" applyFont="1" applyFill="1" applyBorder="1" applyAlignment="1">
      <alignment horizontal="centerContinuous"/>
    </xf>
    <xf numFmtId="0" fontId="5" fillId="0" borderId="11" xfId="0" applyFont="1" applyBorder="1" applyAlignment="1"/>
    <xf numFmtId="0" fontId="5" fillId="3" borderId="0" xfId="0" applyFont="1" applyFill="1" applyBorder="1" applyAlignment="1"/>
    <xf numFmtId="0" fontId="5" fillId="3" borderId="4" xfId="0" applyFont="1" applyFill="1" applyBorder="1" applyAlignment="1"/>
    <xf numFmtId="0" fontId="4" fillId="3" borderId="12" xfId="0" applyFont="1" applyFill="1" applyBorder="1" applyAlignment="1"/>
    <xf numFmtId="0" fontId="5" fillId="3" borderId="12" xfId="0" applyFont="1" applyFill="1" applyBorder="1" applyAlignment="1"/>
    <xf numFmtId="0" fontId="5" fillId="3" borderId="6" xfId="0" applyFont="1" applyFill="1" applyBorder="1" applyAlignment="1"/>
    <xf numFmtId="0" fontId="5" fillId="0" borderId="13" xfId="0" applyFont="1" applyBorder="1" applyAlignment="1"/>
    <xf numFmtId="0" fontId="5" fillId="0" borderId="5" xfId="0" applyFont="1" applyBorder="1" applyAlignment="1"/>
    <xf numFmtId="0" fontId="5" fillId="0" borderId="0" xfId="0" applyFont="1" applyAlignment="1">
      <alignment horizontal="right"/>
    </xf>
    <xf numFmtId="0" fontId="8" fillId="0" borderId="14" xfId="0" applyFont="1" applyBorder="1" applyProtection="1">
      <protection locked="0"/>
    </xf>
    <xf numFmtId="0" fontId="8" fillId="0" borderId="15" xfId="0" applyFont="1" applyBorder="1" applyAlignment="1" applyProtection="1">
      <alignment horizontal="centerContinuous"/>
      <protection locked="0"/>
    </xf>
    <xf numFmtId="0" fontId="9" fillId="0" borderId="14" xfId="0" applyFont="1" applyBorder="1" applyAlignment="1" applyProtection="1">
      <alignment horizontal="center"/>
      <protection locked="0"/>
    </xf>
    <xf numFmtId="0" fontId="5" fillId="4" borderId="16" xfId="0" applyFont="1" applyFill="1" applyBorder="1" applyAlignment="1">
      <alignment horizontal="centerContinuous"/>
    </xf>
    <xf numFmtId="0" fontId="5" fillId="4" borderId="17" xfId="0" applyFont="1" applyFill="1" applyBorder="1" applyAlignment="1">
      <alignment horizontal="centerContinuous"/>
    </xf>
    <xf numFmtId="0" fontId="5" fillId="4" borderId="15" xfId="0" applyFont="1" applyFill="1" applyBorder="1" applyAlignment="1">
      <alignment horizontal="centerContinuous"/>
    </xf>
    <xf numFmtId="0" fontId="5" fillId="4" borderId="14" xfId="0" applyFont="1" applyFill="1" applyBorder="1" applyAlignment="1">
      <alignment horizontal="centerContinuous"/>
    </xf>
    <xf numFmtId="0" fontId="5" fillId="4" borderId="12" xfId="0" applyFont="1" applyFill="1" applyBorder="1" applyAlignment="1">
      <alignment horizontal="centerContinuous"/>
    </xf>
    <xf numFmtId="0" fontId="5" fillId="4" borderId="6" xfId="0" applyFont="1" applyFill="1" applyBorder="1" applyAlignment="1">
      <alignment horizontal="centerContinuous"/>
    </xf>
    <xf numFmtId="0" fontId="6" fillId="4" borderId="17" xfId="0" applyFont="1" applyFill="1" applyBorder="1" applyAlignment="1">
      <alignment horizontal="centerContinuous"/>
    </xf>
    <xf numFmtId="0" fontId="6" fillId="4" borderId="14" xfId="0" applyFont="1" applyFill="1" applyBorder="1" applyAlignment="1">
      <alignment horizontal="centerContinuous"/>
    </xf>
    <xf numFmtId="0" fontId="5" fillId="4" borderId="0" xfId="0" applyFont="1" applyFill="1" applyBorder="1"/>
    <xf numFmtId="0" fontId="5" fillId="4" borderId="4" xfId="0" applyFont="1" applyFill="1" applyBorder="1"/>
    <xf numFmtId="0" fontId="5" fillId="4" borderId="0" xfId="0" applyFont="1" applyFill="1" applyBorder="1" applyAlignment="1">
      <alignment horizontal="centerContinuous"/>
    </xf>
    <xf numFmtId="0" fontId="5" fillId="4" borderId="4" xfId="0" applyFont="1" applyFill="1" applyBorder="1" applyAlignment="1">
      <alignment horizontal="centerContinuous"/>
    </xf>
    <xf numFmtId="0" fontId="5" fillId="4" borderId="0" xfId="0" applyFont="1" applyFill="1" applyBorder="1" applyAlignment="1"/>
    <xf numFmtId="0" fontId="5" fillId="4" borderId="18" xfId="0" applyFont="1" applyFill="1" applyBorder="1" applyAlignment="1">
      <alignment horizontal="center"/>
    </xf>
    <xf numFmtId="0" fontId="5" fillId="4" borderId="7" xfId="0" quotePrefix="1" applyFont="1" applyFill="1" applyBorder="1" applyAlignment="1">
      <alignment horizontal="centerContinuous"/>
    </xf>
    <xf numFmtId="0" fontId="4" fillId="3" borderId="0" xfId="0" quotePrefix="1" applyFont="1" applyFill="1" applyBorder="1" applyAlignment="1">
      <alignment horizontal="centerContinuous"/>
    </xf>
    <xf numFmtId="0" fontId="3" fillId="3" borderId="0" xfId="0" applyFont="1" applyFill="1" applyBorder="1" applyAlignment="1">
      <alignment horizontal="centerContinuous"/>
    </xf>
    <xf numFmtId="0" fontId="10" fillId="0" borderId="14" xfId="0" applyFont="1" applyFill="1" applyBorder="1"/>
    <xf numFmtId="0" fontId="12" fillId="3" borderId="1" xfId="0" applyFont="1" applyFill="1" applyBorder="1" applyAlignment="1"/>
    <xf numFmtId="0" fontId="13" fillId="3" borderId="3" xfId="0" quotePrefix="1" applyFont="1" applyFill="1" applyBorder="1" applyAlignment="1">
      <alignment horizontal="centerContinuous"/>
    </xf>
    <xf numFmtId="0" fontId="12" fillId="3" borderId="3" xfId="0" quotePrefix="1" applyFont="1" applyFill="1" applyBorder="1" applyAlignment="1">
      <alignment horizontal="centerContinuous"/>
    </xf>
    <xf numFmtId="0" fontId="13" fillId="3" borderId="3" xfId="0" applyFont="1" applyFill="1" applyBorder="1" applyAlignment="1">
      <alignment horizontal="centerContinuous"/>
    </xf>
    <xf numFmtId="0" fontId="12" fillId="3" borderId="5" xfId="0" applyFont="1" applyFill="1" applyBorder="1" applyAlignment="1"/>
    <xf numFmtId="0" fontId="7" fillId="4" borderId="19" xfId="0" quotePrefix="1" applyFont="1" applyFill="1" applyBorder="1" applyAlignment="1">
      <alignment horizontal="centerContinuous"/>
    </xf>
    <xf numFmtId="0" fontId="7" fillId="4" borderId="20" xfId="0" quotePrefix="1" applyFont="1" applyFill="1" applyBorder="1" applyAlignment="1">
      <alignment horizontal="centerContinuous"/>
    </xf>
    <xf numFmtId="0" fontId="7" fillId="4" borderId="20" xfId="0" applyFont="1" applyFill="1" applyBorder="1" applyAlignment="1">
      <alignment horizontal="centerContinuous"/>
    </xf>
    <xf numFmtId="0" fontId="7" fillId="4" borderId="5" xfId="0" applyFont="1" applyFill="1" applyBorder="1" applyAlignment="1">
      <alignment horizontal="centerContinuous"/>
    </xf>
    <xf numFmtId="0" fontId="11" fillId="0" borderId="0" xfId="0" applyFont="1"/>
    <xf numFmtId="0" fontId="8" fillId="4" borderId="4" xfId="0" applyFont="1" applyFill="1" applyBorder="1"/>
    <xf numFmtId="0" fontId="5" fillId="4" borderId="9" xfId="0" quotePrefix="1" applyFont="1" applyFill="1" applyBorder="1" applyAlignment="1">
      <alignment horizontal="centerContinuous"/>
    </xf>
    <xf numFmtId="0" fontId="5" fillId="0" borderId="14" xfId="0" applyFont="1" applyBorder="1" applyAlignment="1" applyProtection="1">
      <alignment horizontal="center"/>
      <protection locked="0"/>
    </xf>
    <xf numFmtId="0" fontId="5" fillId="4" borderId="7" xfId="0" quotePrefix="1" applyFont="1" applyFill="1" applyBorder="1" applyAlignment="1" applyProtection="1">
      <alignment horizontal="right"/>
    </xf>
    <xf numFmtId="0" fontId="5" fillId="0" borderId="0" xfId="0" applyFont="1" applyBorder="1" applyAlignment="1" applyProtection="1">
      <alignment horizontal="right"/>
    </xf>
    <xf numFmtId="0" fontId="5" fillId="0" borderId="12" xfId="0" applyFont="1" applyBorder="1" applyAlignment="1" applyProtection="1">
      <alignment horizontal="right"/>
    </xf>
    <xf numFmtId="0" fontId="5" fillId="0" borderId="14" xfId="0" applyFont="1" applyBorder="1" applyAlignment="1" applyProtection="1">
      <alignment horizontal="right"/>
    </xf>
    <xf numFmtId="0" fontId="5" fillId="5" borderId="14" xfId="0" applyFont="1" applyFill="1" applyBorder="1" applyAlignment="1" applyProtection="1">
      <alignment horizontal="right"/>
    </xf>
    <xf numFmtId="0" fontId="5" fillId="5" borderId="6" xfId="0" applyFont="1" applyFill="1" applyBorder="1" applyAlignment="1" applyProtection="1">
      <alignment horizontal="right"/>
    </xf>
    <xf numFmtId="0" fontId="5" fillId="4" borderId="4" xfId="0" applyFont="1" applyFill="1" applyBorder="1" applyAlignment="1" applyProtection="1">
      <alignment horizontal="right"/>
    </xf>
    <xf numFmtId="0" fontId="5" fillId="0" borderId="0" xfId="0" applyFont="1" applyAlignment="1" applyProtection="1">
      <alignment horizontal="right"/>
    </xf>
    <xf numFmtId="0" fontId="8" fillId="0" borderId="14" xfId="0" applyFont="1" applyBorder="1" applyAlignment="1" applyProtection="1">
      <alignment horizontal="centerContinuous"/>
      <protection locked="0"/>
    </xf>
    <xf numFmtId="0" fontId="5" fillId="4" borderId="19" xfId="0" applyFont="1" applyFill="1" applyBorder="1" applyAlignment="1">
      <alignment horizontal="centerContinuous"/>
    </xf>
    <xf numFmtId="0" fontId="5" fillId="4" borderId="20" xfId="0" applyFont="1" applyFill="1" applyBorder="1" applyAlignment="1">
      <alignment horizontal="centerContinuous"/>
    </xf>
    <xf numFmtId="0" fontId="8" fillId="4" borderId="20" xfId="0" applyFont="1" applyFill="1" applyBorder="1" applyAlignment="1">
      <alignment horizontal="centerContinuous"/>
    </xf>
    <xf numFmtId="0" fontId="5" fillId="4" borderId="9" xfId="0" applyFont="1" applyFill="1" applyBorder="1" applyAlignment="1">
      <alignment horizontal="center"/>
    </xf>
    <xf numFmtId="0" fontId="11" fillId="4" borderId="3" xfId="0" applyFont="1" applyFill="1" applyBorder="1" applyAlignment="1">
      <alignment horizontal="centerContinuous"/>
    </xf>
    <xf numFmtId="0" fontId="10" fillId="4" borderId="4" xfId="0" applyFont="1" applyFill="1" applyBorder="1" applyAlignment="1">
      <alignment horizontal="centerContinuous"/>
    </xf>
    <xf numFmtId="0" fontId="8" fillId="4" borderId="4" xfId="0" applyFont="1" applyFill="1" applyBorder="1" applyAlignment="1">
      <alignment horizontal="center"/>
    </xf>
    <xf numFmtId="0" fontId="8" fillId="0" borderId="0" xfId="0" applyFont="1"/>
    <xf numFmtId="0" fontId="8" fillId="0" borderId="0" xfId="0" applyFont="1" applyAlignment="1">
      <alignment horizontal="right"/>
    </xf>
    <xf numFmtId="0" fontId="11" fillId="0" borderId="0" xfId="0" applyFont="1" applyBorder="1" applyAlignment="1" applyProtection="1">
      <alignment vertical="top"/>
      <protection locked="0"/>
    </xf>
    <xf numFmtId="0" fontId="10" fillId="0" borderId="0" xfId="0" applyFont="1" applyBorder="1"/>
    <xf numFmtId="0" fontId="5" fillId="4" borderId="9" xfId="0" applyFont="1" applyFill="1" applyBorder="1" applyAlignment="1">
      <alignment horizontal="centerContinuous"/>
    </xf>
    <xf numFmtId="0" fontId="5" fillId="4" borderId="8" xfId="0" applyFont="1" applyFill="1" applyBorder="1" applyAlignment="1">
      <alignment horizontal="centerContinuous"/>
    </xf>
    <xf numFmtId="0" fontId="5" fillId="0" borderId="21" xfId="0" applyFont="1" applyBorder="1" applyAlignment="1" applyProtection="1">
      <alignment horizontal="center"/>
      <protection locked="0"/>
    </xf>
    <xf numFmtId="0" fontId="5" fillId="0" borderId="0" xfId="0" applyFont="1" applyBorder="1" applyProtection="1">
      <protection locked="0"/>
    </xf>
    <xf numFmtId="0" fontId="8" fillId="0" borderId="0" xfId="0" applyFont="1" applyBorder="1" applyProtection="1">
      <protection locked="0"/>
    </xf>
    <xf numFmtId="0" fontId="8" fillId="0" borderId="0" xfId="0" applyFont="1" applyBorder="1" applyAlignment="1" applyProtection="1">
      <alignment horizontal="centerContinuous"/>
      <protection locked="0"/>
    </xf>
    <xf numFmtId="0" fontId="9" fillId="0" borderId="0" xfId="0" applyFont="1" applyBorder="1" applyAlignment="1" applyProtection="1">
      <alignment horizontal="center"/>
      <protection locked="0"/>
    </xf>
    <xf numFmtId="0" fontId="5" fillId="0" borderId="0" xfId="0" applyFont="1" applyBorder="1" applyAlignment="1" applyProtection="1">
      <alignment horizontal="center"/>
      <protection locked="0"/>
    </xf>
    <xf numFmtId="0" fontId="2" fillId="0" borderId="0" xfId="0" applyFont="1" applyBorder="1" applyAlignment="1" applyProtection="1">
      <alignment horizontal="center"/>
      <protection locked="0"/>
    </xf>
    <xf numFmtId="0" fontId="14" fillId="0" borderId="15" xfId="0" applyFont="1" applyBorder="1" applyProtection="1">
      <protection locked="0"/>
    </xf>
    <xf numFmtId="0" fontId="14" fillId="0" borderId="14" xfId="0" applyFont="1" applyBorder="1" applyProtection="1">
      <protection locked="0"/>
    </xf>
    <xf numFmtId="0" fontId="0" fillId="5" borderId="14" xfId="0" applyFill="1" applyBorder="1" applyAlignment="1">
      <alignment horizontal="centerContinuous"/>
    </xf>
    <xf numFmtId="0" fontId="0" fillId="5" borderId="6" xfId="0" applyFill="1" applyBorder="1" applyAlignment="1">
      <alignment horizontal="centerContinuous"/>
    </xf>
    <xf numFmtId="0" fontId="15" fillId="0" borderId="15" xfId="0" applyFont="1" applyBorder="1" applyProtection="1">
      <protection locked="0"/>
    </xf>
    <xf numFmtId="0" fontId="16" fillId="0" borderId="20" xfId="0" applyFont="1" applyFill="1" applyBorder="1" applyAlignment="1" applyProtection="1">
      <alignment vertical="top"/>
      <protection locked="0"/>
    </xf>
    <xf numFmtId="0" fontId="18" fillId="5" borderId="15" xfId="0" applyFont="1" applyFill="1" applyBorder="1" applyAlignment="1">
      <alignment horizontal="right"/>
    </xf>
    <xf numFmtId="0" fontId="18" fillId="5" borderId="12" xfId="0" applyFont="1" applyFill="1" applyBorder="1" applyAlignment="1">
      <alignment horizontal="right"/>
    </xf>
    <xf numFmtId="3" fontId="9" fillId="5" borderId="15" xfId="0" applyNumberFormat="1" applyFont="1" applyFill="1" applyBorder="1" applyAlignment="1">
      <alignment horizontal="right"/>
    </xf>
    <xf numFmtId="3" fontId="9" fillId="5" borderId="15" xfId="0" applyNumberFormat="1" applyFont="1" applyFill="1" applyBorder="1" applyAlignment="1"/>
    <xf numFmtId="3" fontId="9" fillId="5" borderId="12" xfId="0" applyNumberFormat="1" applyFont="1" applyFill="1" applyBorder="1" applyAlignment="1">
      <alignment horizontal="right"/>
    </xf>
    <xf numFmtId="0" fontId="8" fillId="0" borderId="16" xfId="0" applyFont="1" applyBorder="1" applyAlignment="1" applyProtection="1">
      <alignment horizontal="right"/>
    </xf>
    <xf numFmtId="0" fontId="5" fillId="0" borderId="15" xfId="0" applyFont="1" applyBorder="1" applyAlignment="1" applyProtection="1">
      <alignment horizontal="right"/>
    </xf>
    <xf numFmtId="0" fontId="5" fillId="5" borderId="15" xfId="0" applyFont="1" applyFill="1" applyBorder="1" applyAlignment="1" applyProtection="1">
      <alignment horizontal="right"/>
    </xf>
    <xf numFmtId="0" fontId="10" fillId="4" borderId="9" xfId="0" applyFont="1" applyFill="1" applyBorder="1" applyAlignment="1">
      <alignment horizontal="centerContinuous"/>
    </xf>
    <xf numFmtId="0" fontId="5" fillId="4" borderId="8" xfId="0" quotePrefix="1" applyFont="1" applyFill="1" applyBorder="1" applyAlignment="1">
      <alignment horizontal="centerContinuous"/>
    </xf>
    <xf numFmtId="0" fontId="5" fillId="4" borderId="7" xfId="0" applyFont="1" applyFill="1" applyBorder="1" applyAlignment="1">
      <alignment horizontal="center"/>
    </xf>
    <xf numFmtId="0" fontId="5" fillId="0" borderId="22" xfId="0" applyFont="1" applyBorder="1" applyAlignment="1" applyProtection="1">
      <alignment horizontal="center"/>
      <protection locked="0"/>
    </xf>
    <xf numFmtId="0" fontId="8" fillId="4" borderId="9" xfId="0" applyFont="1" applyFill="1" applyBorder="1" applyAlignment="1">
      <alignment horizontal="center" wrapText="1"/>
    </xf>
    <xf numFmtId="0" fontId="8" fillId="4" borderId="9" xfId="0" applyFont="1" applyFill="1" applyBorder="1" applyAlignment="1">
      <alignment horizontal="center"/>
    </xf>
    <xf numFmtId="0" fontId="3" fillId="3" borderId="0" xfId="0" quotePrefix="1" applyFont="1" applyFill="1" applyBorder="1" applyAlignment="1">
      <alignment horizontal="centerContinuous"/>
    </xf>
    <xf numFmtId="0" fontId="5" fillId="4" borderId="16" xfId="0" quotePrefix="1" applyFont="1" applyFill="1" applyBorder="1" applyAlignment="1">
      <alignment horizontal="centerContinuous"/>
    </xf>
    <xf numFmtId="0" fontId="5" fillId="4" borderId="15" xfId="0" quotePrefix="1" applyFont="1" applyFill="1" applyBorder="1" applyAlignment="1">
      <alignment horizontal="centerContinuous"/>
    </xf>
    <xf numFmtId="0" fontId="5" fillId="4" borderId="5" xfId="0" applyFont="1" applyFill="1" applyBorder="1" applyAlignment="1">
      <alignment horizontal="centerContinuous"/>
    </xf>
    <xf numFmtId="0" fontId="6" fillId="4" borderId="6" xfId="0" applyFont="1" applyFill="1" applyBorder="1" applyAlignment="1">
      <alignment horizontal="centerContinuous"/>
    </xf>
    <xf numFmtId="0" fontId="10" fillId="4" borderId="7" xfId="0" applyFont="1" applyFill="1" applyBorder="1" applyAlignment="1">
      <alignment horizontal="centerContinuous"/>
    </xf>
    <xf numFmtId="0" fontId="5" fillId="4" borderId="9" xfId="0" applyFont="1" applyFill="1" applyBorder="1" applyAlignment="1" applyProtection="1">
      <alignment horizontal="right"/>
    </xf>
    <xf numFmtId="0" fontId="14" fillId="0" borderId="15" xfId="0" applyFont="1" applyFill="1" applyBorder="1" applyProtection="1">
      <protection locked="0"/>
    </xf>
    <xf numFmtId="0" fontId="14" fillId="0" borderId="14" xfId="0" applyFont="1" applyFill="1" applyBorder="1" applyProtection="1">
      <protection locked="0"/>
    </xf>
    <xf numFmtId="0" fontId="15" fillId="0" borderId="15" xfId="0" applyFont="1" applyFill="1" applyBorder="1" applyProtection="1">
      <protection locked="0"/>
    </xf>
    <xf numFmtId="0" fontId="8" fillId="0" borderId="14" xfId="0" applyFont="1" applyFill="1" applyBorder="1" applyProtection="1">
      <protection locked="0"/>
    </xf>
    <xf numFmtId="0" fontId="8" fillId="0" borderId="15" xfId="0" applyFont="1" applyFill="1" applyBorder="1" applyAlignment="1" applyProtection="1">
      <alignment horizontal="centerContinuous"/>
      <protection locked="0"/>
    </xf>
    <xf numFmtId="0" fontId="8" fillId="0" borderId="14" xfId="0" applyFont="1" applyFill="1" applyBorder="1" applyAlignment="1" applyProtection="1">
      <alignment horizontal="centerContinuous"/>
      <protection locked="0"/>
    </xf>
    <xf numFmtId="0" fontId="9" fillId="0" borderId="14" xfId="0" applyFont="1" applyFill="1" applyBorder="1" applyAlignment="1" applyProtection="1">
      <alignment horizontal="center"/>
      <protection locked="0"/>
    </xf>
    <xf numFmtId="0" fontId="5" fillId="0" borderId="14" xfId="0" applyFont="1" applyFill="1" applyBorder="1" applyAlignment="1" applyProtection="1">
      <alignment horizontal="center"/>
      <protection locked="0"/>
    </xf>
    <xf numFmtId="0" fontId="5" fillId="0" borderId="21" xfId="0" applyFont="1" applyFill="1" applyBorder="1" applyAlignment="1" applyProtection="1">
      <alignment horizontal="center"/>
      <protection locked="0"/>
    </xf>
    <xf numFmtId="0" fontId="5" fillId="0" borderId="14" xfId="0" applyFont="1" applyFill="1" applyBorder="1" applyAlignment="1" applyProtection="1">
      <alignment horizontal="right"/>
    </xf>
    <xf numFmtId="0" fontId="5" fillId="0" borderId="22" xfId="0" applyFont="1" applyFill="1" applyBorder="1" applyAlignment="1" applyProtection="1">
      <alignment horizontal="center"/>
      <protection locked="0"/>
    </xf>
    <xf numFmtId="0" fontId="11" fillId="0" borderId="5" xfId="0" applyFont="1" applyFill="1" applyBorder="1" applyAlignment="1" applyProtection="1">
      <alignment vertical="top"/>
      <protection locked="0"/>
    </xf>
    <xf numFmtId="0" fontId="10" fillId="0" borderId="6" xfId="0" applyFont="1" applyFill="1" applyBorder="1"/>
    <xf numFmtId="0" fontId="14" fillId="0" borderId="12" xfId="0" applyFont="1" applyFill="1" applyBorder="1" applyProtection="1">
      <protection locked="0"/>
    </xf>
    <xf numFmtId="0" fontId="14" fillId="0" borderId="6" xfId="0" applyFont="1" applyFill="1" applyBorder="1" applyProtection="1">
      <protection locked="0"/>
    </xf>
    <xf numFmtId="0" fontId="8" fillId="0" borderId="6" xfId="0" applyFont="1" applyFill="1" applyBorder="1" applyProtection="1">
      <protection locked="0"/>
    </xf>
    <xf numFmtId="0" fontId="8" fillId="0" borderId="12" xfId="0" applyFont="1" applyFill="1" applyBorder="1" applyAlignment="1" applyProtection="1">
      <alignment horizontal="centerContinuous"/>
      <protection locked="0"/>
    </xf>
    <xf numFmtId="0" fontId="8" fillId="0" borderId="6" xfId="0" applyFont="1" applyFill="1" applyBorder="1" applyAlignment="1" applyProtection="1">
      <alignment horizontal="centerContinuous"/>
      <protection locked="0"/>
    </xf>
    <xf numFmtId="0" fontId="9" fillId="0" borderId="6" xfId="0" applyFont="1" applyFill="1" applyBorder="1" applyAlignment="1" applyProtection="1">
      <alignment horizontal="center"/>
      <protection locked="0"/>
    </xf>
    <xf numFmtId="0" fontId="5" fillId="0" borderId="6" xfId="0" applyFont="1" applyFill="1" applyBorder="1" applyAlignment="1" applyProtection="1">
      <alignment horizontal="center"/>
      <protection locked="0"/>
    </xf>
    <xf numFmtId="0" fontId="5" fillId="0" borderId="6" xfId="0" applyFont="1" applyFill="1" applyBorder="1" applyAlignment="1" applyProtection="1">
      <alignment horizontal="right"/>
    </xf>
    <xf numFmtId="0" fontId="5" fillId="0" borderId="23" xfId="0" applyFont="1" applyFill="1" applyBorder="1" applyAlignment="1" applyProtection="1">
      <alignment horizontal="center"/>
      <protection locked="0"/>
    </xf>
    <xf numFmtId="0" fontId="15" fillId="0" borderId="24" xfId="0" applyFont="1" applyFill="1" applyBorder="1" applyProtection="1">
      <protection locked="0"/>
    </xf>
    <xf numFmtId="0" fontId="5" fillId="0" borderId="3" xfId="0" applyFont="1" applyFill="1" applyBorder="1" applyAlignment="1"/>
    <xf numFmtId="0" fontId="5" fillId="4" borderId="7" xfId="0" applyFont="1" applyFill="1" applyBorder="1" applyAlignment="1">
      <alignment horizontal="center"/>
    </xf>
    <xf numFmtId="0" fontId="5" fillId="4" borderId="9" xfId="0" applyFont="1" applyFill="1" applyBorder="1" applyAlignment="1">
      <alignment horizontal="center"/>
    </xf>
    <xf numFmtId="0" fontId="20" fillId="0" borderId="0" xfId="0" applyFont="1"/>
    <xf numFmtId="0" fontId="20" fillId="2" borderId="1" xfId="0" applyFont="1" applyFill="1" applyBorder="1"/>
    <xf numFmtId="0" fontId="20" fillId="2" borderId="2" xfId="0" applyFont="1" applyFill="1" applyBorder="1"/>
    <xf numFmtId="0" fontId="20" fillId="2" borderId="3" xfId="0" applyFont="1" applyFill="1" applyBorder="1"/>
    <xf numFmtId="0" fontId="20" fillId="2" borderId="4" xfId="0" applyFont="1" applyFill="1" applyBorder="1"/>
    <xf numFmtId="0" fontId="20" fillId="2" borderId="5" xfId="0" applyFont="1" applyFill="1" applyBorder="1"/>
    <xf numFmtId="0" fontId="20" fillId="2" borderId="6" xfId="0" applyFont="1" applyFill="1" applyBorder="1"/>
    <xf numFmtId="0" fontId="20" fillId="2" borderId="7" xfId="0" applyFont="1" applyFill="1" applyBorder="1"/>
    <xf numFmtId="0" fontId="20" fillId="2" borderId="8" xfId="0" applyFont="1" applyFill="1" applyBorder="1"/>
    <xf numFmtId="0" fontId="20" fillId="2" borderId="9" xfId="0" applyFont="1" applyFill="1" applyBorder="1"/>
    <xf numFmtId="0" fontId="5" fillId="0" borderId="11" xfId="0" applyFont="1" applyFill="1" applyBorder="1" applyAlignment="1" applyProtection="1">
      <alignment horizontal="centerContinuous"/>
      <protection locked="0"/>
    </xf>
    <xf numFmtId="14" fontId="5" fillId="0" borderId="11" xfId="0" applyNumberFormat="1" applyFont="1" applyFill="1" applyBorder="1" applyAlignment="1" applyProtection="1">
      <alignment horizontal="centerContinuous"/>
      <protection locked="0"/>
    </xf>
    <xf numFmtId="0" fontId="14" fillId="0" borderId="15" xfId="0" quotePrefix="1" applyFont="1" applyBorder="1" applyProtection="1">
      <protection locked="0"/>
    </xf>
    <xf numFmtId="0" fontId="15" fillId="0" borderId="15" xfId="0" quotePrefix="1" applyFont="1" applyBorder="1" applyProtection="1">
      <protection locked="0"/>
    </xf>
    <xf numFmtId="0" fontId="8" fillId="0" borderId="24" xfId="0" applyFont="1" applyBorder="1" applyAlignment="1" applyProtection="1">
      <alignment horizontal="centerContinuous"/>
      <protection locked="0"/>
    </xf>
    <xf numFmtId="0" fontId="8" fillId="0" borderId="37" xfId="0" applyFont="1" applyBorder="1" applyAlignment="1" applyProtection="1">
      <alignment horizontal="centerContinuous"/>
      <protection locked="0"/>
    </xf>
    <xf numFmtId="0" fontId="20" fillId="0" borderId="38" xfId="0" applyFont="1" applyBorder="1"/>
    <xf numFmtId="0" fontId="15" fillId="0" borderId="20" xfId="0" quotePrefix="1" applyFont="1" applyBorder="1" applyProtection="1">
      <protection locked="0"/>
    </xf>
    <xf numFmtId="0" fontId="5" fillId="0" borderId="0" xfId="0" applyFont="1" applyBorder="1" applyAlignment="1" applyProtection="1">
      <alignment horizontal="left"/>
      <protection locked="0"/>
    </xf>
    <xf numFmtId="0" fontId="5" fillId="0" borderId="1" xfId="0" applyFont="1" applyBorder="1" applyAlignment="1"/>
    <xf numFmtId="0" fontId="4" fillId="3" borderId="0" xfId="0" applyFont="1" applyFill="1" applyBorder="1" applyAlignment="1"/>
    <xf numFmtId="0" fontId="5" fillId="4" borderId="8" xfId="0" quotePrefix="1" applyFont="1" applyFill="1" applyBorder="1" applyAlignment="1" applyProtection="1">
      <alignment horizontal="right"/>
    </xf>
    <xf numFmtId="0" fontId="5" fillId="4" borderId="18" xfId="0" quotePrefix="1" applyFont="1" applyFill="1" applyBorder="1" applyAlignment="1">
      <alignment horizontal="centerContinuous"/>
    </xf>
    <xf numFmtId="0" fontId="5" fillId="0" borderId="44" xfId="0" applyFont="1" applyBorder="1" applyAlignment="1"/>
    <xf numFmtId="0" fontId="5" fillId="0" borderId="11" xfId="0" applyFont="1" applyFill="1" applyBorder="1" applyAlignment="1" applyProtection="1">
      <protection locked="0"/>
    </xf>
    <xf numFmtId="14" fontId="5" fillId="0" borderId="11" xfId="0" applyNumberFormat="1" applyFont="1" applyFill="1" applyBorder="1" applyAlignment="1" applyProtection="1">
      <protection locked="0"/>
    </xf>
    <xf numFmtId="20" fontId="5" fillId="0" borderId="13" xfId="0" applyNumberFormat="1" applyFont="1" applyBorder="1" applyAlignment="1" applyProtection="1">
      <protection locked="0"/>
    </xf>
    <xf numFmtId="0" fontId="5" fillId="4" borderId="19" xfId="0" quotePrefix="1" applyFont="1" applyFill="1" applyBorder="1" applyAlignment="1">
      <alignment horizontal="centerContinuous"/>
    </xf>
    <xf numFmtId="0" fontId="5" fillId="4" borderId="5" xfId="0" quotePrefix="1" applyFont="1" applyFill="1" applyBorder="1" applyAlignment="1">
      <alignment horizontal="centerContinuous"/>
    </xf>
    <xf numFmtId="0" fontId="10" fillId="0" borderId="45" xfId="0" applyFont="1" applyFill="1" applyBorder="1"/>
    <xf numFmtId="0" fontId="10" fillId="4" borderId="39" xfId="0" applyFont="1" applyFill="1" applyBorder="1" applyAlignment="1">
      <alignment horizontal="centerContinuous"/>
    </xf>
    <xf numFmtId="0" fontId="5" fillId="4" borderId="7" xfId="0" applyFont="1" applyFill="1" applyBorder="1" applyAlignment="1">
      <alignment horizontal="center"/>
    </xf>
    <xf numFmtId="0" fontId="5" fillId="4" borderId="9" xfId="0" applyFont="1" applyFill="1" applyBorder="1" applyAlignment="1">
      <alignment horizontal="center"/>
    </xf>
    <xf numFmtId="0" fontId="5" fillId="0" borderId="1" xfId="0" applyFont="1" applyBorder="1" applyAlignment="1"/>
    <xf numFmtId="0" fontId="5" fillId="0" borderId="3" xfId="0" applyFont="1" applyFill="1" applyBorder="1" applyAlignment="1"/>
    <xf numFmtId="0" fontId="5" fillId="0" borderId="5" xfId="0" applyFont="1" applyBorder="1" applyAlignment="1"/>
    <xf numFmtId="0" fontId="8" fillId="0" borderId="20" xfId="0" applyFont="1" applyBorder="1" applyAlignment="1" applyProtection="1">
      <alignment horizontal="centerContinuous" shrinkToFit="1"/>
      <protection locked="0"/>
    </xf>
    <xf numFmtId="0" fontId="5" fillId="0" borderId="22" xfId="0" applyNumberFormat="1" applyFont="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0" fontId="5" fillId="0" borderId="23" xfId="0" applyNumberFormat="1" applyFont="1" applyFill="1" applyBorder="1" applyAlignment="1" applyProtection="1">
      <alignment horizontal="center"/>
      <protection locked="0"/>
    </xf>
    <xf numFmtId="14" fontId="5" fillId="0" borderId="3" xfId="0" applyNumberFormat="1" applyFont="1" applyFill="1" applyBorder="1" applyAlignment="1" applyProtection="1">
      <protection locked="0"/>
    </xf>
    <xf numFmtId="14" fontId="5" fillId="0" borderId="4" xfId="0" applyNumberFormat="1" applyFont="1" applyFill="1" applyBorder="1" applyAlignment="1" applyProtection="1">
      <protection locked="0"/>
    </xf>
    <xf numFmtId="0" fontId="5" fillId="0" borderId="3" xfId="0" applyFont="1" applyFill="1" applyBorder="1" applyAlignment="1" applyProtection="1">
      <protection locked="0"/>
    </xf>
    <xf numFmtId="0" fontId="5" fillId="0" borderId="4" xfId="0" applyFont="1" applyFill="1" applyBorder="1" applyAlignment="1" applyProtection="1">
      <protection locked="0"/>
    </xf>
    <xf numFmtId="0" fontId="5" fillId="0" borderId="1" xfId="0" applyFont="1" applyBorder="1" applyAlignment="1"/>
    <xf numFmtId="0" fontId="5" fillId="0" borderId="2" xfId="0" applyFont="1" applyBorder="1" applyAlignment="1"/>
    <xf numFmtId="20" fontId="5" fillId="0" borderId="5" xfId="0" applyNumberFormat="1" applyFont="1" applyBorder="1" applyAlignment="1" applyProtection="1">
      <protection locked="0"/>
    </xf>
    <xf numFmtId="20" fontId="5" fillId="0" borderId="6" xfId="0" applyNumberFormat="1" applyFont="1" applyBorder="1" applyAlignment="1" applyProtection="1">
      <protection locked="0"/>
    </xf>
    <xf numFmtId="0" fontId="5" fillId="0" borderId="3" xfId="0" applyFont="1" applyFill="1" applyBorder="1" applyAlignment="1"/>
    <xf numFmtId="0" fontId="5" fillId="0" borderId="4" xfId="0" applyFont="1" applyFill="1" applyBorder="1" applyAlignment="1"/>
    <xf numFmtId="0" fontId="5" fillId="0" borderId="5" xfId="0" applyFont="1" applyBorder="1" applyAlignment="1"/>
    <xf numFmtId="0" fontId="5" fillId="0" borderId="6" xfId="0" applyFont="1" applyBorder="1" applyAlignment="1"/>
    <xf numFmtId="176" fontId="18" fillId="0" borderId="24" xfId="1" applyNumberFormat="1" applyFont="1" applyBorder="1" applyAlignment="1" applyProtection="1">
      <alignment horizontal="center"/>
      <protection locked="0"/>
    </xf>
    <xf numFmtId="176" fontId="18" fillId="0" borderId="36" xfId="1" applyNumberFormat="1" applyFont="1" applyBorder="1" applyAlignment="1" applyProtection="1">
      <alignment horizontal="center"/>
      <protection locked="0"/>
    </xf>
    <xf numFmtId="176" fontId="18" fillId="0" borderId="37" xfId="1" applyNumberFormat="1" applyFont="1" applyBorder="1" applyAlignment="1" applyProtection="1">
      <alignment horizontal="center"/>
      <protection locked="0"/>
    </xf>
    <xf numFmtId="0" fontId="5" fillId="0" borderId="30" xfId="0" applyFont="1" applyBorder="1" applyAlignment="1" applyProtection="1">
      <alignment horizontal="left"/>
      <protection locked="0"/>
    </xf>
    <xf numFmtId="0" fontId="5" fillId="0" borderId="31" xfId="0" applyFont="1" applyBorder="1" applyAlignment="1" applyProtection="1">
      <alignment horizontal="left"/>
      <protection locked="0"/>
    </xf>
    <xf numFmtId="0" fontId="5" fillId="0" borderId="32" xfId="0" applyFont="1" applyBorder="1" applyAlignment="1" applyProtection="1">
      <alignment horizontal="left"/>
      <protection locked="0"/>
    </xf>
    <xf numFmtId="0" fontId="5" fillId="0" borderId="25" xfId="0" applyFont="1" applyBorder="1" applyProtection="1">
      <protection locked="0"/>
    </xf>
    <xf numFmtId="0" fontId="5" fillId="0" borderId="26" xfId="0" applyFont="1" applyBorder="1" applyProtection="1">
      <protection locked="0"/>
    </xf>
    <xf numFmtId="0" fontId="5" fillId="0" borderId="21" xfId="0" applyFont="1" applyBorder="1" applyProtection="1">
      <protection locked="0"/>
    </xf>
    <xf numFmtId="0" fontId="5" fillId="0" borderId="24" xfId="0" applyFont="1" applyFill="1" applyBorder="1" applyProtection="1">
      <protection locked="0"/>
    </xf>
    <xf numFmtId="0" fontId="5" fillId="0" borderId="36" xfId="0" applyFont="1" applyFill="1" applyBorder="1" applyProtection="1">
      <protection locked="0"/>
    </xf>
    <xf numFmtId="0" fontId="5" fillId="0" borderId="37" xfId="0" applyFont="1" applyFill="1" applyBorder="1" applyProtection="1">
      <protection locked="0"/>
    </xf>
    <xf numFmtId="0" fontId="5" fillId="0" borderId="25" xfId="0" applyFont="1" applyFill="1" applyBorder="1" applyProtection="1">
      <protection locked="0"/>
    </xf>
    <xf numFmtId="0" fontId="5" fillId="0" borderId="26" xfId="0" applyFont="1" applyFill="1" applyBorder="1" applyProtection="1">
      <protection locked="0"/>
    </xf>
    <xf numFmtId="0" fontId="5" fillId="0" borderId="21" xfId="0" applyFont="1" applyFill="1" applyBorder="1" applyProtection="1">
      <protection locked="0"/>
    </xf>
    <xf numFmtId="0" fontId="5" fillId="4" borderId="7" xfId="0" applyFont="1" applyFill="1" applyBorder="1" applyAlignment="1">
      <alignment horizontal="center"/>
    </xf>
    <xf numFmtId="0" fontId="5" fillId="4" borderId="8" xfId="0" applyFont="1" applyFill="1" applyBorder="1" applyAlignment="1">
      <alignment horizontal="center"/>
    </xf>
    <xf numFmtId="0" fontId="5" fillId="4" borderId="9" xfId="0" applyFont="1" applyFill="1" applyBorder="1" applyAlignment="1">
      <alignment horizontal="center"/>
    </xf>
    <xf numFmtId="0" fontId="5" fillId="0" borderId="27" xfId="0" applyFont="1" applyBorder="1" applyAlignment="1" applyProtection="1">
      <alignment horizontal="left"/>
      <protection locked="0"/>
    </xf>
    <xf numFmtId="0" fontId="5" fillId="0" borderId="28" xfId="0" applyFont="1" applyBorder="1" applyAlignment="1" applyProtection="1">
      <alignment horizontal="left"/>
      <protection locked="0"/>
    </xf>
    <xf numFmtId="0" fontId="5" fillId="0" borderId="29" xfId="0" applyFont="1" applyBorder="1" applyAlignment="1" applyProtection="1">
      <alignment horizontal="left"/>
      <protection locked="0"/>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xf numFmtId="0" fontId="5" fillId="0" borderId="33" xfId="0" applyFont="1" applyFill="1" applyBorder="1" applyAlignment="1" applyProtection="1">
      <alignment horizontal="left"/>
      <protection locked="0"/>
    </xf>
    <xf numFmtId="0" fontId="5" fillId="0" borderId="34" xfId="0" applyFont="1" applyFill="1" applyBorder="1" applyAlignment="1" applyProtection="1">
      <alignment horizontal="left"/>
      <protection locked="0"/>
    </xf>
    <xf numFmtId="0" fontId="5" fillId="0" borderId="35" xfId="0" applyFont="1" applyFill="1" applyBorder="1" applyAlignment="1" applyProtection="1">
      <alignment horizontal="left"/>
      <protection locked="0"/>
    </xf>
    <xf numFmtId="0" fontId="5" fillId="0" borderId="30" xfId="0" applyFont="1" applyFill="1" applyBorder="1" applyAlignment="1" applyProtection="1">
      <alignment horizontal="left"/>
      <protection locked="0"/>
    </xf>
    <xf numFmtId="0" fontId="5" fillId="0" borderId="31" xfId="0" applyFont="1" applyFill="1" applyBorder="1" applyAlignment="1" applyProtection="1">
      <alignment horizontal="left"/>
      <protection locked="0"/>
    </xf>
    <xf numFmtId="0" fontId="5" fillId="0" borderId="32" xfId="0" applyFont="1" applyFill="1" applyBorder="1" applyAlignment="1" applyProtection="1">
      <alignment horizontal="left"/>
      <protection locked="0"/>
    </xf>
    <xf numFmtId="14" fontId="5" fillId="0" borderId="30" xfId="0" applyNumberFormat="1" applyFont="1" applyBorder="1" applyAlignment="1" applyProtection="1">
      <alignment horizontal="left"/>
      <protection locked="0"/>
    </xf>
    <xf numFmtId="0" fontId="2" fillId="0" borderId="25" xfId="0" applyFont="1" applyBorder="1" applyAlignment="1" applyProtection="1">
      <alignment horizontal="left"/>
      <protection locked="0"/>
    </xf>
    <xf numFmtId="0" fontId="2" fillId="0" borderId="26" xfId="0" applyFont="1" applyBorder="1" applyAlignment="1" applyProtection="1">
      <alignment horizontal="left"/>
      <protection locked="0"/>
    </xf>
    <xf numFmtId="0" fontId="2" fillId="0" borderId="21" xfId="0" applyFont="1" applyBorder="1" applyAlignment="1" applyProtection="1">
      <alignment horizontal="left"/>
      <protection locked="0"/>
    </xf>
    <xf numFmtId="0" fontId="5" fillId="0" borderId="25" xfId="0" applyFont="1" applyBorder="1" applyAlignment="1" applyProtection="1">
      <alignment horizontal="left"/>
      <protection locked="0"/>
    </xf>
    <xf numFmtId="0" fontId="5" fillId="0" borderId="26" xfId="0" applyFont="1" applyBorder="1" applyAlignment="1" applyProtection="1">
      <alignment horizontal="left"/>
      <protection locked="0"/>
    </xf>
    <xf numFmtId="0" fontId="5" fillId="0" borderId="21" xfId="0" applyFont="1" applyBorder="1" applyAlignment="1" applyProtection="1">
      <alignment horizontal="left"/>
      <protection locked="0"/>
    </xf>
    <xf numFmtId="49" fontId="5" fillId="0" borderId="25" xfId="0" applyNumberFormat="1" applyFont="1" applyBorder="1" applyAlignment="1" applyProtection="1">
      <alignment horizontal="left"/>
      <protection locked="0"/>
    </xf>
    <xf numFmtId="49" fontId="5" fillId="0" borderId="26" xfId="0" applyNumberFormat="1" applyFont="1" applyBorder="1" applyAlignment="1" applyProtection="1">
      <alignment horizontal="left"/>
      <protection locked="0"/>
    </xf>
    <xf numFmtId="49" fontId="5" fillId="0" borderId="21" xfId="0" applyNumberFormat="1" applyFont="1" applyBorder="1" applyAlignment="1" applyProtection="1">
      <alignment horizontal="left"/>
      <protection locked="0"/>
    </xf>
    <xf numFmtId="3" fontId="9" fillId="0" borderId="25" xfId="0" applyNumberFormat="1" applyFont="1" applyBorder="1" applyAlignment="1" applyProtection="1">
      <alignment horizontal="right"/>
      <protection locked="0"/>
    </xf>
    <xf numFmtId="3" fontId="9" fillId="0" borderId="26" xfId="0" applyNumberFormat="1" applyFont="1" applyBorder="1" applyAlignment="1" applyProtection="1">
      <alignment horizontal="right"/>
      <protection locked="0"/>
    </xf>
    <xf numFmtId="3" fontId="9" fillId="0" borderId="21" xfId="0" applyNumberFormat="1" applyFont="1" applyBorder="1" applyAlignment="1" applyProtection="1">
      <alignment horizontal="right"/>
      <protection locked="0"/>
    </xf>
    <xf numFmtId="0" fontId="2" fillId="0" borderId="19" xfId="0" applyFont="1" applyBorder="1" applyAlignment="1" applyProtection="1">
      <alignment horizontal="left"/>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5" fillId="0" borderId="19" xfId="0" applyFont="1" applyBorder="1" applyAlignment="1" applyProtection="1">
      <alignment horizontal="left"/>
    </xf>
    <xf numFmtId="0" fontId="5" fillId="0" borderId="16" xfId="0" applyFont="1" applyBorder="1" applyAlignment="1" applyProtection="1">
      <alignment horizontal="left"/>
    </xf>
    <xf numFmtId="0" fontId="5" fillId="0" borderId="17" xfId="0" applyFont="1" applyBorder="1" applyAlignment="1" applyProtection="1">
      <alignment horizontal="left"/>
    </xf>
    <xf numFmtId="0" fontId="5" fillId="0" borderId="25" xfId="0" applyNumberFormat="1" applyFont="1" applyBorder="1" applyAlignment="1">
      <alignment horizontal="left"/>
    </xf>
    <xf numFmtId="0" fontId="5" fillId="0" borderId="26" xfId="0" applyNumberFormat="1" applyFont="1" applyBorder="1" applyAlignment="1">
      <alignment horizontal="left"/>
    </xf>
    <xf numFmtId="0" fontId="5" fillId="0" borderId="21" xfId="0" applyNumberFormat="1" applyFont="1" applyBorder="1" applyAlignment="1">
      <alignment horizontal="left"/>
    </xf>
    <xf numFmtId="0" fontId="5" fillId="0" borderId="25" xfId="0" applyFont="1" applyBorder="1" applyAlignment="1" applyProtection="1">
      <protection locked="0"/>
    </xf>
    <xf numFmtId="0" fontId="5" fillId="0" borderId="26" xfId="0" applyFont="1" applyBorder="1" applyAlignment="1" applyProtection="1">
      <protection locked="0"/>
    </xf>
    <xf numFmtId="0" fontId="5" fillId="0" borderId="21" xfId="0" applyFont="1" applyBorder="1" applyAlignment="1" applyProtection="1">
      <protection locked="0"/>
    </xf>
    <xf numFmtId="0" fontId="2" fillId="0" borderId="40" xfId="0" applyFont="1" applyBorder="1" applyAlignment="1" applyProtection="1">
      <alignment horizontal="center"/>
      <protection locked="0"/>
    </xf>
    <xf numFmtId="0" fontId="2" fillId="0" borderId="41" xfId="0" applyFont="1" applyBorder="1" applyAlignment="1" applyProtection="1">
      <alignment horizontal="center"/>
      <protection locked="0"/>
    </xf>
    <xf numFmtId="0" fontId="2" fillId="0" borderId="42" xfId="0" applyFont="1" applyBorder="1" applyAlignment="1" applyProtection="1">
      <alignment horizontal="center"/>
      <protection locked="0"/>
    </xf>
    <xf numFmtId="0" fontId="2" fillId="0" borderId="43" xfId="0" applyFont="1" applyBorder="1" applyAlignment="1" applyProtection="1">
      <alignment horizontal="center"/>
      <protection locked="0"/>
    </xf>
    <xf numFmtId="0" fontId="3" fillId="3" borderId="0" xfId="0" quotePrefix="1" applyFont="1" applyFill="1" applyBorder="1" applyAlignment="1">
      <alignment horizontal="center"/>
    </xf>
    <xf numFmtId="0" fontId="3" fillId="3" borderId="4" xfId="0" quotePrefix="1" applyFont="1" applyFill="1" applyBorder="1" applyAlignment="1">
      <alignment horizontal="center"/>
    </xf>
    <xf numFmtId="0" fontId="3" fillId="3" borderId="0" xfId="0" applyFont="1" applyFill="1" applyBorder="1" applyAlignment="1">
      <alignment horizontal="center"/>
    </xf>
    <xf numFmtId="0" fontId="3" fillId="3" borderId="4" xfId="0" applyFont="1" applyFill="1" applyBorder="1" applyAlignment="1">
      <alignment horizontal="center"/>
    </xf>
    <xf numFmtId="0" fontId="5" fillId="4" borderId="19" xfId="0" applyFont="1" applyFill="1" applyBorder="1" applyAlignment="1">
      <alignment horizontal="center"/>
    </xf>
    <xf numFmtId="0" fontId="5" fillId="4" borderId="16" xfId="0" applyFont="1" applyFill="1" applyBorder="1" applyAlignment="1">
      <alignment horizontal="center"/>
    </xf>
    <xf numFmtId="0" fontId="5" fillId="4" borderId="17" xfId="0" applyFont="1" applyFill="1" applyBorder="1" applyAlignment="1">
      <alignment horizontal="center"/>
    </xf>
    <xf numFmtId="0" fontId="5" fillId="0" borderId="25" xfId="0" applyFont="1" applyBorder="1" applyAlignment="1" applyProtection="1">
      <alignment wrapText="1"/>
      <protection locked="0"/>
    </xf>
    <xf numFmtId="0" fontId="5" fillId="0" borderId="22" xfId="0" quotePrefix="1" applyNumberFormat="1" applyFont="1" applyBorder="1" applyAlignment="1" applyProtection="1">
      <alignment horizontal="center"/>
      <protection locked="0"/>
    </xf>
  </cellXfs>
  <cellStyles count="2">
    <cellStyle name="桁区切り" xfId="1" builtinId="6"/>
    <cellStyle name="標準" xfId="0" builtinId="0"/>
  </cellStyles>
  <dxfs count="268">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8" Type="http://schemas.openxmlformats.org/officeDocument/2006/relationships/customXml" Target="../customXml/item3.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Style="combo" dx="31" fmlaLink="system!$C$12" fmlaRange="system!$B$2:$B$11" noThreeD="1" sel="10" val="2"/>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31" fmlaLink="system!$C$12" fmlaRange="system!$B$2:$B$11" noThreeD="1" sel="10" val="2"/>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31" fmlaLink="system!$C$12" fmlaRange="system!$B$2:$B$11" noThreeD="1" sel="10" val="2"/>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Drop" dropStyle="combo" dx="31" fmlaLink="system!$C$12" fmlaRange="system!$B$2:$B$11" noThreeD="1" sel="10" val="2"/>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31" fmlaLink="system!$C$12" fmlaRange="system!$B$2:$B$11" noThreeD="1" sel="10" val="2"/>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Style="combo" dx="31" fmlaLink="system!$C$12" fmlaRange="system!$B$2:$B$11" noThreeD="1" sel="10" val="2"/>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31" fmlaLink="system!$C$12" fmlaRange="system!$B$2:$B$11" noThreeD="1" sel="10" val="2"/>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31" fmlaLink="system!$C$12" fmlaRange="system!$B$2:$B$11" noThreeD="1" sel="10" val="2"/>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31" fmlaLink="system!$C$12" fmlaRange="system!$B$2:$B$11" noThreeD="1" sel="10" val="2"/>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Drop" dropStyle="combo" dx="31" fmlaLink="system!$C$12" fmlaRange="system!$B$2:$B$11" noThreeD="1" sel="10" val="2"/>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31" fmlaLink="system!$C$12" fmlaRange="system!$B$2:$B$11" noThreeD="1" sel="10" val="2"/>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Drop" dropStyle="combo" dx="31" fmlaLink="system!$C$12" fmlaRange="system!$B$2:$B$11" noThreeD="1" sel="10" val="2"/>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Drop" dropStyle="combo" dx="31" fmlaLink="system!$C$12" fmlaRange="system!$B$2:$B$11" noThreeD="1" sel="10" val="2"/>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31" fmlaLink="system!$C$12" fmlaRange="system!$B$2:$B$11" noThreeD="1" sel="10" val="2"/>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Drop" dropStyle="combo" dx="31" fmlaLink="system!$C$12" fmlaRange="system!$B$2:$B$11" noThreeD="1" sel="10" val="2"/>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Drop" dropStyle="combo" dx="31" fmlaLink="system!$C$12" fmlaRange="system!$B$2:$B$11" noThreeD="1" sel="10" val="2"/>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Drop" dropStyle="combo" dx="31" fmlaLink="system!$C$12" fmlaRange="system!$B$2:$B$11" noThreeD="1" sel="10" val="2"/>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Drop" dropStyle="combo" dx="31" fmlaLink="system!$C$12" fmlaRange="system!$B$2:$B$11" noThreeD="1" sel="10" val="2"/>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Drop" dropStyle="combo" dx="31" fmlaLink="system!$C$12" fmlaRange="system!$B$2:$B$11" noThreeD="1" sel="10" val="2"/>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Drop" dropStyle="combo" dx="31" fmlaLink="system!$C$12" fmlaRange="system!$B$2:$B$11" noThreeD="1" sel="10" val="2"/>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Drop" dropStyle="combo" dx="31" fmlaLink="system!$C$12" fmlaRange="system!$B$2:$B$11" noThreeD="1" sel="10" val="2"/>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Drop" dropStyle="combo" dx="31" fmlaLink="system!$C$12" fmlaRange="system!$B$2:$B$11" noThreeD="1" sel="10" val="2"/>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Drop" dropStyle="combo" dx="31" fmlaLink="system!$C$12" fmlaRange="system!$B$2:$B$11" noThreeD="1" sel="10" val="2"/>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Drop" dropStyle="combo" dx="31" fmlaLink="system!$C$12" fmlaRange="system!$B$2:$B$11" noThreeD="1" sel="10" val="2"/>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Drop" dropStyle="combo" dx="31" fmlaLink="system!$C$12" fmlaRange="system!$B$2:$B$11" noThreeD="1" sel="10" val="2"/>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Drop" dropStyle="combo" dx="31" fmlaLink="system!$C$12" fmlaRange="system!$B$2:$B$11" noThreeD="1" sel="10" val="2"/>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Drop" dropStyle="combo" dx="31" fmlaLink="system!$C$12" fmlaRange="system!$B$2:$B$11" noThreeD="1" sel="10" val="2"/>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Drop" dropStyle="combo" dx="31" fmlaLink="system!$C$12" fmlaRange="system!$B$2:$B$11" noThreeD="1" sel="10" val="2"/>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Drop" dropStyle="combo" dx="31" fmlaLink="system!$C$12" fmlaRange="system!$B$2:$B$11" noThreeD="1" sel="10" val="2"/>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Drop" dropStyle="combo" dx="31" fmlaLink="system!$C$12" fmlaRange="system!$B$2:$B$11" noThreeD="1" sel="10" val="2"/>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Drop" dropStyle="combo" dx="31" fmlaLink="system!$C$12" fmlaRange="system!$B$2:$B$11" noThreeD="1" sel="10" val="2"/>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Drop" dropStyle="combo" dx="31" fmlaLink="system!$C$12" fmlaRange="system!$B$2:$B$11" noThreeD="1" sel="10" val="2"/>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Drop" dropStyle="combo" dx="31" fmlaLink="system!$C$12" fmlaRange="system!$B$2:$B$11" noThreeD="1" sel="10" val="2"/>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Drop" dropStyle="combo" dx="31" fmlaLink="system!$C$12" fmlaRange="system!$B$2:$B$11" noThreeD="1" sel="10" val="2"/>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Drop" dropStyle="combo" dx="31" fmlaLink="system!$C$12" fmlaRange="system!$B$2:$B$11" noThreeD="1" sel="10" val="2"/>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Drop" dropStyle="combo" dx="31" fmlaLink="system!$C$12" fmlaRange="system!$B$2:$B$11" noThreeD="1" sel="10" val="2"/>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Drop" dropStyle="combo" dx="31" fmlaLink="system!$C$12" fmlaRange="system!$B$2:$B$11" noThreeD="1" sel="10" val="2"/>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Drop" dropStyle="combo" dx="31" fmlaLink="system!$C$12" fmlaRange="system!$B$2:$B$11" noThreeD="1" sel="10" val="2"/>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Drop" dropStyle="combo" dx="31" fmlaLink="system!$C$12" fmlaRange="system!$B$2:$B$11" noThreeD="1" sel="10" val="2"/>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Drop" dropStyle="combo" dx="31" fmlaLink="system!$C$12" fmlaRange="system!$B$2:$B$11" noThreeD="1" sel="10" val="2"/>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Drop" dropStyle="combo" dx="31" fmlaLink="system!$C$12" fmlaRange="system!$B$2:$B$11" noThreeD="1" sel="10" val="2"/>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Drop" dropStyle="combo" dx="31" fmlaLink="system!$C$12" fmlaRange="system!$B$2:$B$11" noThreeD="1" sel="10" val="2"/>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Drop" dropStyle="combo" dx="31" fmlaLink="system!$C$12" fmlaRange="system!$B$2:$B$11" noThreeD="1" sel="10" val="2"/>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Drop" dropStyle="combo" dx="31" fmlaLink="system!$C$12" fmlaRange="system!$B$2:$B$11" noThreeD="1" sel="10" val="2"/>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Drop" dropStyle="combo" dx="31" fmlaLink="system!$C$12" fmlaRange="system!$B$2:$B$11" noThreeD="1" sel="10" val="2"/>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Drop" dropStyle="combo" dx="31" fmlaLink="system!$C$12" fmlaRange="system!$B$2:$B$11" noThreeD="1" sel="10" val="2"/>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drawings/_rels/vmlDrawing4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18433" name="Drop Down 1" hidden="1">
              <a:extLst>
                <a:ext uri="{63B3BB69-23CF-44E3-9099-C40C66FF867C}">
                  <a14:compatExt spid="_x0000_s18433"/>
                </a:ext>
                <a:ext uri="{FF2B5EF4-FFF2-40B4-BE49-F238E27FC236}">
                  <a16:creationId xmlns:a16="http://schemas.microsoft.com/office/drawing/2014/main" id="{48ADC51F-6513-4A66-8FA1-A771387003C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1ED6500A-3386-49C8-BA63-B45610575CC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A3FA14FD-317A-4BBF-B074-B613EF745DE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8219B97D-F6CD-4E54-BD5C-0E2779D9CCA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9F2F45A4-2A2E-40FD-B204-0B66CAC19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3C3A1F99-9FB3-4FD9-A96C-532400B0B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19457" name="Drop Down 1" hidden="1">
              <a:extLst>
                <a:ext uri="{63B3BB69-23CF-44E3-9099-C40C66FF867C}">
                  <a14:compatExt spid="_x0000_s19457"/>
                </a:ext>
                <a:ext uri="{FF2B5EF4-FFF2-40B4-BE49-F238E27FC236}">
                  <a16:creationId xmlns:a16="http://schemas.microsoft.com/office/drawing/2014/main" id="{7EE466C9-A3A2-4F19-8E46-DA37F22E085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107E6575-D48F-482F-B8AD-6455FBE6793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F8FA05AF-080E-4B9F-AE13-F81CA8A05A7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742A9236-33B5-49F5-8A42-0DE4EEEE78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8B72E371-FFB2-42A7-8CCC-C0BF0C3D2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8DC89234-54CE-4A2B-9F54-D6A5EF4BC25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20481" name="Drop Down 1" hidden="1">
              <a:extLst>
                <a:ext uri="{63B3BB69-23CF-44E3-9099-C40C66FF867C}">
                  <a14:compatExt spid="_x0000_s20481"/>
                </a:ext>
                <a:ext uri="{FF2B5EF4-FFF2-40B4-BE49-F238E27FC236}">
                  <a16:creationId xmlns:a16="http://schemas.microsoft.com/office/drawing/2014/main" id="{85D5D743-FC48-446A-82F8-C518AD5D924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C0E346D7-2F8E-4157-8B33-6F6A42CB01D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C06C27F1-9899-4550-B33B-9DE3755CEBE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E4EF1174-6D2A-422E-AE60-B2784286BDA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9693847D-4249-437B-82A1-4FE44D94AC4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CA26C045-2B41-49D2-BEF8-48033A504C2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B99AB53F-D2B8-44A2-9EE0-8A8C42AB448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524708D1-5ECC-4D47-A72C-879A86C34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2490C9CE-4C11-40DC-9A4A-605F9E9BADA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4157E965-5281-4D98-9597-BE976EB4725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A0BEB900-105B-4E1E-A713-D22FF525900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C594B63F-5A3A-4707-80E5-4D666E2D265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22529" name="Drop Down 1" hidden="1">
              <a:extLst>
                <a:ext uri="{63B3BB69-23CF-44E3-9099-C40C66FF867C}">
                  <a14:compatExt spid="_x0000_s22529"/>
                </a:ext>
                <a:ext uri="{FF2B5EF4-FFF2-40B4-BE49-F238E27FC236}">
                  <a16:creationId xmlns:a16="http://schemas.microsoft.com/office/drawing/2014/main" id="{27CD6315-19CF-49AF-912F-0D4249CA467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EE8D36BF-1475-4C17-8866-EE86CF4E627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5263DFDB-44E0-44DD-B69A-17CF16265E7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3FB11D8B-3DAD-40DB-9468-CD16B03FE3B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8848839E-9D9B-41D9-82F8-D628D3402BF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22534" name="Button 6" hidden="1">
              <a:extLst>
                <a:ext uri="{63B3BB69-23CF-44E3-9099-C40C66FF867C}">
                  <a14:compatExt spid="_x0000_s22534"/>
                </a:ext>
                <a:ext uri="{FF2B5EF4-FFF2-40B4-BE49-F238E27FC236}">
                  <a16:creationId xmlns:a16="http://schemas.microsoft.com/office/drawing/2014/main" id="{6B7EF3C0-4B66-40B5-8B94-ADF7E3287F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23553" name="Drop Down 1" hidden="1">
              <a:extLst>
                <a:ext uri="{63B3BB69-23CF-44E3-9099-C40C66FF867C}">
                  <a14:compatExt spid="_x0000_s23553"/>
                </a:ext>
                <a:ext uri="{FF2B5EF4-FFF2-40B4-BE49-F238E27FC236}">
                  <a16:creationId xmlns:a16="http://schemas.microsoft.com/office/drawing/2014/main" id="{6F16219E-3E9A-4692-AE20-0A9230AD089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18E1A8AC-F2FE-4EBB-A8B8-48C491CD6E9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F2BAD436-D477-447C-AAD6-E2B041430B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793DDAA3-EA85-44D4-88F3-D05B7B5B0E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80E0F26F-4FB3-48E1-BE3D-02BD7DBCC45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43A56777-CFCF-42EB-B3B9-FBAB9C2343F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24577" name="Drop Down 1" hidden="1">
              <a:extLst>
                <a:ext uri="{63B3BB69-23CF-44E3-9099-C40C66FF867C}">
                  <a14:compatExt spid="_x0000_s24577"/>
                </a:ext>
                <a:ext uri="{FF2B5EF4-FFF2-40B4-BE49-F238E27FC236}">
                  <a16:creationId xmlns:a16="http://schemas.microsoft.com/office/drawing/2014/main" id="{871BB2C0-B622-46BE-9AAF-B330B9D9954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ABCD6E7E-9F3F-4A28-A513-83796D9E2A4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BD7F8217-3190-4F41-B9ED-C71734DDF41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9B0B6B3E-2F2A-4A7E-A21C-564CB9C964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24581" name="Button 5" hidden="1">
              <a:extLst>
                <a:ext uri="{63B3BB69-23CF-44E3-9099-C40C66FF867C}">
                  <a14:compatExt spid="_x0000_s24581"/>
                </a:ext>
                <a:ext uri="{FF2B5EF4-FFF2-40B4-BE49-F238E27FC236}">
                  <a16:creationId xmlns:a16="http://schemas.microsoft.com/office/drawing/2014/main" id="{DE134C0D-12D9-4B8F-990D-18A8E051702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24582" name="Button 6" hidden="1">
              <a:extLst>
                <a:ext uri="{63B3BB69-23CF-44E3-9099-C40C66FF867C}">
                  <a14:compatExt spid="_x0000_s24582"/>
                </a:ext>
                <a:ext uri="{FF2B5EF4-FFF2-40B4-BE49-F238E27FC236}">
                  <a16:creationId xmlns:a16="http://schemas.microsoft.com/office/drawing/2014/main" id="{109244B7-A1A9-43B9-B7B6-AFA01DF123D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25601" name="Drop Down 1" hidden="1">
              <a:extLst>
                <a:ext uri="{63B3BB69-23CF-44E3-9099-C40C66FF867C}">
                  <a14:compatExt spid="_x0000_s25601"/>
                </a:ext>
                <a:ext uri="{FF2B5EF4-FFF2-40B4-BE49-F238E27FC236}">
                  <a16:creationId xmlns:a16="http://schemas.microsoft.com/office/drawing/2014/main" id="{F7AC6BD7-9C6A-4526-8F29-826BB5B05F2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C89928D3-06E3-4F91-8099-1350C69A715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88B34B98-F0D1-40A5-853B-3F7CFFD40FB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EB947CBB-CC9F-45E4-978E-2ED6C51524F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E1C10E02-010D-4CC9-96B2-4C2B56C4D6D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DFC0784C-8EBB-4975-B72B-2A5E021573D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CF62D912-BB6C-4116-A728-13718457AAB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A6D2C7F8-B9A1-4408-B2F8-50C7D3E7F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CAD422F3-DCA5-48F6-BED0-475F2D278A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807C953D-F8DD-43C6-8051-2C73A83D1ED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38735BBA-DA2D-4F23-BEAB-CA3F36A4474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69D747A4-24FB-4497-963A-7086C893FDF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27649" name="Drop Down 1" hidden="1">
              <a:extLst>
                <a:ext uri="{63B3BB69-23CF-44E3-9099-C40C66FF867C}">
                  <a14:compatExt spid="_x0000_s27649"/>
                </a:ext>
                <a:ext uri="{FF2B5EF4-FFF2-40B4-BE49-F238E27FC236}">
                  <a16:creationId xmlns:a16="http://schemas.microsoft.com/office/drawing/2014/main" id="{A7DD3FFE-FADE-4F6E-86A4-83C5D58D86C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49648AE4-0C9F-49C3-BE5B-4CDAC53920C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77C2D313-215B-4BCA-BF79-E5A79C907D9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30E854DF-B562-4916-84D8-C5959104A15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636BFCF1-1221-457C-94D5-7849CA00C2C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C7EB3255-E44C-4ECF-8CF7-12A22CBD97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28673" name="Drop Down 1" hidden="1">
              <a:extLst>
                <a:ext uri="{63B3BB69-23CF-44E3-9099-C40C66FF867C}">
                  <a14:compatExt spid="_x0000_s28673"/>
                </a:ext>
                <a:ext uri="{FF2B5EF4-FFF2-40B4-BE49-F238E27FC236}">
                  <a16:creationId xmlns:a16="http://schemas.microsoft.com/office/drawing/2014/main" id="{DEFB7211-9C8E-4A7C-B6CE-B1131B27EB3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2DE7A17D-7B53-470B-9586-4792615A4D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2A0035DB-5181-450A-8290-D4C134879F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9778F073-16B1-4410-85BD-41A13925A6E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40E401C7-EB8E-4F6E-885B-F3107F5BCB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14F390D4-53D5-470E-9BA0-6948004C6F0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29697" name="Drop Down 1" hidden="1">
              <a:extLst>
                <a:ext uri="{63B3BB69-23CF-44E3-9099-C40C66FF867C}">
                  <a14:compatExt spid="_x0000_s29697"/>
                </a:ext>
                <a:ext uri="{FF2B5EF4-FFF2-40B4-BE49-F238E27FC236}">
                  <a16:creationId xmlns:a16="http://schemas.microsoft.com/office/drawing/2014/main" id="{0467C052-A035-426E-977D-512350237F4B}"/>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9DD6DE27-123F-470F-AF16-F9F21BA46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5F9F0A35-ED5B-4F77-8B65-5D5196ED35A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896FD681-446C-4052-9BA4-4AA0B2A596E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A6AED4B-8C98-4F1D-9BDF-7425333BC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DE3A1FCD-7289-44D7-9A52-43B7AEEB36C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30721" name="Drop Down 1" hidden="1">
              <a:extLst>
                <a:ext uri="{63B3BB69-23CF-44E3-9099-C40C66FF867C}">
                  <a14:compatExt spid="_x0000_s30721"/>
                </a:ext>
                <a:ext uri="{FF2B5EF4-FFF2-40B4-BE49-F238E27FC236}">
                  <a16:creationId xmlns:a16="http://schemas.microsoft.com/office/drawing/2014/main" id="{06956042-D83B-4CB8-9A88-9FA266EDF5E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9C0FFA87-CE2C-4198-BEDD-73DE96E94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10AE6A32-6BDC-4E09-B7D6-AB0988B7BEB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3438FA4D-E268-4602-9E25-38005EBA736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FE1C276D-4397-4C72-8DF1-F78B934795E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8DED51DE-29A5-4184-B4ED-DD8D1630FCF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31745" name="Drop Down 1" hidden="1">
              <a:extLst>
                <a:ext uri="{63B3BB69-23CF-44E3-9099-C40C66FF867C}">
                  <a14:compatExt spid="_x0000_s31745"/>
                </a:ext>
                <a:ext uri="{FF2B5EF4-FFF2-40B4-BE49-F238E27FC236}">
                  <a16:creationId xmlns:a16="http://schemas.microsoft.com/office/drawing/2014/main" id="{A60D5993-390B-4CBC-BFD2-EB69C5509E0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C3594640-0A00-47AC-861E-E23037E31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ADAF8167-5F5E-43B4-AE14-872D8B883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CBEB87F1-9C9F-4C73-A3D9-7B9CCAFC54A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16ABC81D-5120-40D9-9388-70284B0773E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31750" name="Button 6" hidden="1">
              <a:extLst>
                <a:ext uri="{63B3BB69-23CF-44E3-9099-C40C66FF867C}">
                  <a14:compatExt spid="_x0000_s31750"/>
                </a:ext>
                <a:ext uri="{FF2B5EF4-FFF2-40B4-BE49-F238E27FC236}">
                  <a16:creationId xmlns:a16="http://schemas.microsoft.com/office/drawing/2014/main" id="{3C6412FF-5CE3-413C-ACC1-199CD3D0F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32769" name="Drop Down 1" hidden="1">
              <a:extLst>
                <a:ext uri="{63B3BB69-23CF-44E3-9099-C40C66FF867C}">
                  <a14:compatExt spid="_x0000_s32769"/>
                </a:ext>
                <a:ext uri="{FF2B5EF4-FFF2-40B4-BE49-F238E27FC236}">
                  <a16:creationId xmlns:a16="http://schemas.microsoft.com/office/drawing/2014/main" id="{92E9EBAB-55DE-4F14-9BA2-31760CB20E5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F7C4015D-EA99-4B84-9160-BD24635C028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70D9E7CA-3E44-4475-872F-FB44D751565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8B191E65-2434-4CFB-815F-7D5E6309A2A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F45BA1BE-8C6F-48FB-A71C-EE1F3A1FBC4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32774" name="Button 6" hidden="1">
              <a:extLst>
                <a:ext uri="{63B3BB69-23CF-44E3-9099-C40C66FF867C}">
                  <a14:compatExt spid="_x0000_s32774"/>
                </a:ext>
                <a:ext uri="{FF2B5EF4-FFF2-40B4-BE49-F238E27FC236}">
                  <a16:creationId xmlns:a16="http://schemas.microsoft.com/office/drawing/2014/main" id="{86CCA148-20B0-4732-8863-017ED485DA2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33793" name="Drop Down 1" hidden="1">
              <a:extLst>
                <a:ext uri="{63B3BB69-23CF-44E3-9099-C40C66FF867C}">
                  <a14:compatExt spid="_x0000_s33793"/>
                </a:ext>
                <a:ext uri="{FF2B5EF4-FFF2-40B4-BE49-F238E27FC236}">
                  <a16:creationId xmlns:a16="http://schemas.microsoft.com/office/drawing/2014/main" id="{C32EE79A-BEA0-4968-AC6C-968B37B0FDE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6EB63A4E-B3AA-4E1C-A308-9C9D9686CD1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B6A2306D-C8ED-46E8-8E54-0AD282FD3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98882653-4BB2-47D9-9501-ED9EF664BAC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E27E65D3-C05C-4739-9484-4D9855C1DEF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33798" name="Button 6" hidden="1">
              <a:extLst>
                <a:ext uri="{63B3BB69-23CF-44E3-9099-C40C66FF867C}">
                  <a14:compatExt spid="_x0000_s33798"/>
                </a:ext>
                <a:ext uri="{FF2B5EF4-FFF2-40B4-BE49-F238E27FC236}">
                  <a16:creationId xmlns:a16="http://schemas.microsoft.com/office/drawing/2014/main" id="{5EAE609D-8C7E-4485-B5EF-34FBC8D918D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AFC7F8FF-AC83-4026-BDA9-48208A9E47D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EF9DA5A9-7399-4351-9477-87CF4603125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EDBF9AC8-5006-47D5-B3ED-7F5C9D87FF0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191939E3-2998-4947-896B-666D0FD38AD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AA614F05-E0AD-4338-BB5C-4CD7CD624E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34822" name="Button 6" hidden="1">
              <a:extLst>
                <a:ext uri="{63B3BB69-23CF-44E3-9099-C40C66FF867C}">
                  <a14:compatExt spid="_x0000_s34822"/>
                </a:ext>
                <a:ext uri="{FF2B5EF4-FFF2-40B4-BE49-F238E27FC236}">
                  <a16:creationId xmlns:a16="http://schemas.microsoft.com/office/drawing/2014/main" id="{52411D9E-191E-45A9-84E4-6F55A063B6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35841" name="Drop Down 1" hidden="1">
              <a:extLst>
                <a:ext uri="{63B3BB69-23CF-44E3-9099-C40C66FF867C}">
                  <a14:compatExt spid="_x0000_s35841"/>
                </a:ext>
                <a:ext uri="{FF2B5EF4-FFF2-40B4-BE49-F238E27FC236}">
                  <a16:creationId xmlns:a16="http://schemas.microsoft.com/office/drawing/2014/main" id="{419CB285-45A7-4114-A7F4-7349C34F9B7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BD858CFA-0D23-4BE3-A52D-AB7AD48B7FD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E8F0C242-A88F-4931-B80B-8BAB77A7E79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A8D67F8A-7FD4-4C35-8E5D-00A0B94A84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35845" name="Button 5" hidden="1">
              <a:extLst>
                <a:ext uri="{63B3BB69-23CF-44E3-9099-C40C66FF867C}">
                  <a14:compatExt spid="_x0000_s35845"/>
                </a:ext>
                <a:ext uri="{FF2B5EF4-FFF2-40B4-BE49-F238E27FC236}">
                  <a16:creationId xmlns:a16="http://schemas.microsoft.com/office/drawing/2014/main" id="{1CAABF59-4971-4B29-9202-2684B1944C0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35846" name="Button 6" hidden="1">
              <a:extLst>
                <a:ext uri="{63B3BB69-23CF-44E3-9099-C40C66FF867C}">
                  <a14:compatExt spid="_x0000_s35846"/>
                </a:ext>
                <a:ext uri="{FF2B5EF4-FFF2-40B4-BE49-F238E27FC236}">
                  <a16:creationId xmlns:a16="http://schemas.microsoft.com/office/drawing/2014/main" id="{56EA8C0C-CF6C-4C4E-AF91-335F1C74E2E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36865" name="Drop Down 1" hidden="1">
              <a:extLst>
                <a:ext uri="{63B3BB69-23CF-44E3-9099-C40C66FF867C}">
                  <a14:compatExt spid="_x0000_s36865"/>
                </a:ext>
                <a:ext uri="{FF2B5EF4-FFF2-40B4-BE49-F238E27FC236}">
                  <a16:creationId xmlns:a16="http://schemas.microsoft.com/office/drawing/2014/main" id="{E2454DE9-912B-4C59-91F6-E129B357AB4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641715BD-B307-416A-98CE-50A2A9A7DC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36867" name="Button 3" hidden="1">
              <a:extLst>
                <a:ext uri="{63B3BB69-23CF-44E3-9099-C40C66FF867C}">
                  <a14:compatExt spid="_x0000_s36867"/>
                </a:ext>
                <a:ext uri="{FF2B5EF4-FFF2-40B4-BE49-F238E27FC236}">
                  <a16:creationId xmlns:a16="http://schemas.microsoft.com/office/drawing/2014/main" id="{3B74DE98-EAE0-4086-9397-A65FCD600CC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E617ED52-A10F-447D-A454-617AFEB17FB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36869" name="Button 5" hidden="1">
              <a:extLst>
                <a:ext uri="{63B3BB69-23CF-44E3-9099-C40C66FF867C}">
                  <a14:compatExt spid="_x0000_s36869"/>
                </a:ext>
                <a:ext uri="{FF2B5EF4-FFF2-40B4-BE49-F238E27FC236}">
                  <a16:creationId xmlns:a16="http://schemas.microsoft.com/office/drawing/2014/main" id="{AB2ED6B9-800D-4CC1-8000-A20F7F17EF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36870" name="Button 6" hidden="1">
              <a:extLst>
                <a:ext uri="{63B3BB69-23CF-44E3-9099-C40C66FF867C}">
                  <a14:compatExt spid="_x0000_s36870"/>
                </a:ext>
                <a:ext uri="{FF2B5EF4-FFF2-40B4-BE49-F238E27FC236}">
                  <a16:creationId xmlns:a16="http://schemas.microsoft.com/office/drawing/2014/main" id="{AD922379-B6D2-4B17-B6D5-518C7EAB637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37889" name="Drop Down 1" hidden="1">
              <a:extLst>
                <a:ext uri="{63B3BB69-23CF-44E3-9099-C40C66FF867C}">
                  <a14:compatExt spid="_x0000_s37889"/>
                </a:ext>
                <a:ext uri="{FF2B5EF4-FFF2-40B4-BE49-F238E27FC236}">
                  <a16:creationId xmlns:a16="http://schemas.microsoft.com/office/drawing/2014/main" id="{F0367B70-5ACE-458E-902D-0E091D91B28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76A4303A-AA43-4037-B009-D36522BE194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2216DCDA-9267-400E-9822-078B8EAAE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7EA0BF37-E0AB-4810-8DB5-DC4220C5E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2BA97941-9E6A-4043-8571-2C8176226F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5FC8DF80-2536-4007-8798-49F5BAEAE1E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38913" name="Drop Down 1" hidden="1">
              <a:extLst>
                <a:ext uri="{63B3BB69-23CF-44E3-9099-C40C66FF867C}">
                  <a14:compatExt spid="_x0000_s38913"/>
                </a:ext>
                <a:ext uri="{FF2B5EF4-FFF2-40B4-BE49-F238E27FC236}">
                  <a16:creationId xmlns:a16="http://schemas.microsoft.com/office/drawing/2014/main" id="{71193C6B-7E66-4720-8E0C-6635B670392C}"/>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D414E0C2-21AE-4044-A54C-31D20CD41BA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F20D394C-3249-42F5-A4C8-234A2E9277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44826AA1-49F8-43A4-A7A9-E35522E2879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A40BF551-3287-44C8-ACFF-6462832235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C94F8488-3C26-4A6D-AF14-256BDFB7ECD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39937" name="Drop Down 1" hidden="1">
              <a:extLst>
                <a:ext uri="{63B3BB69-23CF-44E3-9099-C40C66FF867C}">
                  <a14:compatExt spid="_x0000_s39937"/>
                </a:ext>
                <a:ext uri="{FF2B5EF4-FFF2-40B4-BE49-F238E27FC236}">
                  <a16:creationId xmlns:a16="http://schemas.microsoft.com/office/drawing/2014/main" id="{BAF11ABD-00B0-40ED-B474-5AB9C4199DB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909EE200-CF4B-4F6F-AF42-0C29E0C8F3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5945BAF8-F58E-4B57-9FA1-182CA396B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DAE94081-A8B2-4D32-BD42-BED78E6291E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1CE4A6B5-FF6E-46AF-9FC1-9AA572395F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39942" name="Button 6" hidden="1">
              <a:extLst>
                <a:ext uri="{63B3BB69-23CF-44E3-9099-C40C66FF867C}">
                  <a14:compatExt spid="_x0000_s39942"/>
                </a:ext>
                <a:ext uri="{FF2B5EF4-FFF2-40B4-BE49-F238E27FC236}">
                  <a16:creationId xmlns:a16="http://schemas.microsoft.com/office/drawing/2014/main" id="{9FB1C9DF-0C19-4315-A7C4-97F17DE3976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40961" name="Drop Down 1" hidden="1">
              <a:extLst>
                <a:ext uri="{63B3BB69-23CF-44E3-9099-C40C66FF867C}">
                  <a14:compatExt spid="_x0000_s40961"/>
                </a:ext>
                <a:ext uri="{FF2B5EF4-FFF2-40B4-BE49-F238E27FC236}">
                  <a16:creationId xmlns:a16="http://schemas.microsoft.com/office/drawing/2014/main" id="{E151EBCD-EC1B-4CB5-B046-2B13E3E2D51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FC82814D-7FB2-4510-8AD5-2410D16248B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CDF426A6-07A2-4C85-AD24-94069932A0E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0B8022AB-7CAD-4C2A-B432-2F316763EC5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40965" name="Button 5" hidden="1">
              <a:extLst>
                <a:ext uri="{63B3BB69-23CF-44E3-9099-C40C66FF867C}">
                  <a14:compatExt spid="_x0000_s40965"/>
                </a:ext>
                <a:ext uri="{FF2B5EF4-FFF2-40B4-BE49-F238E27FC236}">
                  <a16:creationId xmlns:a16="http://schemas.microsoft.com/office/drawing/2014/main" id="{27C87C90-6E73-41F1-A1A2-2EEDA143C00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40966" name="Button 6" hidden="1">
              <a:extLst>
                <a:ext uri="{63B3BB69-23CF-44E3-9099-C40C66FF867C}">
                  <a14:compatExt spid="_x0000_s40966"/>
                </a:ext>
                <a:ext uri="{FF2B5EF4-FFF2-40B4-BE49-F238E27FC236}">
                  <a16:creationId xmlns:a16="http://schemas.microsoft.com/office/drawing/2014/main" id="{3F4585F9-776B-4ABF-8277-97F21BF18D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41985" name="Drop Down 1" hidden="1">
              <a:extLst>
                <a:ext uri="{63B3BB69-23CF-44E3-9099-C40C66FF867C}">
                  <a14:compatExt spid="_x0000_s41985"/>
                </a:ext>
                <a:ext uri="{FF2B5EF4-FFF2-40B4-BE49-F238E27FC236}">
                  <a16:creationId xmlns:a16="http://schemas.microsoft.com/office/drawing/2014/main" id="{4D0D0C2A-146B-4DAF-9ADD-B1FB1DD277B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23842969-12E6-4EA4-8D17-1E652F37F5E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3C12C20A-BE46-4EB8-AAD9-ABF28B91EF5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7437719A-8344-43B0-941D-DAAF152B9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56528AE3-C6FE-47BE-AEF0-F1100AE3111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41990" name="Button 6" hidden="1">
              <a:extLst>
                <a:ext uri="{63B3BB69-23CF-44E3-9099-C40C66FF867C}">
                  <a14:compatExt spid="_x0000_s41990"/>
                </a:ext>
                <a:ext uri="{FF2B5EF4-FFF2-40B4-BE49-F238E27FC236}">
                  <a16:creationId xmlns:a16="http://schemas.microsoft.com/office/drawing/2014/main" id="{B7107159-DEFF-4617-A01F-88D8EB3CFCD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43009" name="Drop Down 1" hidden="1">
              <a:extLst>
                <a:ext uri="{63B3BB69-23CF-44E3-9099-C40C66FF867C}">
                  <a14:compatExt spid="_x0000_s43009"/>
                </a:ext>
                <a:ext uri="{FF2B5EF4-FFF2-40B4-BE49-F238E27FC236}">
                  <a16:creationId xmlns:a16="http://schemas.microsoft.com/office/drawing/2014/main" id="{9F41DBFE-4226-42E7-BE10-B6D14BB152D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A527DE2-4C59-4761-9230-53A2ADC3203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2D03809F-B552-48B0-ABAD-ACBC3C843BF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D6401E8B-5F04-422D-8CA2-41DA3BA6D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24260A8E-80D0-41C4-8D31-FCD8F2E96FA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ED464660-151B-477D-8D1F-1FE8AFAB93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44033" name="Drop Down 1" hidden="1">
              <a:extLst>
                <a:ext uri="{63B3BB69-23CF-44E3-9099-C40C66FF867C}">
                  <a14:compatExt spid="_x0000_s44033"/>
                </a:ext>
                <a:ext uri="{FF2B5EF4-FFF2-40B4-BE49-F238E27FC236}">
                  <a16:creationId xmlns:a16="http://schemas.microsoft.com/office/drawing/2014/main" id="{3D9A9CFE-2A54-4FD4-B763-9F50277B626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8895FE9D-5DEA-475C-AE4E-1F0504FCE9B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44035" name="Button 3" hidden="1">
              <a:extLst>
                <a:ext uri="{63B3BB69-23CF-44E3-9099-C40C66FF867C}">
                  <a14:compatExt spid="_x0000_s44035"/>
                </a:ext>
                <a:ext uri="{FF2B5EF4-FFF2-40B4-BE49-F238E27FC236}">
                  <a16:creationId xmlns:a16="http://schemas.microsoft.com/office/drawing/2014/main" id="{7D8FF59E-2D30-4361-80F2-604487B5AA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44036" name="Button 4" hidden="1">
              <a:extLst>
                <a:ext uri="{63B3BB69-23CF-44E3-9099-C40C66FF867C}">
                  <a14:compatExt spid="_x0000_s44036"/>
                </a:ext>
                <a:ext uri="{FF2B5EF4-FFF2-40B4-BE49-F238E27FC236}">
                  <a16:creationId xmlns:a16="http://schemas.microsoft.com/office/drawing/2014/main" id="{B5730527-D885-4D32-88E8-42D3853ECF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44037" name="Button 5" hidden="1">
              <a:extLst>
                <a:ext uri="{63B3BB69-23CF-44E3-9099-C40C66FF867C}">
                  <a14:compatExt spid="_x0000_s44037"/>
                </a:ext>
                <a:ext uri="{FF2B5EF4-FFF2-40B4-BE49-F238E27FC236}">
                  <a16:creationId xmlns:a16="http://schemas.microsoft.com/office/drawing/2014/main" id="{60E922FB-E853-4299-BFC7-D116664587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44038" name="Button 6" hidden="1">
              <a:extLst>
                <a:ext uri="{63B3BB69-23CF-44E3-9099-C40C66FF867C}">
                  <a14:compatExt spid="_x0000_s44038"/>
                </a:ext>
                <a:ext uri="{FF2B5EF4-FFF2-40B4-BE49-F238E27FC236}">
                  <a16:creationId xmlns:a16="http://schemas.microsoft.com/office/drawing/2014/main" id="{16D82CB8-4765-48E8-9358-8ED38525FDD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45057" name="Drop Down 1" hidden="1">
              <a:extLst>
                <a:ext uri="{63B3BB69-23CF-44E3-9099-C40C66FF867C}">
                  <a14:compatExt spid="_x0000_s45057"/>
                </a:ext>
                <a:ext uri="{FF2B5EF4-FFF2-40B4-BE49-F238E27FC236}">
                  <a16:creationId xmlns:a16="http://schemas.microsoft.com/office/drawing/2014/main" id="{FDFAE994-0847-40B0-BF08-F55F6A4086E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9E77DF86-BCF5-4D06-A349-CB90C45799F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E849C819-2226-4EA8-A4CB-7C3DD2B320E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F3FF61B0-51A7-4C6B-89A4-4F04A815646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45061" name="Button 5" hidden="1">
              <a:extLst>
                <a:ext uri="{63B3BB69-23CF-44E3-9099-C40C66FF867C}">
                  <a14:compatExt spid="_x0000_s45061"/>
                </a:ext>
                <a:ext uri="{FF2B5EF4-FFF2-40B4-BE49-F238E27FC236}">
                  <a16:creationId xmlns:a16="http://schemas.microsoft.com/office/drawing/2014/main" id="{97F8B982-7DB7-4285-8054-220449103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45062" name="Button 6" hidden="1">
              <a:extLst>
                <a:ext uri="{63B3BB69-23CF-44E3-9099-C40C66FF867C}">
                  <a14:compatExt spid="_x0000_s45062"/>
                </a:ext>
                <a:ext uri="{FF2B5EF4-FFF2-40B4-BE49-F238E27FC236}">
                  <a16:creationId xmlns:a16="http://schemas.microsoft.com/office/drawing/2014/main" id="{0905FB02-F180-484B-80C4-2D726079A8C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46081" name="Drop Down 1" hidden="1">
              <a:extLst>
                <a:ext uri="{63B3BB69-23CF-44E3-9099-C40C66FF867C}">
                  <a14:compatExt spid="_x0000_s46081"/>
                </a:ext>
                <a:ext uri="{FF2B5EF4-FFF2-40B4-BE49-F238E27FC236}">
                  <a16:creationId xmlns:a16="http://schemas.microsoft.com/office/drawing/2014/main" id="{CE7D4CA4-1C9F-4B43-8550-B15297C16A5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FB8C5D2-DE26-47D5-B94D-4CE0A0937DB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7B0ED304-2406-4817-8ACB-685D727EB0A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46084" name="Button 4" hidden="1">
              <a:extLst>
                <a:ext uri="{63B3BB69-23CF-44E3-9099-C40C66FF867C}">
                  <a14:compatExt spid="_x0000_s46084"/>
                </a:ext>
                <a:ext uri="{FF2B5EF4-FFF2-40B4-BE49-F238E27FC236}">
                  <a16:creationId xmlns:a16="http://schemas.microsoft.com/office/drawing/2014/main" id="{755439D0-EF55-438A-AE02-CCCF4A05DC2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46085" name="Button 5" hidden="1">
              <a:extLst>
                <a:ext uri="{63B3BB69-23CF-44E3-9099-C40C66FF867C}">
                  <a14:compatExt spid="_x0000_s46085"/>
                </a:ext>
                <a:ext uri="{FF2B5EF4-FFF2-40B4-BE49-F238E27FC236}">
                  <a16:creationId xmlns:a16="http://schemas.microsoft.com/office/drawing/2014/main" id="{962CC2AF-4A40-4BDE-BDEE-6F78CBFEC82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3C3AD99B-3037-4F9A-8831-1702578A393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47105" name="Drop Down 1" hidden="1">
              <a:extLst>
                <a:ext uri="{63B3BB69-23CF-44E3-9099-C40C66FF867C}">
                  <a14:compatExt spid="_x0000_s47105"/>
                </a:ext>
                <a:ext uri="{FF2B5EF4-FFF2-40B4-BE49-F238E27FC236}">
                  <a16:creationId xmlns:a16="http://schemas.microsoft.com/office/drawing/2014/main" id="{B01624DE-4693-498C-9154-F7543EE675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8E16DF81-ECCE-472C-B09E-FF26ABBA148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4C7F28E1-131F-4DE4-B78D-5F1D13A45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90C83FB1-F819-46FB-B189-AC3A75AA30E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400EDE9C-95B2-40ED-9713-60C4D23C6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3A91FA90-32C4-4EF0-B72B-DA292CFC19C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48129" name="Drop Down 1" hidden="1">
              <a:extLst>
                <a:ext uri="{63B3BB69-23CF-44E3-9099-C40C66FF867C}">
                  <a14:compatExt spid="_x0000_s48129"/>
                </a:ext>
                <a:ext uri="{FF2B5EF4-FFF2-40B4-BE49-F238E27FC236}">
                  <a16:creationId xmlns:a16="http://schemas.microsoft.com/office/drawing/2014/main" id="{8D53A352-2F20-41DE-ACF8-CAB78A6A32BE}"/>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E28B616-1EAB-4BBB-86A7-578108D7E6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992F7D3F-7C26-4B0C-9AA6-AF9A451C616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0387BB08-C3B1-4C5A-BA99-82C99BF1D13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73813A52-1C67-4C35-AF1C-42641ECDD61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48134" name="Button 6" hidden="1">
              <a:extLst>
                <a:ext uri="{63B3BB69-23CF-44E3-9099-C40C66FF867C}">
                  <a14:compatExt spid="_x0000_s48134"/>
                </a:ext>
                <a:ext uri="{FF2B5EF4-FFF2-40B4-BE49-F238E27FC236}">
                  <a16:creationId xmlns:a16="http://schemas.microsoft.com/office/drawing/2014/main" id="{BBA407C2-F611-4BD3-9A5C-F08AEAFF3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49153" name="Drop Down 1" hidden="1">
              <a:extLst>
                <a:ext uri="{63B3BB69-23CF-44E3-9099-C40C66FF867C}">
                  <a14:compatExt spid="_x0000_s49153"/>
                </a:ext>
                <a:ext uri="{FF2B5EF4-FFF2-40B4-BE49-F238E27FC236}">
                  <a16:creationId xmlns:a16="http://schemas.microsoft.com/office/drawing/2014/main" id="{4EA704C3-F6E7-4669-81EA-243A63A1AB4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781EE034-BBBB-4EF9-831A-6468386353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10CE9E1C-4F7C-4647-8FE7-2BAEEF59A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7F5DA95C-D93B-4D01-9899-9E9F60976FD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7509B5E8-00B3-4FE1-9F51-9406FDFF0A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188E12F3-DC31-4A1C-BAEA-B46D61C83BB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50177" name="Drop Down 1" hidden="1">
              <a:extLst>
                <a:ext uri="{63B3BB69-23CF-44E3-9099-C40C66FF867C}">
                  <a14:compatExt spid="_x0000_s50177"/>
                </a:ext>
                <a:ext uri="{FF2B5EF4-FFF2-40B4-BE49-F238E27FC236}">
                  <a16:creationId xmlns:a16="http://schemas.microsoft.com/office/drawing/2014/main" id="{E2CC44EE-1571-42BE-8762-64994391872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731A4B4B-6F7B-480D-9D3D-D23373B7CED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B089E251-7A89-4BE1-A08B-82CB7AB9BE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50180" name="Button 4" hidden="1">
              <a:extLst>
                <a:ext uri="{63B3BB69-23CF-44E3-9099-C40C66FF867C}">
                  <a14:compatExt spid="_x0000_s50180"/>
                </a:ext>
                <a:ext uri="{FF2B5EF4-FFF2-40B4-BE49-F238E27FC236}">
                  <a16:creationId xmlns:a16="http://schemas.microsoft.com/office/drawing/2014/main" id="{140616FA-7E57-4032-833C-4CDA987E7D5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98661440-EF5C-4D1B-BC52-9A760FEB05A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50182" name="Button 6" hidden="1">
              <a:extLst>
                <a:ext uri="{63B3BB69-23CF-44E3-9099-C40C66FF867C}">
                  <a14:compatExt spid="_x0000_s50182"/>
                </a:ext>
                <a:ext uri="{FF2B5EF4-FFF2-40B4-BE49-F238E27FC236}">
                  <a16:creationId xmlns:a16="http://schemas.microsoft.com/office/drawing/2014/main" id="{1930808A-C538-4BF6-9F53-75F625CC87A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51201" name="Drop Down 1" hidden="1">
              <a:extLst>
                <a:ext uri="{63B3BB69-23CF-44E3-9099-C40C66FF867C}">
                  <a14:compatExt spid="_x0000_s51201"/>
                </a:ext>
                <a:ext uri="{FF2B5EF4-FFF2-40B4-BE49-F238E27FC236}">
                  <a16:creationId xmlns:a16="http://schemas.microsoft.com/office/drawing/2014/main" id="{F37B26C0-5DAA-4C13-AC79-4D3154D9D6B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94FCCEB1-3335-42B6-A6E9-DB99F36DE8B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1A46922C-6852-48C2-B752-51E01CDFFA2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535FABA6-076D-47DE-A253-80CBC11B5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51205" name="Button 5" hidden="1">
              <a:extLst>
                <a:ext uri="{63B3BB69-23CF-44E3-9099-C40C66FF867C}">
                  <a14:compatExt spid="_x0000_s51205"/>
                </a:ext>
                <a:ext uri="{FF2B5EF4-FFF2-40B4-BE49-F238E27FC236}">
                  <a16:creationId xmlns:a16="http://schemas.microsoft.com/office/drawing/2014/main" id="{2E36C81F-6FDD-4D3F-9998-38151A565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51206" name="Button 6" hidden="1">
              <a:extLst>
                <a:ext uri="{63B3BB69-23CF-44E3-9099-C40C66FF867C}">
                  <a14:compatExt spid="_x0000_s51206"/>
                </a:ext>
                <a:ext uri="{FF2B5EF4-FFF2-40B4-BE49-F238E27FC236}">
                  <a16:creationId xmlns:a16="http://schemas.microsoft.com/office/drawing/2014/main" id="{9D74E617-E5A5-458B-AF61-7E5E108E35C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52225" name="Drop Down 1" hidden="1">
              <a:extLst>
                <a:ext uri="{63B3BB69-23CF-44E3-9099-C40C66FF867C}">
                  <a14:compatExt spid="_x0000_s52225"/>
                </a:ext>
                <a:ext uri="{FF2B5EF4-FFF2-40B4-BE49-F238E27FC236}">
                  <a16:creationId xmlns:a16="http://schemas.microsoft.com/office/drawing/2014/main" id="{D4BA3244-91BE-4CE4-91AE-8411DB626A1B}"/>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9CBE3C67-5569-4EF6-8EE8-E4B742E23DC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52227" name="Button 3" hidden="1">
              <a:extLst>
                <a:ext uri="{63B3BB69-23CF-44E3-9099-C40C66FF867C}">
                  <a14:compatExt spid="_x0000_s52227"/>
                </a:ext>
                <a:ext uri="{FF2B5EF4-FFF2-40B4-BE49-F238E27FC236}">
                  <a16:creationId xmlns:a16="http://schemas.microsoft.com/office/drawing/2014/main" id="{C1928C2B-9AB3-43F1-B2D1-D8DF88DB99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52228" name="Button 4" hidden="1">
              <a:extLst>
                <a:ext uri="{63B3BB69-23CF-44E3-9099-C40C66FF867C}">
                  <a14:compatExt spid="_x0000_s52228"/>
                </a:ext>
                <a:ext uri="{FF2B5EF4-FFF2-40B4-BE49-F238E27FC236}">
                  <a16:creationId xmlns:a16="http://schemas.microsoft.com/office/drawing/2014/main" id="{4DDE617E-6874-470F-81DA-2114B888788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52229" name="Button 5" hidden="1">
              <a:extLst>
                <a:ext uri="{63B3BB69-23CF-44E3-9099-C40C66FF867C}">
                  <a14:compatExt spid="_x0000_s52229"/>
                </a:ext>
                <a:ext uri="{FF2B5EF4-FFF2-40B4-BE49-F238E27FC236}">
                  <a16:creationId xmlns:a16="http://schemas.microsoft.com/office/drawing/2014/main" id="{231755CB-1147-4403-991B-0542647C217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52230" name="Button 6" hidden="1">
              <a:extLst>
                <a:ext uri="{63B3BB69-23CF-44E3-9099-C40C66FF867C}">
                  <a14:compatExt spid="_x0000_s52230"/>
                </a:ext>
                <a:ext uri="{FF2B5EF4-FFF2-40B4-BE49-F238E27FC236}">
                  <a16:creationId xmlns:a16="http://schemas.microsoft.com/office/drawing/2014/main" id="{9D3210D2-1AF6-454C-B7A6-EBB2E92CB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53249" name="Drop Down 1" hidden="1">
              <a:extLst>
                <a:ext uri="{63B3BB69-23CF-44E3-9099-C40C66FF867C}">
                  <a14:compatExt spid="_x0000_s53249"/>
                </a:ext>
                <a:ext uri="{FF2B5EF4-FFF2-40B4-BE49-F238E27FC236}">
                  <a16:creationId xmlns:a16="http://schemas.microsoft.com/office/drawing/2014/main" id="{EA07A553-684B-4433-A021-A41664C4CB1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1A98389A-5B05-4F29-A94C-FFCCCDC7BAE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96301AC1-FC55-4B40-93D1-F819E47E715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9EB8B81A-A7D1-428D-9519-C19EF398105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4B1D68A8-F7BF-4400-86AF-D9F7E67066E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AF4E2C3B-5855-4532-887A-004BCEA5872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54273" name="Drop Down 1" hidden="1">
              <a:extLst>
                <a:ext uri="{63B3BB69-23CF-44E3-9099-C40C66FF867C}">
                  <a14:compatExt spid="_x0000_s54273"/>
                </a:ext>
                <a:ext uri="{FF2B5EF4-FFF2-40B4-BE49-F238E27FC236}">
                  <a16:creationId xmlns:a16="http://schemas.microsoft.com/office/drawing/2014/main" id="{EEDB187F-BFE8-457B-A6DD-DBE27AF4204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A349EE5F-82FB-4EE9-B4D6-4DDE1A48D9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54275" name="Button 3" hidden="1">
              <a:extLst>
                <a:ext uri="{63B3BB69-23CF-44E3-9099-C40C66FF867C}">
                  <a14:compatExt spid="_x0000_s54275"/>
                </a:ext>
                <a:ext uri="{FF2B5EF4-FFF2-40B4-BE49-F238E27FC236}">
                  <a16:creationId xmlns:a16="http://schemas.microsoft.com/office/drawing/2014/main" id="{092F42DB-0114-4CB3-AF27-6195A72579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54276" name="Button 4" hidden="1">
              <a:extLst>
                <a:ext uri="{63B3BB69-23CF-44E3-9099-C40C66FF867C}">
                  <a14:compatExt spid="_x0000_s54276"/>
                </a:ext>
                <a:ext uri="{FF2B5EF4-FFF2-40B4-BE49-F238E27FC236}">
                  <a16:creationId xmlns:a16="http://schemas.microsoft.com/office/drawing/2014/main" id="{0F249391-D0DE-4C76-954D-69A15DDEE6A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54277" name="Button 5" hidden="1">
              <a:extLst>
                <a:ext uri="{63B3BB69-23CF-44E3-9099-C40C66FF867C}">
                  <a14:compatExt spid="_x0000_s54277"/>
                </a:ext>
                <a:ext uri="{FF2B5EF4-FFF2-40B4-BE49-F238E27FC236}">
                  <a16:creationId xmlns:a16="http://schemas.microsoft.com/office/drawing/2014/main" id="{51637B92-ECA5-481B-9BD8-43A693F3D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54278" name="Button 6" hidden="1">
              <a:extLst>
                <a:ext uri="{63B3BB69-23CF-44E3-9099-C40C66FF867C}">
                  <a14:compatExt spid="_x0000_s54278"/>
                </a:ext>
                <a:ext uri="{FF2B5EF4-FFF2-40B4-BE49-F238E27FC236}">
                  <a16:creationId xmlns:a16="http://schemas.microsoft.com/office/drawing/2014/main" id="{397CD9DA-955C-4177-91D0-97552374E7D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55297" name="Drop Down 1" hidden="1">
              <a:extLst>
                <a:ext uri="{63B3BB69-23CF-44E3-9099-C40C66FF867C}">
                  <a14:compatExt spid="_x0000_s55297"/>
                </a:ext>
                <a:ext uri="{FF2B5EF4-FFF2-40B4-BE49-F238E27FC236}">
                  <a16:creationId xmlns:a16="http://schemas.microsoft.com/office/drawing/2014/main" id="{40B03D9B-7AEA-4874-808C-8992CB9B48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4A6AB892-41B1-47B2-87A7-4597AAB173F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22AEB0D9-092A-45F7-8A7C-D881C146A96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55300" name="Button 4" hidden="1">
              <a:extLst>
                <a:ext uri="{63B3BB69-23CF-44E3-9099-C40C66FF867C}">
                  <a14:compatExt spid="_x0000_s55300"/>
                </a:ext>
                <a:ext uri="{FF2B5EF4-FFF2-40B4-BE49-F238E27FC236}">
                  <a16:creationId xmlns:a16="http://schemas.microsoft.com/office/drawing/2014/main" id="{DD643C05-FA99-4BC3-A3C6-4EF3FB75FFA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55301" name="Button 5" hidden="1">
              <a:extLst>
                <a:ext uri="{63B3BB69-23CF-44E3-9099-C40C66FF867C}">
                  <a14:compatExt spid="_x0000_s55301"/>
                </a:ext>
                <a:ext uri="{FF2B5EF4-FFF2-40B4-BE49-F238E27FC236}">
                  <a16:creationId xmlns:a16="http://schemas.microsoft.com/office/drawing/2014/main" id="{DEF8B1B6-8EB7-48EA-A10C-4C06EFA9A1B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55302" name="Button 6" hidden="1">
              <a:extLst>
                <a:ext uri="{63B3BB69-23CF-44E3-9099-C40C66FF867C}">
                  <a14:compatExt spid="_x0000_s55302"/>
                </a:ext>
                <a:ext uri="{FF2B5EF4-FFF2-40B4-BE49-F238E27FC236}">
                  <a16:creationId xmlns:a16="http://schemas.microsoft.com/office/drawing/2014/main" id="{4CF68D5D-BFFC-470A-9E74-DF9EFE981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56321" name="Drop Down 1" hidden="1">
              <a:extLst>
                <a:ext uri="{63B3BB69-23CF-44E3-9099-C40C66FF867C}">
                  <a14:compatExt spid="_x0000_s56321"/>
                </a:ext>
                <a:ext uri="{FF2B5EF4-FFF2-40B4-BE49-F238E27FC236}">
                  <a16:creationId xmlns:a16="http://schemas.microsoft.com/office/drawing/2014/main" id="{228F85BB-553D-4094-83EE-A2C5870FCD4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56322" name="Button 2" hidden="1">
              <a:extLst>
                <a:ext uri="{63B3BB69-23CF-44E3-9099-C40C66FF867C}">
                  <a14:compatExt spid="_x0000_s56322"/>
                </a:ext>
                <a:ext uri="{FF2B5EF4-FFF2-40B4-BE49-F238E27FC236}">
                  <a16:creationId xmlns:a16="http://schemas.microsoft.com/office/drawing/2014/main" id="{1DE20959-B1C0-48DA-81D0-8B293E9C7EF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56323" name="Button 3" hidden="1">
              <a:extLst>
                <a:ext uri="{63B3BB69-23CF-44E3-9099-C40C66FF867C}">
                  <a14:compatExt spid="_x0000_s56323"/>
                </a:ext>
                <a:ext uri="{FF2B5EF4-FFF2-40B4-BE49-F238E27FC236}">
                  <a16:creationId xmlns:a16="http://schemas.microsoft.com/office/drawing/2014/main" id="{CD0A6E7B-C49A-4234-BEF2-5C156C41B0F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56324" name="Button 4" hidden="1">
              <a:extLst>
                <a:ext uri="{63B3BB69-23CF-44E3-9099-C40C66FF867C}">
                  <a14:compatExt spid="_x0000_s56324"/>
                </a:ext>
                <a:ext uri="{FF2B5EF4-FFF2-40B4-BE49-F238E27FC236}">
                  <a16:creationId xmlns:a16="http://schemas.microsoft.com/office/drawing/2014/main" id="{815A58A8-11B2-4F0B-9DD8-26F63405EA3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56325" name="Button 5" hidden="1">
              <a:extLst>
                <a:ext uri="{63B3BB69-23CF-44E3-9099-C40C66FF867C}">
                  <a14:compatExt spid="_x0000_s56325"/>
                </a:ext>
                <a:ext uri="{FF2B5EF4-FFF2-40B4-BE49-F238E27FC236}">
                  <a16:creationId xmlns:a16="http://schemas.microsoft.com/office/drawing/2014/main" id="{4E22E8FE-3F3D-49B4-9B5C-E0B7DFA52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56326" name="Button 6" hidden="1">
              <a:extLst>
                <a:ext uri="{63B3BB69-23CF-44E3-9099-C40C66FF867C}">
                  <a14:compatExt spid="_x0000_s56326"/>
                </a:ext>
                <a:ext uri="{FF2B5EF4-FFF2-40B4-BE49-F238E27FC236}">
                  <a16:creationId xmlns:a16="http://schemas.microsoft.com/office/drawing/2014/main" id="{F30EF3F2-AB09-4D70-8CBB-4675EF952D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57345" name="Drop Down 1" hidden="1">
              <a:extLst>
                <a:ext uri="{63B3BB69-23CF-44E3-9099-C40C66FF867C}">
                  <a14:compatExt spid="_x0000_s57345"/>
                </a:ext>
                <a:ext uri="{FF2B5EF4-FFF2-40B4-BE49-F238E27FC236}">
                  <a16:creationId xmlns:a16="http://schemas.microsoft.com/office/drawing/2014/main" id="{81E717D9-FFB6-482F-8C68-44295845A34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6F1F84-0947-4AF0-BBCB-A10536C4CA5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43E5C264-A150-4337-A20B-8F42D4F5064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D2BC05E0-5492-4DFB-A876-21237B98B0D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D46C40F-C13D-46FA-9DF9-85B5A0537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57350" name="Button 6" hidden="1">
              <a:extLst>
                <a:ext uri="{63B3BB69-23CF-44E3-9099-C40C66FF867C}">
                  <a14:compatExt spid="_x0000_s57350"/>
                </a:ext>
                <a:ext uri="{FF2B5EF4-FFF2-40B4-BE49-F238E27FC236}">
                  <a16:creationId xmlns:a16="http://schemas.microsoft.com/office/drawing/2014/main" id="{D8A7CB11-64E7-481F-8053-BB4579B5A3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58369" name="Drop Down 1" hidden="1">
              <a:extLst>
                <a:ext uri="{63B3BB69-23CF-44E3-9099-C40C66FF867C}">
                  <a14:compatExt spid="_x0000_s58369"/>
                </a:ext>
                <a:ext uri="{FF2B5EF4-FFF2-40B4-BE49-F238E27FC236}">
                  <a16:creationId xmlns:a16="http://schemas.microsoft.com/office/drawing/2014/main" id="{9D5B1F35-2852-429C-8BB0-13F3BA7549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36B45BEE-1510-4DA9-9288-46C2A16DF4B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4C81996C-B928-46FC-A402-9542EA2A2E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D42F474F-ED4B-4B2C-BEA2-DD225A43C2D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58373" name="Button 5" hidden="1">
              <a:extLst>
                <a:ext uri="{63B3BB69-23CF-44E3-9099-C40C66FF867C}">
                  <a14:compatExt spid="_x0000_s58373"/>
                </a:ext>
                <a:ext uri="{FF2B5EF4-FFF2-40B4-BE49-F238E27FC236}">
                  <a16:creationId xmlns:a16="http://schemas.microsoft.com/office/drawing/2014/main" id="{138D7E0F-B37D-48DD-A681-BDB3C2D823C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58374" name="Button 6" hidden="1">
              <a:extLst>
                <a:ext uri="{63B3BB69-23CF-44E3-9099-C40C66FF867C}">
                  <a14:compatExt spid="_x0000_s58374"/>
                </a:ext>
                <a:ext uri="{FF2B5EF4-FFF2-40B4-BE49-F238E27FC236}">
                  <a16:creationId xmlns:a16="http://schemas.microsoft.com/office/drawing/2014/main" id="{201C3980-1B05-4297-BECD-550C4C5B47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59393" name="Drop Down 1" hidden="1">
              <a:extLst>
                <a:ext uri="{63B3BB69-23CF-44E3-9099-C40C66FF867C}">
                  <a14:compatExt spid="_x0000_s59393"/>
                </a:ext>
                <a:ext uri="{FF2B5EF4-FFF2-40B4-BE49-F238E27FC236}">
                  <a16:creationId xmlns:a16="http://schemas.microsoft.com/office/drawing/2014/main" id="{2BAC5530-56AF-4455-91DB-E129046C705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DEE0E9F9-5C68-4620-8DF5-40901A9975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A142E1FE-B6C1-4293-AF96-EAE1C52467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1D5A964B-E598-4E8B-A7CB-E1291E4E3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22A28693-9AEB-4EB4-A3C9-0EB32C4D17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59398" name="Button 6" hidden="1">
              <a:extLst>
                <a:ext uri="{63B3BB69-23CF-44E3-9099-C40C66FF867C}">
                  <a14:compatExt spid="_x0000_s59398"/>
                </a:ext>
                <a:ext uri="{FF2B5EF4-FFF2-40B4-BE49-F238E27FC236}">
                  <a16:creationId xmlns:a16="http://schemas.microsoft.com/office/drawing/2014/main" id="{A24E9FB7-FE16-4C5B-94CD-3B9EFD4BFD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60417" name="Drop Down 1" hidden="1">
              <a:extLst>
                <a:ext uri="{63B3BB69-23CF-44E3-9099-C40C66FF867C}">
                  <a14:compatExt spid="_x0000_s60417"/>
                </a:ext>
                <a:ext uri="{FF2B5EF4-FFF2-40B4-BE49-F238E27FC236}">
                  <a16:creationId xmlns:a16="http://schemas.microsoft.com/office/drawing/2014/main" id="{62441162-DC23-4A54-8B5F-4553620A4CDA}"/>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A2E249F3-9008-4BF7-A5AE-894EC3AFE6C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951BDB5D-523F-4701-9E3A-42B5637BAAE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60420" name="Button 4" hidden="1">
              <a:extLst>
                <a:ext uri="{63B3BB69-23CF-44E3-9099-C40C66FF867C}">
                  <a14:compatExt spid="_x0000_s60420"/>
                </a:ext>
                <a:ext uri="{FF2B5EF4-FFF2-40B4-BE49-F238E27FC236}">
                  <a16:creationId xmlns:a16="http://schemas.microsoft.com/office/drawing/2014/main" id="{FA02AFC9-F21B-4490-9D67-31B4BCE47A0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2206462F-4604-406A-A0D6-5E16D628CBE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60422" name="Button 6" hidden="1">
              <a:extLst>
                <a:ext uri="{63B3BB69-23CF-44E3-9099-C40C66FF867C}">
                  <a14:compatExt spid="_x0000_s60422"/>
                </a:ext>
                <a:ext uri="{FF2B5EF4-FFF2-40B4-BE49-F238E27FC236}">
                  <a16:creationId xmlns:a16="http://schemas.microsoft.com/office/drawing/2014/main" id="{842BFDE4-08C6-4117-B943-CB770DE24A1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61441" name="Drop Down 1" hidden="1">
              <a:extLst>
                <a:ext uri="{63B3BB69-23CF-44E3-9099-C40C66FF867C}">
                  <a14:compatExt spid="_x0000_s61441"/>
                </a:ext>
                <a:ext uri="{FF2B5EF4-FFF2-40B4-BE49-F238E27FC236}">
                  <a16:creationId xmlns:a16="http://schemas.microsoft.com/office/drawing/2014/main" id="{CE769A8B-EEF1-439F-8592-4AA9E2B4A0AD}"/>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944B408C-93DE-4306-B221-058C402749F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61443" name="Button 3" hidden="1">
              <a:extLst>
                <a:ext uri="{63B3BB69-23CF-44E3-9099-C40C66FF867C}">
                  <a14:compatExt spid="_x0000_s61443"/>
                </a:ext>
                <a:ext uri="{FF2B5EF4-FFF2-40B4-BE49-F238E27FC236}">
                  <a16:creationId xmlns:a16="http://schemas.microsoft.com/office/drawing/2014/main" id="{B0FDBE7E-E512-492D-8041-ADD4B4D347B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61444" name="Button 4" hidden="1">
              <a:extLst>
                <a:ext uri="{63B3BB69-23CF-44E3-9099-C40C66FF867C}">
                  <a14:compatExt spid="_x0000_s61444"/>
                </a:ext>
                <a:ext uri="{FF2B5EF4-FFF2-40B4-BE49-F238E27FC236}">
                  <a16:creationId xmlns:a16="http://schemas.microsoft.com/office/drawing/2014/main" id="{74E02E34-1A67-4B24-AD74-362807F686A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61445" name="Button 5" hidden="1">
              <a:extLst>
                <a:ext uri="{63B3BB69-23CF-44E3-9099-C40C66FF867C}">
                  <a14:compatExt spid="_x0000_s61445"/>
                </a:ext>
                <a:ext uri="{FF2B5EF4-FFF2-40B4-BE49-F238E27FC236}">
                  <a16:creationId xmlns:a16="http://schemas.microsoft.com/office/drawing/2014/main" id="{2F5D9503-FB5F-4AB8-A343-4BAF67C974F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61446" name="Button 6" hidden="1">
              <a:extLst>
                <a:ext uri="{63B3BB69-23CF-44E3-9099-C40C66FF867C}">
                  <a14:compatExt spid="_x0000_s61446"/>
                </a:ext>
                <a:ext uri="{FF2B5EF4-FFF2-40B4-BE49-F238E27FC236}">
                  <a16:creationId xmlns:a16="http://schemas.microsoft.com/office/drawing/2014/main" id="{CF5BC8F0-9498-4BF6-9366-8203076DB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62465" name="Drop Down 1" hidden="1">
              <a:extLst>
                <a:ext uri="{63B3BB69-23CF-44E3-9099-C40C66FF867C}">
                  <a14:compatExt spid="_x0000_s62465"/>
                </a:ext>
                <a:ext uri="{FF2B5EF4-FFF2-40B4-BE49-F238E27FC236}">
                  <a16:creationId xmlns:a16="http://schemas.microsoft.com/office/drawing/2014/main" id="{AB41B1A9-D8B5-4E1D-A52E-BD5A972E5FBF}"/>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C18A9F29-7CE9-433D-9F20-0E3D244DECD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62467" name="Button 3" hidden="1">
              <a:extLst>
                <a:ext uri="{63B3BB69-23CF-44E3-9099-C40C66FF867C}">
                  <a14:compatExt spid="_x0000_s62467"/>
                </a:ext>
                <a:ext uri="{FF2B5EF4-FFF2-40B4-BE49-F238E27FC236}">
                  <a16:creationId xmlns:a16="http://schemas.microsoft.com/office/drawing/2014/main" id="{F672017F-F048-4B9D-9AB1-632D685DD2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62468" name="Button 4" hidden="1">
              <a:extLst>
                <a:ext uri="{63B3BB69-23CF-44E3-9099-C40C66FF867C}">
                  <a14:compatExt spid="_x0000_s62468"/>
                </a:ext>
                <a:ext uri="{FF2B5EF4-FFF2-40B4-BE49-F238E27FC236}">
                  <a16:creationId xmlns:a16="http://schemas.microsoft.com/office/drawing/2014/main" id="{157478BB-3701-49AC-A4F2-6C8DFE03CF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62469" name="Button 5" hidden="1">
              <a:extLst>
                <a:ext uri="{63B3BB69-23CF-44E3-9099-C40C66FF867C}">
                  <a14:compatExt spid="_x0000_s62469"/>
                </a:ext>
                <a:ext uri="{FF2B5EF4-FFF2-40B4-BE49-F238E27FC236}">
                  <a16:creationId xmlns:a16="http://schemas.microsoft.com/office/drawing/2014/main" id="{421394AF-5816-49D6-A2AE-375FAF0AEE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62470" name="Button 6" hidden="1">
              <a:extLst>
                <a:ext uri="{63B3BB69-23CF-44E3-9099-C40C66FF867C}">
                  <a14:compatExt spid="_x0000_s62470"/>
                </a:ext>
                <a:ext uri="{FF2B5EF4-FFF2-40B4-BE49-F238E27FC236}">
                  <a16:creationId xmlns:a16="http://schemas.microsoft.com/office/drawing/2014/main" id="{39AC14AE-EEDB-4184-84F0-5BB3941495F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12289" name="Drop Dow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0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31750</xdr:colOff>
          <xdr:row>1</xdr:row>
          <xdr:rowOff>228600</xdr:rowOff>
        </xdr:from>
        <xdr:to>
          <xdr:col>10</xdr:col>
          <xdr:colOff>0</xdr:colOff>
          <xdr:row>3</xdr:row>
          <xdr:rowOff>0</xdr:rowOff>
        </xdr:to>
        <xdr:sp macro="" textlink="">
          <xdr:nvSpPr>
            <xdr:cNvPr id="14337" name="btnPath"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3</xdr:row>
          <xdr:rowOff>31750</xdr:rowOff>
        </xdr:from>
        <xdr:to>
          <xdr:col>8</xdr:col>
          <xdr:colOff>952500</xdr:colOff>
          <xdr:row>4</xdr:row>
          <xdr:rowOff>95250</xdr:rowOff>
        </xdr:to>
        <xdr:sp macro="" textlink="">
          <xdr:nvSpPr>
            <xdr:cNvPr id="14338" name="btnCreate"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184150</xdr:colOff>
          <xdr:row>11</xdr:row>
          <xdr:rowOff>12700</xdr:rowOff>
        </xdr:from>
        <xdr:to>
          <xdr:col>8</xdr:col>
          <xdr:colOff>565150</xdr:colOff>
          <xdr:row>11</xdr:row>
          <xdr:rowOff>190500</xdr:rowOff>
        </xdr:to>
        <xdr:sp macro="" textlink="">
          <xdr:nvSpPr>
            <xdr:cNvPr id="15361" name="Drop Dow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11</xdr:row>
          <xdr:rowOff>12700</xdr:rowOff>
        </xdr:from>
        <xdr:to>
          <xdr:col>12</xdr:col>
          <xdr:colOff>431800</xdr:colOff>
          <xdr:row>11</xdr:row>
          <xdr:rowOff>184150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2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11</xdr:row>
          <xdr:rowOff>12700</xdr:rowOff>
        </xdr:from>
        <xdr:to>
          <xdr:col>1</xdr:col>
          <xdr:colOff>222250</xdr:colOff>
          <xdr:row>12</xdr:row>
          <xdr:rowOff>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12700</xdr:rowOff>
        </xdr:from>
        <xdr:to>
          <xdr:col>12</xdr:col>
          <xdr:colOff>31750</xdr:colOff>
          <xdr:row>11</xdr:row>
          <xdr:rowOff>184150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2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165100</xdr:colOff>
          <xdr:row>11</xdr:row>
          <xdr:rowOff>12700</xdr:rowOff>
        </xdr:from>
        <xdr:to>
          <xdr:col>3</xdr:col>
          <xdr:colOff>114300</xdr:colOff>
          <xdr:row>11</xdr:row>
          <xdr:rowOff>184150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2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374650</xdr:colOff>
          <xdr:row>11</xdr:row>
          <xdr:rowOff>12700</xdr:rowOff>
        </xdr:from>
        <xdr:to>
          <xdr:col>4</xdr:col>
          <xdr:colOff>190500</xdr:colOff>
          <xdr:row>11</xdr:row>
          <xdr:rowOff>184150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2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omments" Target="../comments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10" Type="http://schemas.openxmlformats.org/officeDocument/2006/relationships/comments" Target="../comments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omments" Target="../comments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5" Type="http://schemas.openxmlformats.org/officeDocument/2006/relationships/ctrlProp" Target="../ctrlProps/ctrlProp26.xml"/><Relationship Id="rId10" Type="http://schemas.openxmlformats.org/officeDocument/2006/relationships/comments" Target="../comments6.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33.xml"/><Relationship Id="rId5" Type="http://schemas.openxmlformats.org/officeDocument/2006/relationships/ctrlProp" Target="../ctrlProps/ctrlProp32.xml"/><Relationship Id="rId10" Type="http://schemas.openxmlformats.org/officeDocument/2006/relationships/comments" Target="../comments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vmlDrawing" Target="../drawings/vmlDrawing8.vml"/><Relationship Id="rId7" Type="http://schemas.openxmlformats.org/officeDocument/2006/relationships/ctrlProp" Target="../ctrlProps/ctrlProp40.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39.xml"/><Relationship Id="rId5" Type="http://schemas.openxmlformats.org/officeDocument/2006/relationships/ctrlProp" Target="../ctrlProps/ctrlProp38.xml"/><Relationship Id="rId10" Type="http://schemas.openxmlformats.org/officeDocument/2006/relationships/comments" Target="../comments8.xml"/><Relationship Id="rId4" Type="http://schemas.openxmlformats.org/officeDocument/2006/relationships/ctrlProp" Target="../ctrlProps/ctrlProp37.xml"/><Relationship Id="rId9" Type="http://schemas.openxmlformats.org/officeDocument/2006/relationships/ctrlProp" Target="../ctrlProps/ctrlProp4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vmlDrawing" Target="../drawings/vmlDrawing9.vml"/><Relationship Id="rId7" Type="http://schemas.openxmlformats.org/officeDocument/2006/relationships/ctrlProp" Target="../ctrlProps/ctrlProp46.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45.xml"/><Relationship Id="rId5" Type="http://schemas.openxmlformats.org/officeDocument/2006/relationships/ctrlProp" Target="../ctrlProps/ctrlProp44.xml"/><Relationship Id="rId10" Type="http://schemas.openxmlformats.org/officeDocument/2006/relationships/comments" Target="../comments9.xml"/><Relationship Id="rId4" Type="http://schemas.openxmlformats.org/officeDocument/2006/relationships/ctrlProp" Target="../ctrlProps/ctrlProp43.xml"/><Relationship Id="rId9" Type="http://schemas.openxmlformats.org/officeDocument/2006/relationships/ctrlProp" Target="../ctrlProps/ctrlProp4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0.vml"/><Relationship Id="rId7" Type="http://schemas.openxmlformats.org/officeDocument/2006/relationships/ctrlProp" Target="../ctrlProps/ctrlProp52.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51.xml"/><Relationship Id="rId5" Type="http://schemas.openxmlformats.org/officeDocument/2006/relationships/ctrlProp" Target="../ctrlProps/ctrlProp50.xml"/><Relationship Id="rId10" Type="http://schemas.openxmlformats.org/officeDocument/2006/relationships/comments" Target="../comments10.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1.vml"/><Relationship Id="rId7" Type="http://schemas.openxmlformats.org/officeDocument/2006/relationships/ctrlProp" Target="../ctrlProps/ctrlProp58.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5" Type="http://schemas.openxmlformats.org/officeDocument/2006/relationships/ctrlProp" Target="../ctrlProps/ctrlProp56.xml"/><Relationship Id="rId10" Type="http://schemas.openxmlformats.org/officeDocument/2006/relationships/comments" Target="../comments1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12.vml"/><Relationship Id="rId7" Type="http://schemas.openxmlformats.org/officeDocument/2006/relationships/ctrlProp" Target="../ctrlProps/ctrlProp64.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63.xml"/><Relationship Id="rId5" Type="http://schemas.openxmlformats.org/officeDocument/2006/relationships/ctrlProp" Target="../ctrlProps/ctrlProp62.xml"/><Relationship Id="rId10" Type="http://schemas.openxmlformats.org/officeDocument/2006/relationships/comments" Target="../comments12.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1.xml"/><Relationship Id="rId3" Type="http://schemas.openxmlformats.org/officeDocument/2006/relationships/vmlDrawing" Target="../drawings/vmlDrawing13.vml"/><Relationship Id="rId7" Type="http://schemas.openxmlformats.org/officeDocument/2006/relationships/ctrlProp" Target="../ctrlProps/ctrlProp70.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69.xml"/><Relationship Id="rId5" Type="http://schemas.openxmlformats.org/officeDocument/2006/relationships/ctrlProp" Target="../ctrlProps/ctrlProp68.xml"/><Relationship Id="rId10" Type="http://schemas.openxmlformats.org/officeDocument/2006/relationships/comments" Target="../comments13.xml"/><Relationship Id="rId4" Type="http://schemas.openxmlformats.org/officeDocument/2006/relationships/ctrlProp" Target="../ctrlProps/ctrlProp67.xml"/><Relationship Id="rId9" Type="http://schemas.openxmlformats.org/officeDocument/2006/relationships/ctrlProp" Target="../ctrlProps/ctrlProp7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vmlDrawing" Target="../drawings/vmlDrawing14.vml"/><Relationship Id="rId7" Type="http://schemas.openxmlformats.org/officeDocument/2006/relationships/ctrlProp" Target="../ctrlProps/ctrlProp76.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75.xml"/><Relationship Id="rId5" Type="http://schemas.openxmlformats.org/officeDocument/2006/relationships/ctrlProp" Target="../ctrlProps/ctrlProp74.xml"/><Relationship Id="rId10" Type="http://schemas.openxmlformats.org/officeDocument/2006/relationships/comments" Target="../comments14.xml"/><Relationship Id="rId4" Type="http://schemas.openxmlformats.org/officeDocument/2006/relationships/ctrlProp" Target="../ctrlProps/ctrlProp73.xml"/><Relationship Id="rId9" Type="http://schemas.openxmlformats.org/officeDocument/2006/relationships/ctrlProp" Target="../ctrlProps/ctrlProp7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3.xml"/><Relationship Id="rId3" Type="http://schemas.openxmlformats.org/officeDocument/2006/relationships/vmlDrawing" Target="../drawings/vmlDrawing15.vml"/><Relationship Id="rId7" Type="http://schemas.openxmlformats.org/officeDocument/2006/relationships/ctrlProp" Target="../ctrlProps/ctrlProp82.x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trlProp" Target="../ctrlProps/ctrlProp81.xml"/><Relationship Id="rId5" Type="http://schemas.openxmlformats.org/officeDocument/2006/relationships/ctrlProp" Target="../ctrlProps/ctrlProp80.xml"/><Relationship Id="rId10" Type="http://schemas.openxmlformats.org/officeDocument/2006/relationships/comments" Target="../comments15.xml"/><Relationship Id="rId4" Type="http://schemas.openxmlformats.org/officeDocument/2006/relationships/ctrlProp" Target="../ctrlProps/ctrlProp79.xml"/><Relationship Id="rId9" Type="http://schemas.openxmlformats.org/officeDocument/2006/relationships/ctrlProp" Target="../ctrlProps/ctrlProp84.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6.vml"/><Relationship Id="rId7" Type="http://schemas.openxmlformats.org/officeDocument/2006/relationships/ctrlProp" Target="../ctrlProps/ctrlProp88.x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omments" Target="../comments16.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17.vml"/><Relationship Id="rId7" Type="http://schemas.openxmlformats.org/officeDocument/2006/relationships/ctrlProp" Target="../ctrlProps/ctrlProp94.x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trlProp" Target="../ctrlProps/ctrlProp93.xml"/><Relationship Id="rId5" Type="http://schemas.openxmlformats.org/officeDocument/2006/relationships/ctrlProp" Target="../ctrlProps/ctrlProp92.xml"/><Relationship Id="rId10" Type="http://schemas.openxmlformats.org/officeDocument/2006/relationships/comments" Target="../comments17.xml"/><Relationship Id="rId4" Type="http://schemas.openxmlformats.org/officeDocument/2006/relationships/ctrlProp" Target="../ctrlProps/ctrlProp91.xml"/><Relationship Id="rId9" Type="http://schemas.openxmlformats.org/officeDocument/2006/relationships/ctrlProp" Target="../ctrlProps/ctrlProp96.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01.xml"/><Relationship Id="rId3" Type="http://schemas.openxmlformats.org/officeDocument/2006/relationships/vmlDrawing" Target="../drawings/vmlDrawing18.vml"/><Relationship Id="rId7" Type="http://schemas.openxmlformats.org/officeDocument/2006/relationships/ctrlProp" Target="../ctrlProps/ctrlProp100.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trlProp" Target="../ctrlProps/ctrlProp99.xml"/><Relationship Id="rId5" Type="http://schemas.openxmlformats.org/officeDocument/2006/relationships/ctrlProp" Target="../ctrlProps/ctrlProp98.xml"/><Relationship Id="rId10" Type="http://schemas.openxmlformats.org/officeDocument/2006/relationships/comments" Target="../comments18.xml"/><Relationship Id="rId4" Type="http://schemas.openxmlformats.org/officeDocument/2006/relationships/ctrlProp" Target="../ctrlProps/ctrlProp97.xml"/><Relationship Id="rId9" Type="http://schemas.openxmlformats.org/officeDocument/2006/relationships/ctrlProp" Target="../ctrlProps/ctrlProp102.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vmlDrawing" Target="../drawings/vmlDrawing19.vml"/><Relationship Id="rId7" Type="http://schemas.openxmlformats.org/officeDocument/2006/relationships/ctrlProp" Target="../ctrlProps/ctrlProp106.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trlProp" Target="../ctrlProps/ctrlProp105.xml"/><Relationship Id="rId5" Type="http://schemas.openxmlformats.org/officeDocument/2006/relationships/ctrlProp" Target="../ctrlProps/ctrlProp104.xml"/><Relationship Id="rId10" Type="http://schemas.openxmlformats.org/officeDocument/2006/relationships/comments" Target="../comments19.xml"/><Relationship Id="rId4" Type="http://schemas.openxmlformats.org/officeDocument/2006/relationships/ctrlProp" Target="../ctrlProps/ctrlProp103.xml"/><Relationship Id="rId9" Type="http://schemas.openxmlformats.org/officeDocument/2006/relationships/ctrlProp" Target="../ctrlProps/ctrlProp10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20.vml"/><Relationship Id="rId7" Type="http://schemas.openxmlformats.org/officeDocument/2006/relationships/ctrlProp" Target="../ctrlProps/ctrlProp112.x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trlProp" Target="../ctrlProps/ctrlProp111.xml"/><Relationship Id="rId5" Type="http://schemas.openxmlformats.org/officeDocument/2006/relationships/ctrlProp" Target="../ctrlProps/ctrlProp110.xml"/><Relationship Id="rId10" Type="http://schemas.openxmlformats.org/officeDocument/2006/relationships/comments" Target="../comments20.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21.vml"/><Relationship Id="rId7" Type="http://schemas.openxmlformats.org/officeDocument/2006/relationships/ctrlProp" Target="../ctrlProps/ctrlProp118.x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trlProp" Target="../ctrlProps/ctrlProp117.xml"/><Relationship Id="rId5" Type="http://schemas.openxmlformats.org/officeDocument/2006/relationships/ctrlProp" Target="../ctrlProps/ctrlProp116.xml"/><Relationship Id="rId10" Type="http://schemas.openxmlformats.org/officeDocument/2006/relationships/comments" Target="../comments21.xml"/><Relationship Id="rId4" Type="http://schemas.openxmlformats.org/officeDocument/2006/relationships/ctrlProp" Target="../ctrlProps/ctrlProp115.xml"/><Relationship Id="rId9" Type="http://schemas.openxmlformats.org/officeDocument/2006/relationships/ctrlProp" Target="../ctrlProps/ctrlProp120.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25.xml"/><Relationship Id="rId3" Type="http://schemas.openxmlformats.org/officeDocument/2006/relationships/vmlDrawing" Target="../drawings/vmlDrawing22.vml"/><Relationship Id="rId7" Type="http://schemas.openxmlformats.org/officeDocument/2006/relationships/ctrlProp" Target="../ctrlProps/ctrlProp124.x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trlProp" Target="../ctrlProps/ctrlProp123.xml"/><Relationship Id="rId5" Type="http://schemas.openxmlformats.org/officeDocument/2006/relationships/ctrlProp" Target="../ctrlProps/ctrlProp122.xml"/><Relationship Id="rId10" Type="http://schemas.openxmlformats.org/officeDocument/2006/relationships/comments" Target="../comments22.xml"/><Relationship Id="rId4" Type="http://schemas.openxmlformats.org/officeDocument/2006/relationships/ctrlProp" Target="../ctrlProps/ctrlProp121.xml"/><Relationship Id="rId9" Type="http://schemas.openxmlformats.org/officeDocument/2006/relationships/ctrlProp" Target="../ctrlProps/ctrlProp126.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31.xml"/><Relationship Id="rId3" Type="http://schemas.openxmlformats.org/officeDocument/2006/relationships/vmlDrawing" Target="../drawings/vmlDrawing23.vml"/><Relationship Id="rId7" Type="http://schemas.openxmlformats.org/officeDocument/2006/relationships/ctrlProp" Target="../ctrlProps/ctrlProp130.x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trlProp" Target="../ctrlProps/ctrlProp129.xml"/><Relationship Id="rId5" Type="http://schemas.openxmlformats.org/officeDocument/2006/relationships/ctrlProp" Target="../ctrlProps/ctrlProp128.xml"/><Relationship Id="rId10" Type="http://schemas.openxmlformats.org/officeDocument/2006/relationships/comments" Target="../comments23.xml"/><Relationship Id="rId4" Type="http://schemas.openxmlformats.org/officeDocument/2006/relationships/ctrlProp" Target="../ctrlProps/ctrlProp127.xml"/><Relationship Id="rId9" Type="http://schemas.openxmlformats.org/officeDocument/2006/relationships/ctrlProp" Target="../ctrlProps/ctrlProp132.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37.xml"/><Relationship Id="rId3" Type="http://schemas.openxmlformats.org/officeDocument/2006/relationships/vmlDrawing" Target="../drawings/vmlDrawing24.vml"/><Relationship Id="rId7" Type="http://schemas.openxmlformats.org/officeDocument/2006/relationships/ctrlProp" Target="../ctrlProps/ctrlProp136.x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trlProp" Target="../ctrlProps/ctrlProp135.xml"/><Relationship Id="rId5" Type="http://schemas.openxmlformats.org/officeDocument/2006/relationships/ctrlProp" Target="../ctrlProps/ctrlProp134.xml"/><Relationship Id="rId10" Type="http://schemas.openxmlformats.org/officeDocument/2006/relationships/comments" Target="../comments24.xml"/><Relationship Id="rId4" Type="http://schemas.openxmlformats.org/officeDocument/2006/relationships/ctrlProp" Target="../ctrlProps/ctrlProp133.xml"/><Relationship Id="rId9" Type="http://schemas.openxmlformats.org/officeDocument/2006/relationships/ctrlProp" Target="../ctrlProps/ctrlProp138.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43.xml"/><Relationship Id="rId3" Type="http://schemas.openxmlformats.org/officeDocument/2006/relationships/vmlDrawing" Target="../drawings/vmlDrawing25.vml"/><Relationship Id="rId7" Type="http://schemas.openxmlformats.org/officeDocument/2006/relationships/ctrlProp" Target="../ctrlProps/ctrlProp142.x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trlProp" Target="../ctrlProps/ctrlProp141.xml"/><Relationship Id="rId5" Type="http://schemas.openxmlformats.org/officeDocument/2006/relationships/ctrlProp" Target="../ctrlProps/ctrlProp140.xml"/><Relationship Id="rId10" Type="http://schemas.openxmlformats.org/officeDocument/2006/relationships/comments" Target="../comments25.xml"/><Relationship Id="rId4" Type="http://schemas.openxmlformats.org/officeDocument/2006/relationships/ctrlProp" Target="../ctrlProps/ctrlProp139.xml"/><Relationship Id="rId9" Type="http://schemas.openxmlformats.org/officeDocument/2006/relationships/ctrlProp" Target="../ctrlProps/ctrlProp14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49.xml"/><Relationship Id="rId3" Type="http://schemas.openxmlformats.org/officeDocument/2006/relationships/vmlDrawing" Target="../drawings/vmlDrawing26.vml"/><Relationship Id="rId7" Type="http://schemas.openxmlformats.org/officeDocument/2006/relationships/ctrlProp" Target="../ctrlProps/ctrlProp148.x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trlProp" Target="../ctrlProps/ctrlProp147.xml"/><Relationship Id="rId5" Type="http://schemas.openxmlformats.org/officeDocument/2006/relationships/ctrlProp" Target="../ctrlProps/ctrlProp146.xml"/><Relationship Id="rId10" Type="http://schemas.openxmlformats.org/officeDocument/2006/relationships/comments" Target="../comments26.xml"/><Relationship Id="rId4" Type="http://schemas.openxmlformats.org/officeDocument/2006/relationships/ctrlProp" Target="../ctrlProps/ctrlProp145.xml"/><Relationship Id="rId9" Type="http://schemas.openxmlformats.org/officeDocument/2006/relationships/ctrlProp" Target="../ctrlProps/ctrlProp15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55.xml"/><Relationship Id="rId3" Type="http://schemas.openxmlformats.org/officeDocument/2006/relationships/vmlDrawing" Target="../drawings/vmlDrawing27.vml"/><Relationship Id="rId7" Type="http://schemas.openxmlformats.org/officeDocument/2006/relationships/ctrlProp" Target="../ctrlProps/ctrlProp154.x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trlProp" Target="../ctrlProps/ctrlProp153.xml"/><Relationship Id="rId5" Type="http://schemas.openxmlformats.org/officeDocument/2006/relationships/ctrlProp" Target="../ctrlProps/ctrlProp152.xml"/><Relationship Id="rId10" Type="http://schemas.openxmlformats.org/officeDocument/2006/relationships/comments" Target="../comments27.xml"/><Relationship Id="rId4" Type="http://schemas.openxmlformats.org/officeDocument/2006/relationships/ctrlProp" Target="../ctrlProps/ctrlProp151.xml"/><Relationship Id="rId9" Type="http://schemas.openxmlformats.org/officeDocument/2006/relationships/ctrlProp" Target="../ctrlProps/ctrlProp156.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61.xml"/><Relationship Id="rId3" Type="http://schemas.openxmlformats.org/officeDocument/2006/relationships/vmlDrawing" Target="../drawings/vmlDrawing28.vml"/><Relationship Id="rId7" Type="http://schemas.openxmlformats.org/officeDocument/2006/relationships/ctrlProp" Target="../ctrlProps/ctrlProp160.x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trlProp" Target="../ctrlProps/ctrlProp159.xml"/><Relationship Id="rId5" Type="http://schemas.openxmlformats.org/officeDocument/2006/relationships/ctrlProp" Target="../ctrlProps/ctrlProp158.xml"/><Relationship Id="rId10" Type="http://schemas.openxmlformats.org/officeDocument/2006/relationships/comments" Target="../comments28.xml"/><Relationship Id="rId4" Type="http://schemas.openxmlformats.org/officeDocument/2006/relationships/ctrlProp" Target="../ctrlProps/ctrlProp157.xml"/><Relationship Id="rId9" Type="http://schemas.openxmlformats.org/officeDocument/2006/relationships/ctrlProp" Target="../ctrlProps/ctrlProp162.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67.xml"/><Relationship Id="rId3" Type="http://schemas.openxmlformats.org/officeDocument/2006/relationships/vmlDrawing" Target="../drawings/vmlDrawing29.vml"/><Relationship Id="rId7" Type="http://schemas.openxmlformats.org/officeDocument/2006/relationships/ctrlProp" Target="../ctrlProps/ctrlProp166.x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trlProp" Target="../ctrlProps/ctrlProp165.xml"/><Relationship Id="rId5" Type="http://schemas.openxmlformats.org/officeDocument/2006/relationships/ctrlProp" Target="../ctrlProps/ctrlProp164.xml"/><Relationship Id="rId10" Type="http://schemas.openxmlformats.org/officeDocument/2006/relationships/comments" Target="../comments29.xml"/><Relationship Id="rId4" Type="http://schemas.openxmlformats.org/officeDocument/2006/relationships/ctrlProp" Target="../ctrlProps/ctrlProp163.xml"/><Relationship Id="rId9" Type="http://schemas.openxmlformats.org/officeDocument/2006/relationships/ctrlProp" Target="../ctrlProps/ctrlProp168.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73.xml"/><Relationship Id="rId3" Type="http://schemas.openxmlformats.org/officeDocument/2006/relationships/vmlDrawing" Target="../drawings/vmlDrawing30.vml"/><Relationship Id="rId7" Type="http://schemas.openxmlformats.org/officeDocument/2006/relationships/ctrlProp" Target="../ctrlProps/ctrlProp172.x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trlProp" Target="../ctrlProps/ctrlProp171.xml"/><Relationship Id="rId5" Type="http://schemas.openxmlformats.org/officeDocument/2006/relationships/ctrlProp" Target="../ctrlProps/ctrlProp170.xml"/><Relationship Id="rId10" Type="http://schemas.openxmlformats.org/officeDocument/2006/relationships/comments" Target="../comments30.xml"/><Relationship Id="rId4" Type="http://schemas.openxmlformats.org/officeDocument/2006/relationships/ctrlProp" Target="../ctrlProps/ctrlProp169.xml"/><Relationship Id="rId9" Type="http://schemas.openxmlformats.org/officeDocument/2006/relationships/ctrlProp" Target="../ctrlProps/ctrlProp174.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179.xml"/><Relationship Id="rId3" Type="http://schemas.openxmlformats.org/officeDocument/2006/relationships/vmlDrawing" Target="../drawings/vmlDrawing31.vml"/><Relationship Id="rId7" Type="http://schemas.openxmlformats.org/officeDocument/2006/relationships/ctrlProp" Target="../ctrlProps/ctrlProp178.x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trlProp" Target="../ctrlProps/ctrlProp177.xml"/><Relationship Id="rId5" Type="http://schemas.openxmlformats.org/officeDocument/2006/relationships/ctrlProp" Target="../ctrlProps/ctrlProp176.xml"/><Relationship Id="rId10" Type="http://schemas.openxmlformats.org/officeDocument/2006/relationships/comments" Target="../comments31.xml"/><Relationship Id="rId4" Type="http://schemas.openxmlformats.org/officeDocument/2006/relationships/ctrlProp" Target="../ctrlProps/ctrlProp175.xml"/><Relationship Id="rId9" Type="http://schemas.openxmlformats.org/officeDocument/2006/relationships/ctrlProp" Target="../ctrlProps/ctrlProp180.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85.xml"/><Relationship Id="rId3" Type="http://schemas.openxmlformats.org/officeDocument/2006/relationships/vmlDrawing" Target="../drawings/vmlDrawing32.vml"/><Relationship Id="rId7" Type="http://schemas.openxmlformats.org/officeDocument/2006/relationships/ctrlProp" Target="../ctrlProps/ctrlProp184.x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trlProp" Target="../ctrlProps/ctrlProp183.xml"/><Relationship Id="rId5" Type="http://schemas.openxmlformats.org/officeDocument/2006/relationships/ctrlProp" Target="../ctrlProps/ctrlProp182.xml"/><Relationship Id="rId10" Type="http://schemas.openxmlformats.org/officeDocument/2006/relationships/comments" Target="../comments32.xml"/><Relationship Id="rId4" Type="http://schemas.openxmlformats.org/officeDocument/2006/relationships/ctrlProp" Target="../ctrlProps/ctrlProp181.xml"/><Relationship Id="rId9" Type="http://schemas.openxmlformats.org/officeDocument/2006/relationships/ctrlProp" Target="../ctrlProps/ctrlProp186.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191.xml"/><Relationship Id="rId3" Type="http://schemas.openxmlformats.org/officeDocument/2006/relationships/vmlDrawing" Target="../drawings/vmlDrawing33.vml"/><Relationship Id="rId7" Type="http://schemas.openxmlformats.org/officeDocument/2006/relationships/ctrlProp" Target="../ctrlProps/ctrlProp190.x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trlProp" Target="../ctrlProps/ctrlProp189.xml"/><Relationship Id="rId5" Type="http://schemas.openxmlformats.org/officeDocument/2006/relationships/ctrlProp" Target="../ctrlProps/ctrlProp188.xml"/><Relationship Id="rId10" Type="http://schemas.openxmlformats.org/officeDocument/2006/relationships/comments" Target="../comments33.xml"/><Relationship Id="rId4" Type="http://schemas.openxmlformats.org/officeDocument/2006/relationships/ctrlProp" Target="../ctrlProps/ctrlProp187.xml"/><Relationship Id="rId9" Type="http://schemas.openxmlformats.org/officeDocument/2006/relationships/ctrlProp" Target="../ctrlProps/ctrlProp192.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197.xml"/><Relationship Id="rId3" Type="http://schemas.openxmlformats.org/officeDocument/2006/relationships/vmlDrawing" Target="../drawings/vmlDrawing34.vml"/><Relationship Id="rId7" Type="http://schemas.openxmlformats.org/officeDocument/2006/relationships/ctrlProp" Target="../ctrlProps/ctrlProp196.x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trlProp" Target="../ctrlProps/ctrlProp195.xml"/><Relationship Id="rId5" Type="http://schemas.openxmlformats.org/officeDocument/2006/relationships/ctrlProp" Target="../ctrlProps/ctrlProp194.xml"/><Relationship Id="rId10" Type="http://schemas.openxmlformats.org/officeDocument/2006/relationships/comments" Target="../comments34.xml"/><Relationship Id="rId4" Type="http://schemas.openxmlformats.org/officeDocument/2006/relationships/ctrlProp" Target="../ctrlProps/ctrlProp193.xml"/><Relationship Id="rId9" Type="http://schemas.openxmlformats.org/officeDocument/2006/relationships/ctrlProp" Target="../ctrlProps/ctrlProp198.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203.xml"/><Relationship Id="rId3" Type="http://schemas.openxmlformats.org/officeDocument/2006/relationships/vmlDrawing" Target="../drawings/vmlDrawing35.vml"/><Relationship Id="rId7" Type="http://schemas.openxmlformats.org/officeDocument/2006/relationships/ctrlProp" Target="../ctrlProps/ctrlProp202.x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trlProp" Target="../ctrlProps/ctrlProp201.xml"/><Relationship Id="rId5" Type="http://schemas.openxmlformats.org/officeDocument/2006/relationships/ctrlProp" Target="../ctrlProps/ctrlProp200.xml"/><Relationship Id="rId10" Type="http://schemas.openxmlformats.org/officeDocument/2006/relationships/comments" Target="../comments35.xml"/><Relationship Id="rId4" Type="http://schemas.openxmlformats.org/officeDocument/2006/relationships/ctrlProp" Target="../ctrlProps/ctrlProp199.xml"/><Relationship Id="rId9" Type="http://schemas.openxmlformats.org/officeDocument/2006/relationships/ctrlProp" Target="../ctrlProps/ctrlProp204.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209.xml"/><Relationship Id="rId3" Type="http://schemas.openxmlformats.org/officeDocument/2006/relationships/vmlDrawing" Target="../drawings/vmlDrawing36.vml"/><Relationship Id="rId7" Type="http://schemas.openxmlformats.org/officeDocument/2006/relationships/ctrlProp" Target="../ctrlProps/ctrlProp208.x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trlProp" Target="../ctrlProps/ctrlProp207.xml"/><Relationship Id="rId5" Type="http://schemas.openxmlformats.org/officeDocument/2006/relationships/ctrlProp" Target="../ctrlProps/ctrlProp206.xml"/><Relationship Id="rId10" Type="http://schemas.openxmlformats.org/officeDocument/2006/relationships/comments" Target="../comments36.xml"/><Relationship Id="rId4" Type="http://schemas.openxmlformats.org/officeDocument/2006/relationships/ctrlProp" Target="../ctrlProps/ctrlProp205.xml"/><Relationship Id="rId9" Type="http://schemas.openxmlformats.org/officeDocument/2006/relationships/ctrlProp" Target="../ctrlProps/ctrlProp210.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215.xml"/><Relationship Id="rId3" Type="http://schemas.openxmlformats.org/officeDocument/2006/relationships/vmlDrawing" Target="../drawings/vmlDrawing37.vml"/><Relationship Id="rId7" Type="http://schemas.openxmlformats.org/officeDocument/2006/relationships/ctrlProp" Target="../ctrlProps/ctrlProp214.x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trlProp" Target="../ctrlProps/ctrlProp213.xml"/><Relationship Id="rId5" Type="http://schemas.openxmlformats.org/officeDocument/2006/relationships/ctrlProp" Target="../ctrlProps/ctrlProp212.xml"/><Relationship Id="rId10" Type="http://schemas.openxmlformats.org/officeDocument/2006/relationships/comments" Target="../comments37.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221.xml"/><Relationship Id="rId3" Type="http://schemas.openxmlformats.org/officeDocument/2006/relationships/vmlDrawing" Target="../drawings/vmlDrawing38.vml"/><Relationship Id="rId7" Type="http://schemas.openxmlformats.org/officeDocument/2006/relationships/ctrlProp" Target="../ctrlProps/ctrlProp220.x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trlProp" Target="../ctrlProps/ctrlProp219.xml"/><Relationship Id="rId5" Type="http://schemas.openxmlformats.org/officeDocument/2006/relationships/ctrlProp" Target="../ctrlProps/ctrlProp218.xml"/><Relationship Id="rId10" Type="http://schemas.openxmlformats.org/officeDocument/2006/relationships/comments" Target="../comments38.xml"/><Relationship Id="rId4" Type="http://schemas.openxmlformats.org/officeDocument/2006/relationships/ctrlProp" Target="../ctrlProps/ctrlProp217.xml"/><Relationship Id="rId9" Type="http://schemas.openxmlformats.org/officeDocument/2006/relationships/ctrlProp" Target="../ctrlProps/ctrlProp222.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27.xml"/><Relationship Id="rId3" Type="http://schemas.openxmlformats.org/officeDocument/2006/relationships/vmlDrawing" Target="../drawings/vmlDrawing39.vml"/><Relationship Id="rId7" Type="http://schemas.openxmlformats.org/officeDocument/2006/relationships/ctrlProp" Target="../ctrlProps/ctrlProp226.xml"/><Relationship Id="rId2" Type="http://schemas.openxmlformats.org/officeDocument/2006/relationships/drawing" Target="../drawings/drawing38.xml"/><Relationship Id="rId1" Type="http://schemas.openxmlformats.org/officeDocument/2006/relationships/printerSettings" Target="../printerSettings/printerSettings39.bin"/><Relationship Id="rId6" Type="http://schemas.openxmlformats.org/officeDocument/2006/relationships/ctrlProp" Target="../ctrlProps/ctrlProp225.xml"/><Relationship Id="rId5" Type="http://schemas.openxmlformats.org/officeDocument/2006/relationships/ctrlProp" Target="../ctrlProps/ctrlProp224.xml"/><Relationship Id="rId10" Type="http://schemas.openxmlformats.org/officeDocument/2006/relationships/comments" Target="../comments39.xml"/><Relationship Id="rId4" Type="http://schemas.openxmlformats.org/officeDocument/2006/relationships/ctrlProp" Target="../ctrlProps/ctrlProp223.xml"/><Relationship Id="rId9" Type="http://schemas.openxmlformats.org/officeDocument/2006/relationships/ctrlProp" Target="../ctrlProps/ctrlProp228.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233.xml"/><Relationship Id="rId3" Type="http://schemas.openxmlformats.org/officeDocument/2006/relationships/vmlDrawing" Target="../drawings/vmlDrawing40.vml"/><Relationship Id="rId7" Type="http://schemas.openxmlformats.org/officeDocument/2006/relationships/ctrlProp" Target="../ctrlProps/ctrlProp232.xml"/><Relationship Id="rId2" Type="http://schemas.openxmlformats.org/officeDocument/2006/relationships/drawing" Target="../drawings/drawing39.xml"/><Relationship Id="rId1" Type="http://schemas.openxmlformats.org/officeDocument/2006/relationships/printerSettings" Target="../printerSettings/printerSettings40.bin"/><Relationship Id="rId6" Type="http://schemas.openxmlformats.org/officeDocument/2006/relationships/ctrlProp" Target="../ctrlProps/ctrlProp231.xml"/><Relationship Id="rId5" Type="http://schemas.openxmlformats.org/officeDocument/2006/relationships/ctrlProp" Target="../ctrlProps/ctrlProp230.xml"/><Relationship Id="rId10" Type="http://schemas.openxmlformats.org/officeDocument/2006/relationships/comments" Target="../comments40.xml"/><Relationship Id="rId4" Type="http://schemas.openxmlformats.org/officeDocument/2006/relationships/ctrlProp" Target="../ctrlProps/ctrlProp229.xml"/><Relationship Id="rId9" Type="http://schemas.openxmlformats.org/officeDocument/2006/relationships/ctrlProp" Target="../ctrlProps/ctrlProp234.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239.xml"/><Relationship Id="rId3" Type="http://schemas.openxmlformats.org/officeDocument/2006/relationships/vmlDrawing" Target="../drawings/vmlDrawing41.vml"/><Relationship Id="rId7" Type="http://schemas.openxmlformats.org/officeDocument/2006/relationships/ctrlProp" Target="../ctrlProps/ctrlProp238.xml"/><Relationship Id="rId2" Type="http://schemas.openxmlformats.org/officeDocument/2006/relationships/drawing" Target="../drawings/drawing40.xml"/><Relationship Id="rId1" Type="http://schemas.openxmlformats.org/officeDocument/2006/relationships/printerSettings" Target="../printerSettings/printerSettings41.bin"/><Relationship Id="rId6" Type="http://schemas.openxmlformats.org/officeDocument/2006/relationships/ctrlProp" Target="../ctrlProps/ctrlProp237.xml"/><Relationship Id="rId5" Type="http://schemas.openxmlformats.org/officeDocument/2006/relationships/ctrlProp" Target="../ctrlProps/ctrlProp236.xml"/><Relationship Id="rId10" Type="http://schemas.openxmlformats.org/officeDocument/2006/relationships/comments" Target="../comments41.xml"/><Relationship Id="rId4" Type="http://schemas.openxmlformats.org/officeDocument/2006/relationships/ctrlProp" Target="../ctrlProps/ctrlProp235.xml"/><Relationship Id="rId9" Type="http://schemas.openxmlformats.org/officeDocument/2006/relationships/ctrlProp" Target="../ctrlProps/ctrlProp240.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245.xml"/><Relationship Id="rId3" Type="http://schemas.openxmlformats.org/officeDocument/2006/relationships/vmlDrawing" Target="../drawings/vmlDrawing42.vml"/><Relationship Id="rId7" Type="http://schemas.openxmlformats.org/officeDocument/2006/relationships/ctrlProp" Target="../ctrlProps/ctrlProp244.xml"/><Relationship Id="rId2" Type="http://schemas.openxmlformats.org/officeDocument/2006/relationships/drawing" Target="../drawings/drawing41.xml"/><Relationship Id="rId1" Type="http://schemas.openxmlformats.org/officeDocument/2006/relationships/printerSettings" Target="../printerSettings/printerSettings42.bin"/><Relationship Id="rId6" Type="http://schemas.openxmlformats.org/officeDocument/2006/relationships/ctrlProp" Target="../ctrlProps/ctrlProp243.xml"/><Relationship Id="rId5" Type="http://schemas.openxmlformats.org/officeDocument/2006/relationships/ctrlProp" Target="../ctrlProps/ctrlProp242.xml"/><Relationship Id="rId10" Type="http://schemas.openxmlformats.org/officeDocument/2006/relationships/comments" Target="../comments42.xml"/><Relationship Id="rId4" Type="http://schemas.openxmlformats.org/officeDocument/2006/relationships/ctrlProp" Target="../ctrlProps/ctrlProp241.xml"/><Relationship Id="rId9" Type="http://schemas.openxmlformats.org/officeDocument/2006/relationships/ctrlProp" Target="../ctrlProps/ctrlProp246.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251.xml"/><Relationship Id="rId3" Type="http://schemas.openxmlformats.org/officeDocument/2006/relationships/vmlDrawing" Target="../drawings/vmlDrawing43.vml"/><Relationship Id="rId7" Type="http://schemas.openxmlformats.org/officeDocument/2006/relationships/ctrlProp" Target="../ctrlProps/ctrlProp250.xml"/><Relationship Id="rId2" Type="http://schemas.openxmlformats.org/officeDocument/2006/relationships/drawing" Target="../drawings/drawing42.xml"/><Relationship Id="rId1" Type="http://schemas.openxmlformats.org/officeDocument/2006/relationships/printerSettings" Target="../printerSettings/printerSettings43.bin"/><Relationship Id="rId6" Type="http://schemas.openxmlformats.org/officeDocument/2006/relationships/ctrlProp" Target="../ctrlProps/ctrlProp249.xml"/><Relationship Id="rId5" Type="http://schemas.openxmlformats.org/officeDocument/2006/relationships/ctrlProp" Target="../ctrlProps/ctrlProp248.xml"/><Relationship Id="rId10" Type="http://schemas.openxmlformats.org/officeDocument/2006/relationships/comments" Target="../comments43.xml"/><Relationship Id="rId4" Type="http://schemas.openxmlformats.org/officeDocument/2006/relationships/ctrlProp" Target="../ctrlProps/ctrlProp247.xml"/><Relationship Id="rId9" Type="http://schemas.openxmlformats.org/officeDocument/2006/relationships/ctrlProp" Target="../ctrlProps/ctrlProp252.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257.xml"/><Relationship Id="rId3" Type="http://schemas.openxmlformats.org/officeDocument/2006/relationships/vmlDrawing" Target="../drawings/vmlDrawing44.vml"/><Relationship Id="rId7" Type="http://schemas.openxmlformats.org/officeDocument/2006/relationships/ctrlProp" Target="../ctrlProps/ctrlProp256.xml"/><Relationship Id="rId2" Type="http://schemas.openxmlformats.org/officeDocument/2006/relationships/drawing" Target="../drawings/drawing43.xml"/><Relationship Id="rId1" Type="http://schemas.openxmlformats.org/officeDocument/2006/relationships/printerSettings" Target="../printerSettings/printerSettings44.bin"/><Relationship Id="rId6" Type="http://schemas.openxmlformats.org/officeDocument/2006/relationships/ctrlProp" Target="../ctrlProps/ctrlProp255.xml"/><Relationship Id="rId5" Type="http://schemas.openxmlformats.org/officeDocument/2006/relationships/ctrlProp" Target="../ctrlProps/ctrlProp254.xml"/><Relationship Id="rId10" Type="http://schemas.openxmlformats.org/officeDocument/2006/relationships/comments" Target="../comments44.xml"/><Relationship Id="rId4" Type="http://schemas.openxmlformats.org/officeDocument/2006/relationships/ctrlProp" Target="../ctrlProps/ctrlProp253.xml"/><Relationship Id="rId9" Type="http://schemas.openxmlformats.org/officeDocument/2006/relationships/ctrlProp" Target="../ctrlProps/ctrlProp258.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263.xml"/><Relationship Id="rId3" Type="http://schemas.openxmlformats.org/officeDocument/2006/relationships/vmlDrawing" Target="../drawings/vmlDrawing45.vml"/><Relationship Id="rId7" Type="http://schemas.openxmlformats.org/officeDocument/2006/relationships/ctrlProp" Target="../ctrlProps/ctrlProp262.xml"/><Relationship Id="rId2" Type="http://schemas.openxmlformats.org/officeDocument/2006/relationships/drawing" Target="../drawings/drawing44.xml"/><Relationship Id="rId1" Type="http://schemas.openxmlformats.org/officeDocument/2006/relationships/printerSettings" Target="../printerSettings/printerSettings45.bin"/><Relationship Id="rId6" Type="http://schemas.openxmlformats.org/officeDocument/2006/relationships/ctrlProp" Target="../ctrlProps/ctrlProp261.xml"/><Relationship Id="rId5" Type="http://schemas.openxmlformats.org/officeDocument/2006/relationships/ctrlProp" Target="../ctrlProps/ctrlProp260.xml"/><Relationship Id="rId10" Type="http://schemas.openxmlformats.org/officeDocument/2006/relationships/comments" Target="../comments45.xml"/><Relationship Id="rId4" Type="http://schemas.openxmlformats.org/officeDocument/2006/relationships/ctrlProp" Target="../ctrlProps/ctrlProp259.xml"/><Relationship Id="rId9" Type="http://schemas.openxmlformats.org/officeDocument/2006/relationships/ctrlProp" Target="../ctrlProps/ctrlProp264.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269.xml"/><Relationship Id="rId3" Type="http://schemas.openxmlformats.org/officeDocument/2006/relationships/vmlDrawing" Target="../drawings/vmlDrawing46.vml"/><Relationship Id="rId7" Type="http://schemas.openxmlformats.org/officeDocument/2006/relationships/ctrlProp" Target="../ctrlProps/ctrlProp268.xml"/><Relationship Id="rId2" Type="http://schemas.openxmlformats.org/officeDocument/2006/relationships/drawing" Target="../drawings/drawing45.xml"/><Relationship Id="rId1" Type="http://schemas.openxmlformats.org/officeDocument/2006/relationships/printerSettings" Target="../printerSettings/printerSettings46.bin"/><Relationship Id="rId6" Type="http://schemas.openxmlformats.org/officeDocument/2006/relationships/ctrlProp" Target="../ctrlProps/ctrlProp267.xml"/><Relationship Id="rId5" Type="http://schemas.openxmlformats.org/officeDocument/2006/relationships/ctrlProp" Target="../ctrlProps/ctrlProp266.xml"/><Relationship Id="rId10" Type="http://schemas.openxmlformats.org/officeDocument/2006/relationships/comments" Target="../comments46.xml"/><Relationship Id="rId4" Type="http://schemas.openxmlformats.org/officeDocument/2006/relationships/ctrlProp" Target="../ctrlProps/ctrlProp265.xml"/><Relationship Id="rId9" Type="http://schemas.openxmlformats.org/officeDocument/2006/relationships/ctrlProp" Target="../ctrlProps/ctrlProp270.xml"/></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47.vml"/><Relationship Id="rId1" Type="http://schemas.openxmlformats.org/officeDocument/2006/relationships/drawing" Target="../drawings/drawing46.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275.xml"/><Relationship Id="rId3" Type="http://schemas.openxmlformats.org/officeDocument/2006/relationships/vmlDrawing" Target="../drawings/vmlDrawing48.vml"/><Relationship Id="rId7" Type="http://schemas.openxmlformats.org/officeDocument/2006/relationships/ctrlProp" Target="../ctrlProps/ctrlProp274.xml"/><Relationship Id="rId2" Type="http://schemas.openxmlformats.org/officeDocument/2006/relationships/drawing" Target="../drawings/drawing47.xml"/><Relationship Id="rId1" Type="http://schemas.openxmlformats.org/officeDocument/2006/relationships/printerSettings" Target="../printerSettings/printerSettings47.bin"/><Relationship Id="rId6" Type="http://schemas.openxmlformats.org/officeDocument/2006/relationships/ctrlProp" Target="../ctrlProps/ctrlProp273.xml"/><Relationship Id="rId5" Type="http://schemas.openxmlformats.org/officeDocument/2006/relationships/ctrlProp" Target="../ctrlProps/ctrlProp272.xml"/><Relationship Id="rId10" Type="http://schemas.openxmlformats.org/officeDocument/2006/relationships/comments" Target="../comments47.xml"/><Relationship Id="rId4" Type="http://schemas.openxmlformats.org/officeDocument/2006/relationships/ctrlProp" Target="../ctrlProps/ctrlProp271.xml"/><Relationship Id="rId9" Type="http://schemas.openxmlformats.org/officeDocument/2006/relationships/ctrlProp" Target="../ctrlProps/ctrlProp276.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9.v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72F3-90F7-483F-B918-ED38FDE1FA4F}">
  <sheetPr codeName="Sheet16">
    <pageSetUpPr fitToPage="1"/>
  </sheetPr>
  <dimension ref="A1:M53"/>
  <sheetViews>
    <sheetView showGridLines="0" tabSelected="1" zoomScaleNormal="100" workbookViewId="0">
      <pane ySplit="9" topLeftCell="A10" activePane="bottomLeft" state="frozen"/>
      <selection activeCell="A14" sqref="A14"/>
      <selection pane="bottomLeft" activeCell="D22" sqref="D22"/>
    </sheetView>
  </sheetViews>
  <sheetFormatPr defaultColWidth="9" defaultRowHeight="12"/>
  <cols>
    <col min="1" max="1" width="5" style="4" customWidth="1"/>
    <col min="2" max="3" width="28.7265625" style="4" customWidth="1"/>
    <col min="4" max="4" width="13.7265625" style="4" customWidth="1"/>
    <col min="5" max="6" width="10" style="4" customWidth="1"/>
    <col min="7" max="7" width="10" style="16" customWidth="1"/>
    <col min="8" max="8" width="8.984375E-2" style="58" customWidth="1"/>
    <col min="9" max="9" width="35" style="4" customWidth="1"/>
    <col min="10" max="10" width="8.6328125" style="4" customWidth="1"/>
    <col min="11" max="11" width="10.08984375" style="4" customWidth="1"/>
    <col min="12" max="12" width="8.6328125" style="4" customWidth="1"/>
    <col min="13" max="13" width="43.36328125" style="4" customWidth="1"/>
    <col min="14" max="16384" width="9" style="4"/>
  </cols>
  <sheetData>
    <row r="1" spans="1:13" ht="17.25" customHeight="1" thickBot="1">
      <c r="A1" s="1"/>
      <c r="B1" s="1"/>
      <c r="C1" s="1"/>
      <c r="D1" s="2"/>
      <c r="E1" s="33" t="s">
        <v>0</v>
      </c>
      <c r="F1" s="34" t="s">
        <v>1</v>
      </c>
      <c r="G1" s="155" t="s">
        <v>2</v>
      </c>
      <c r="H1" s="154"/>
    </row>
    <row r="2" spans="1:13" ht="14.5" customHeight="1">
      <c r="A2" s="244" t="s">
        <v>127</v>
      </c>
      <c r="B2" s="244"/>
      <c r="C2" s="244"/>
      <c r="D2" s="245"/>
      <c r="E2" s="8"/>
      <c r="F2" s="166"/>
      <c r="G2" s="156"/>
      <c r="H2" s="52"/>
    </row>
    <row r="3" spans="1:13" ht="14.25" customHeight="1">
      <c r="A3" s="35"/>
      <c r="B3" s="5"/>
      <c r="C3" s="5"/>
      <c r="D3" s="9"/>
      <c r="E3" s="143"/>
      <c r="F3" s="167"/>
      <c r="G3" s="157"/>
      <c r="H3" s="52"/>
    </row>
    <row r="4" spans="1:13" ht="14.5" customHeight="1">
      <c r="A4" s="246" t="s">
        <v>3</v>
      </c>
      <c r="B4" s="246"/>
      <c r="C4" s="246"/>
      <c r="D4" s="247"/>
      <c r="E4" s="144"/>
      <c r="F4" s="167"/>
      <c r="G4" s="158"/>
      <c r="H4" s="52"/>
    </row>
    <row r="5" spans="1:13" ht="14.5" customHeight="1" thickBot="1">
      <c r="A5" s="11"/>
      <c r="B5" s="153"/>
      <c r="C5" s="153"/>
      <c r="D5" s="9"/>
      <c r="E5" s="14"/>
      <c r="F5" s="168"/>
      <c r="G5" s="159"/>
      <c r="H5" s="53"/>
    </row>
    <row r="6" spans="1:13" ht="14.5" customHeight="1">
      <c r="A6" s="160" t="s">
        <v>4</v>
      </c>
      <c r="B6" s="60"/>
      <c r="C6" s="240" t="s">
        <v>65</v>
      </c>
      <c r="D6" s="240"/>
      <c r="E6" s="240"/>
      <c r="F6" s="240"/>
      <c r="G6" s="241"/>
      <c r="H6" s="151"/>
      <c r="I6" s="151"/>
    </row>
    <row r="7" spans="1:13" ht="15.75" customHeight="1" thickBot="1">
      <c r="A7" s="161" t="s">
        <v>126</v>
      </c>
      <c r="B7" s="103"/>
      <c r="C7" s="242"/>
      <c r="D7" s="242"/>
      <c r="E7" s="242"/>
      <c r="F7" s="242"/>
      <c r="G7" s="243"/>
      <c r="H7" s="151"/>
      <c r="I7" s="151"/>
    </row>
    <row r="8" spans="1:13" ht="7.5" customHeight="1" thickBot="1">
      <c r="A8" s="151"/>
      <c r="B8" s="151"/>
      <c r="C8" s="151"/>
      <c r="D8" s="151"/>
      <c r="E8" s="151"/>
      <c r="F8" s="151"/>
      <c r="G8" s="151"/>
      <c r="H8" s="151"/>
      <c r="I8" s="151"/>
      <c r="J8" s="151"/>
      <c r="K8" s="151"/>
      <c r="L8" s="151"/>
      <c r="M8" s="151"/>
    </row>
    <row r="9" spans="1:13" ht="32.25" customHeight="1">
      <c r="A9" s="163" t="s">
        <v>128</v>
      </c>
      <c r="B9" s="101" t="s">
        <v>123</v>
      </c>
      <c r="C9" s="60" t="s">
        <v>124</v>
      </c>
      <c r="D9" s="60" t="s">
        <v>125</v>
      </c>
      <c r="E9" s="248" t="s">
        <v>129</v>
      </c>
      <c r="F9" s="249"/>
      <c r="G9" s="249"/>
      <c r="H9" s="249"/>
      <c r="I9" s="250"/>
    </row>
    <row r="10" spans="1:13" ht="15.75" customHeight="1">
      <c r="A10" s="162">
        <f>ROW()-9</f>
        <v>1</v>
      </c>
      <c r="B10" s="145"/>
      <c r="C10" s="150" t="s">
        <v>184</v>
      </c>
      <c r="D10" s="169" t="s">
        <v>185</v>
      </c>
      <c r="E10" s="237" t="s">
        <v>186</v>
      </c>
      <c r="F10" s="238"/>
      <c r="G10" s="238"/>
      <c r="H10" s="238"/>
      <c r="I10" s="239"/>
    </row>
    <row r="11" spans="1:13" ht="14">
      <c r="A11" s="162">
        <f>ROW()-9</f>
        <v>2</v>
      </c>
      <c r="B11" s="145"/>
      <c r="C11" s="150" t="s">
        <v>261</v>
      </c>
      <c r="D11" s="169" t="s">
        <v>185</v>
      </c>
      <c r="E11" s="237" t="s">
        <v>262</v>
      </c>
      <c r="F11" s="238"/>
      <c r="G11" s="238"/>
      <c r="H11" s="238"/>
      <c r="I11" s="239"/>
    </row>
    <row r="12" spans="1:13" ht="14">
      <c r="A12" s="162">
        <f>ROW()-9</f>
        <v>3</v>
      </c>
      <c r="B12" s="145"/>
      <c r="C12" s="150" t="s">
        <v>278</v>
      </c>
      <c r="D12" s="169" t="s">
        <v>185</v>
      </c>
      <c r="E12" s="237" t="s">
        <v>279</v>
      </c>
      <c r="F12" s="238"/>
      <c r="G12" s="238"/>
      <c r="H12" s="238"/>
      <c r="I12" s="239"/>
    </row>
    <row r="13" spans="1:13" ht="14">
      <c r="A13" s="162">
        <f>ROW()-9</f>
        <v>4</v>
      </c>
      <c r="B13" s="145"/>
      <c r="C13" s="150" t="s">
        <v>291</v>
      </c>
      <c r="D13" s="169" t="s">
        <v>185</v>
      </c>
      <c r="E13" s="237" t="s">
        <v>292</v>
      </c>
      <c r="F13" s="238"/>
      <c r="G13" s="238"/>
      <c r="H13" s="238"/>
      <c r="I13" s="239"/>
    </row>
    <row r="14" spans="1:13" ht="14">
      <c r="A14" s="162">
        <f>ROW()-9</f>
        <v>5</v>
      </c>
      <c r="B14" s="145"/>
      <c r="C14" s="150" t="s">
        <v>308</v>
      </c>
      <c r="D14" s="169" t="s">
        <v>185</v>
      </c>
      <c r="E14" s="237" t="s">
        <v>309</v>
      </c>
      <c r="F14" s="238"/>
      <c r="G14" s="238"/>
      <c r="H14" s="238"/>
      <c r="I14" s="239"/>
    </row>
    <row r="15" spans="1:13" ht="14">
      <c r="A15" s="162">
        <f>ROW()-9</f>
        <v>6</v>
      </c>
      <c r="B15" s="145"/>
      <c r="C15" s="150" t="s">
        <v>316</v>
      </c>
      <c r="D15" s="169" t="s">
        <v>317</v>
      </c>
      <c r="E15" s="237" t="s">
        <v>318</v>
      </c>
      <c r="F15" s="238"/>
      <c r="G15" s="238"/>
      <c r="H15" s="238"/>
      <c r="I15" s="239"/>
    </row>
    <row r="16" spans="1:13" ht="14">
      <c r="A16" s="162">
        <f>ROW()-9</f>
        <v>7</v>
      </c>
      <c r="B16" s="145"/>
      <c r="C16" s="150" t="s">
        <v>341</v>
      </c>
      <c r="D16" s="169" t="s">
        <v>317</v>
      </c>
      <c r="E16" s="237" t="s">
        <v>342</v>
      </c>
      <c r="F16" s="238"/>
      <c r="G16" s="238"/>
      <c r="H16" s="238"/>
      <c r="I16" s="239"/>
    </row>
    <row r="17" spans="1:9" ht="14">
      <c r="A17" s="162">
        <f>ROW()-9</f>
        <v>8</v>
      </c>
      <c r="B17" s="145"/>
      <c r="C17" s="150" t="s">
        <v>351</v>
      </c>
      <c r="D17" s="169" t="s">
        <v>317</v>
      </c>
      <c r="E17" s="237" t="s">
        <v>352</v>
      </c>
      <c r="F17" s="238"/>
      <c r="G17" s="238"/>
      <c r="H17" s="238"/>
      <c r="I17" s="239"/>
    </row>
    <row r="18" spans="1:9" ht="14">
      <c r="A18" s="162">
        <f>ROW()-9</f>
        <v>9</v>
      </c>
      <c r="B18" s="145"/>
      <c r="C18" s="150" t="s">
        <v>358</v>
      </c>
      <c r="D18" s="169" t="s">
        <v>317</v>
      </c>
      <c r="E18" s="237" t="s">
        <v>359</v>
      </c>
      <c r="F18" s="238"/>
      <c r="G18" s="238"/>
      <c r="H18" s="238"/>
      <c r="I18" s="239"/>
    </row>
    <row r="19" spans="1:9" ht="14">
      <c r="A19" s="162">
        <f>ROW()-9</f>
        <v>10</v>
      </c>
      <c r="B19" s="145"/>
      <c r="C19" s="150" t="s">
        <v>374</v>
      </c>
      <c r="D19" s="169" t="s">
        <v>317</v>
      </c>
      <c r="E19" s="237" t="s">
        <v>375</v>
      </c>
      <c r="F19" s="238"/>
      <c r="G19" s="238"/>
      <c r="H19" s="238"/>
      <c r="I19" s="239"/>
    </row>
    <row r="20" spans="1:9" ht="14">
      <c r="A20" s="162">
        <f>ROW()-9</f>
        <v>11</v>
      </c>
      <c r="B20" s="145"/>
      <c r="C20" s="150" t="s">
        <v>378</v>
      </c>
      <c r="D20" s="169" t="s">
        <v>379</v>
      </c>
      <c r="E20" s="237" t="s">
        <v>380</v>
      </c>
      <c r="F20" s="238"/>
      <c r="G20" s="238"/>
      <c r="H20" s="238"/>
      <c r="I20" s="239"/>
    </row>
    <row r="21" spans="1:9" ht="14">
      <c r="A21" s="162">
        <f>ROW()-9</f>
        <v>12</v>
      </c>
      <c r="B21" s="145"/>
      <c r="C21" s="150" t="s">
        <v>392</v>
      </c>
      <c r="D21" s="169" t="s">
        <v>379</v>
      </c>
      <c r="E21" s="237" t="s">
        <v>393</v>
      </c>
      <c r="F21" s="238"/>
      <c r="G21" s="238"/>
      <c r="H21" s="238"/>
      <c r="I21" s="239"/>
    </row>
    <row r="22" spans="1:9" ht="14">
      <c r="A22" s="162">
        <f>ROW()-9</f>
        <v>13</v>
      </c>
      <c r="B22" s="145"/>
      <c r="C22" s="150" t="s">
        <v>395</v>
      </c>
      <c r="D22" s="169" t="s">
        <v>396</v>
      </c>
      <c r="E22" s="237" t="s">
        <v>397</v>
      </c>
      <c r="F22" s="238"/>
      <c r="G22" s="238"/>
      <c r="H22" s="238"/>
      <c r="I22" s="239"/>
    </row>
    <row r="23" spans="1:9" ht="14">
      <c r="A23" s="162">
        <f>ROW()-9</f>
        <v>14</v>
      </c>
      <c r="B23" s="145"/>
      <c r="C23" s="150" t="s">
        <v>406</v>
      </c>
      <c r="D23" s="169" t="s">
        <v>396</v>
      </c>
      <c r="E23" s="237" t="s">
        <v>407</v>
      </c>
      <c r="F23" s="238"/>
      <c r="G23" s="238"/>
      <c r="H23" s="238"/>
      <c r="I23" s="239"/>
    </row>
    <row r="24" spans="1:9" ht="14">
      <c r="A24" s="162">
        <f>ROW()-9</f>
        <v>15</v>
      </c>
      <c r="B24" s="145"/>
      <c r="C24" s="150" t="s">
        <v>417</v>
      </c>
      <c r="D24" s="169" t="s">
        <v>418</v>
      </c>
      <c r="E24" s="237" t="s">
        <v>419</v>
      </c>
      <c r="F24" s="238"/>
      <c r="G24" s="238"/>
      <c r="H24" s="238"/>
      <c r="I24" s="239"/>
    </row>
    <row r="25" spans="1:9" ht="14">
      <c r="A25" s="162">
        <f>ROW()-9</f>
        <v>16</v>
      </c>
      <c r="B25" s="145"/>
      <c r="C25" s="150" t="s">
        <v>426</v>
      </c>
      <c r="D25" s="169" t="s">
        <v>418</v>
      </c>
      <c r="E25" s="237" t="s">
        <v>427</v>
      </c>
      <c r="F25" s="238"/>
      <c r="G25" s="238"/>
      <c r="H25" s="238"/>
      <c r="I25" s="239"/>
    </row>
    <row r="26" spans="1:9" ht="14">
      <c r="A26" s="162">
        <f>ROW()-9</f>
        <v>17</v>
      </c>
      <c r="B26" s="145"/>
      <c r="C26" s="150" t="s">
        <v>443</v>
      </c>
      <c r="D26" s="169" t="s">
        <v>444</v>
      </c>
      <c r="E26" s="237" t="s">
        <v>445</v>
      </c>
      <c r="F26" s="238"/>
      <c r="G26" s="238"/>
      <c r="H26" s="238"/>
      <c r="I26" s="239"/>
    </row>
    <row r="27" spans="1:9" ht="14">
      <c r="A27" s="162">
        <f>ROW()-9</f>
        <v>18</v>
      </c>
      <c r="B27" s="145"/>
      <c r="C27" s="150" t="s">
        <v>453</v>
      </c>
      <c r="D27" s="169" t="s">
        <v>444</v>
      </c>
      <c r="E27" s="237" t="s">
        <v>454</v>
      </c>
      <c r="F27" s="238"/>
      <c r="G27" s="238"/>
      <c r="H27" s="238"/>
      <c r="I27" s="239"/>
    </row>
    <row r="28" spans="1:9" ht="14">
      <c r="A28" s="162">
        <f>ROW()-9</f>
        <v>19</v>
      </c>
      <c r="B28" s="145"/>
      <c r="C28" s="150" t="s">
        <v>463</v>
      </c>
      <c r="D28" s="169" t="s">
        <v>444</v>
      </c>
      <c r="E28" s="237" t="s">
        <v>464</v>
      </c>
      <c r="F28" s="238"/>
      <c r="G28" s="238"/>
      <c r="H28" s="238"/>
      <c r="I28" s="239"/>
    </row>
    <row r="29" spans="1:9" ht="14">
      <c r="A29" s="162">
        <f>ROW()-9</f>
        <v>20</v>
      </c>
      <c r="B29" s="145"/>
      <c r="C29" s="150" t="s">
        <v>466</v>
      </c>
      <c r="D29" s="169" t="s">
        <v>467</v>
      </c>
      <c r="E29" s="237" t="s">
        <v>468</v>
      </c>
      <c r="F29" s="238"/>
      <c r="G29" s="238"/>
      <c r="H29" s="238"/>
      <c r="I29" s="239"/>
    </row>
    <row r="30" spans="1:9" ht="14">
      <c r="A30" s="162">
        <f>ROW()-9</f>
        <v>21</v>
      </c>
      <c r="B30" s="145"/>
      <c r="C30" s="150" t="s">
        <v>535</v>
      </c>
      <c r="D30" s="169" t="s">
        <v>467</v>
      </c>
      <c r="E30" s="237" t="s">
        <v>536</v>
      </c>
      <c r="F30" s="238"/>
      <c r="G30" s="238"/>
      <c r="H30" s="238"/>
      <c r="I30" s="239"/>
    </row>
    <row r="31" spans="1:9" ht="14">
      <c r="A31" s="162">
        <f>ROW()-9</f>
        <v>22</v>
      </c>
      <c r="B31" s="145"/>
      <c r="C31" s="150" t="s">
        <v>551</v>
      </c>
      <c r="D31" s="169" t="s">
        <v>467</v>
      </c>
      <c r="E31" s="237" t="s">
        <v>552</v>
      </c>
      <c r="F31" s="238"/>
      <c r="G31" s="238"/>
      <c r="H31" s="238"/>
      <c r="I31" s="239"/>
    </row>
    <row r="32" spans="1:9" ht="14">
      <c r="A32" s="162">
        <f>ROW()-9</f>
        <v>23</v>
      </c>
      <c r="B32" s="145"/>
      <c r="C32" s="150" t="s">
        <v>555</v>
      </c>
      <c r="D32" s="169" t="s">
        <v>467</v>
      </c>
      <c r="E32" s="237" t="s">
        <v>556</v>
      </c>
      <c r="F32" s="238"/>
      <c r="G32" s="238"/>
      <c r="H32" s="238"/>
      <c r="I32" s="239"/>
    </row>
    <row r="33" spans="1:9" ht="14">
      <c r="A33" s="162">
        <f>ROW()-9</f>
        <v>24</v>
      </c>
      <c r="B33" s="145"/>
      <c r="C33" s="150" t="s">
        <v>560</v>
      </c>
      <c r="D33" s="169" t="s">
        <v>467</v>
      </c>
      <c r="E33" s="237" t="s">
        <v>561</v>
      </c>
      <c r="F33" s="238"/>
      <c r="G33" s="238"/>
      <c r="H33" s="238"/>
      <c r="I33" s="239"/>
    </row>
    <row r="34" spans="1:9" ht="14">
      <c r="A34" s="162">
        <f>ROW()-9</f>
        <v>25</v>
      </c>
      <c r="B34" s="145"/>
      <c r="C34" s="150" t="s">
        <v>566</v>
      </c>
      <c r="D34" s="169" t="s">
        <v>467</v>
      </c>
      <c r="E34" s="237" t="s">
        <v>567</v>
      </c>
      <c r="F34" s="238"/>
      <c r="G34" s="238"/>
      <c r="H34" s="238"/>
      <c r="I34" s="239"/>
    </row>
    <row r="35" spans="1:9" ht="14">
      <c r="A35" s="162">
        <f>ROW()-9</f>
        <v>26</v>
      </c>
      <c r="B35" s="145"/>
      <c r="C35" s="150" t="s">
        <v>572</v>
      </c>
      <c r="D35" s="169" t="s">
        <v>467</v>
      </c>
      <c r="E35" s="237" t="s">
        <v>573</v>
      </c>
      <c r="F35" s="238"/>
      <c r="G35" s="238"/>
      <c r="H35" s="238"/>
      <c r="I35" s="239"/>
    </row>
    <row r="36" spans="1:9" ht="14">
      <c r="A36" s="162">
        <f>ROW()-9</f>
        <v>27</v>
      </c>
      <c r="B36" s="145"/>
      <c r="C36" s="150" t="s">
        <v>579</v>
      </c>
      <c r="D36" s="169" t="s">
        <v>467</v>
      </c>
      <c r="E36" s="237" t="s">
        <v>580</v>
      </c>
      <c r="F36" s="238"/>
      <c r="G36" s="238"/>
      <c r="H36" s="238"/>
      <c r="I36" s="239"/>
    </row>
    <row r="37" spans="1:9" ht="14">
      <c r="A37" s="162">
        <f>ROW()-9</f>
        <v>28</v>
      </c>
      <c r="B37" s="145"/>
      <c r="C37" s="150" t="s">
        <v>584</v>
      </c>
      <c r="D37" s="169" t="s">
        <v>467</v>
      </c>
      <c r="E37" s="237" t="s">
        <v>585</v>
      </c>
      <c r="F37" s="238"/>
      <c r="G37" s="238"/>
      <c r="H37" s="238"/>
      <c r="I37" s="239"/>
    </row>
    <row r="38" spans="1:9" ht="14">
      <c r="A38" s="162">
        <f>ROW()-9</f>
        <v>29</v>
      </c>
      <c r="B38" s="145"/>
      <c r="C38" s="150" t="s">
        <v>589</v>
      </c>
      <c r="D38" s="169" t="s">
        <v>467</v>
      </c>
      <c r="E38" s="237" t="s">
        <v>580</v>
      </c>
      <c r="F38" s="238"/>
      <c r="G38" s="238"/>
      <c r="H38" s="238"/>
      <c r="I38" s="239"/>
    </row>
    <row r="39" spans="1:9" ht="14">
      <c r="A39" s="162">
        <f>ROW()-9</f>
        <v>30</v>
      </c>
      <c r="B39" s="145"/>
      <c r="C39" s="150" t="s">
        <v>590</v>
      </c>
      <c r="D39" s="169" t="s">
        <v>467</v>
      </c>
      <c r="E39" s="237" t="s">
        <v>591</v>
      </c>
      <c r="F39" s="238"/>
      <c r="G39" s="238"/>
      <c r="H39" s="238"/>
      <c r="I39" s="239"/>
    </row>
    <row r="40" spans="1:9" ht="14">
      <c r="A40" s="162">
        <f>ROW()-9</f>
        <v>31</v>
      </c>
      <c r="B40" s="145"/>
      <c r="C40" s="150" t="s">
        <v>607</v>
      </c>
      <c r="D40" s="169" t="s">
        <v>467</v>
      </c>
      <c r="E40" s="237" t="s">
        <v>608</v>
      </c>
      <c r="F40" s="238"/>
      <c r="G40" s="238"/>
      <c r="H40" s="238"/>
      <c r="I40" s="239"/>
    </row>
    <row r="41" spans="1:9" ht="14">
      <c r="A41" s="162">
        <f>ROW()-9</f>
        <v>32</v>
      </c>
      <c r="B41" s="145"/>
      <c r="C41" s="150" t="s">
        <v>616</v>
      </c>
      <c r="D41" s="169" t="s">
        <v>467</v>
      </c>
      <c r="E41" s="237" t="s">
        <v>617</v>
      </c>
      <c r="F41" s="238"/>
      <c r="G41" s="238"/>
      <c r="H41" s="238"/>
      <c r="I41" s="239"/>
    </row>
    <row r="42" spans="1:9" ht="14">
      <c r="A42" s="162">
        <f>ROW()-9</f>
        <v>33</v>
      </c>
      <c r="B42" s="145"/>
      <c r="C42" s="150" t="s">
        <v>621</v>
      </c>
      <c r="D42" s="169" t="s">
        <v>467</v>
      </c>
      <c r="E42" s="237" t="s">
        <v>622</v>
      </c>
      <c r="F42" s="238"/>
      <c r="G42" s="238"/>
      <c r="H42" s="238"/>
      <c r="I42" s="239"/>
    </row>
    <row r="43" spans="1:9" ht="14">
      <c r="A43" s="162">
        <f>ROW()-9</f>
        <v>34</v>
      </c>
      <c r="B43" s="145"/>
      <c r="C43" s="150" t="s">
        <v>633</v>
      </c>
      <c r="D43" s="169" t="s">
        <v>467</v>
      </c>
      <c r="E43" s="237" t="s">
        <v>634</v>
      </c>
      <c r="F43" s="238"/>
      <c r="G43" s="238"/>
      <c r="H43" s="238"/>
      <c r="I43" s="239"/>
    </row>
    <row r="44" spans="1:9" ht="14">
      <c r="A44" s="162">
        <f>ROW()-9</f>
        <v>35</v>
      </c>
      <c r="B44" s="145"/>
      <c r="C44" s="150" t="s">
        <v>644</v>
      </c>
      <c r="D44" s="169" t="s">
        <v>467</v>
      </c>
      <c r="E44" s="237" t="s">
        <v>645</v>
      </c>
      <c r="F44" s="238"/>
      <c r="G44" s="238"/>
      <c r="H44" s="238"/>
      <c r="I44" s="239"/>
    </row>
    <row r="45" spans="1:9" ht="14">
      <c r="A45" s="162">
        <f>ROW()-9</f>
        <v>36</v>
      </c>
      <c r="B45" s="145"/>
      <c r="C45" s="150" t="s">
        <v>647</v>
      </c>
      <c r="D45" s="169" t="s">
        <v>467</v>
      </c>
      <c r="E45" s="237" t="s">
        <v>648</v>
      </c>
      <c r="F45" s="238"/>
      <c r="G45" s="238"/>
      <c r="H45" s="238"/>
      <c r="I45" s="239"/>
    </row>
    <row r="46" spans="1:9" ht="14">
      <c r="A46" s="162">
        <f>ROW()-9</f>
        <v>37</v>
      </c>
      <c r="B46" s="145"/>
      <c r="C46" s="150" t="s">
        <v>652</v>
      </c>
      <c r="D46" s="169" t="s">
        <v>467</v>
      </c>
      <c r="E46" s="237" t="s">
        <v>653</v>
      </c>
      <c r="F46" s="238"/>
      <c r="G46" s="238"/>
      <c r="H46" s="238"/>
      <c r="I46" s="239"/>
    </row>
    <row r="47" spans="1:9" ht="14">
      <c r="A47" s="162">
        <f>ROW()-9</f>
        <v>38</v>
      </c>
      <c r="B47" s="145"/>
      <c r="C47" s="150" t="s">
        <v>660</v>
      </c>
      <c r="D47" s="169" t="s">
        <v>467</v>
      </c>
      <c r="E47" s="237" t="s">
        <v>661</v>
      </c>
      <c r="F47" s="238"/>
      <c r="G47" s="238"/>
      <c r="H47" s="238"/>
      <c r="I47" s="239"/>
    </row>
    <row r="48" spans="1:9" ht="14">
      <c r="A48" s="162">
        <f>ROW()-9</f>
        <v>39</v>
      </c>
      <c r="B48" s="145"/>
      <c r="C48" s="150" t="s">
        <v>665</v>
      </c>
      <c r="D48" s="169" t="s">
        <v>467</v>
      </c>
      <c r="E48" s="237" t="s">
        <v>666</v>
      </c>
      <c r="F48" s="238"/>
      <c r="G48" s="238"/>
      <c r="H48" s="238"/>
      <c r="I48" s="239"/>
    </row>
    <row r="49" spans="1:9" ht="14">
      <c r="A49" s="162">
        <f>ROW()-9</f>
        <v>40</v>
      </c>
      <c r="B49" s="145"/>
      <c r="C49" s="150" t="s">
        <v>668</v>
      </c>
      <c r="D49" s="169" t="s">
        <v>467</v>
      </c>
      <c r="E49" s="237" t="s">
        <v>669</v>
      </c>
      <c r="F49" s="238"/>
      <c r="G49" s="238"/>
      <c r="H49" s="238"/>
      <c r="I49" s="239"/>
    </row>
    <row r="50" spans="1:9" ht="14">
      <c r="A50" s="162">
        <f>ROW()-9</f>
        <v>41</v>
      </c>
      <c r="B50" s="145"/>
      <c r="C50" s="150" t="s">
        <v>672</v>
      </c>
      <c r="D50" s="169" t="s">
        <v>467</v>
      </c>
      <c r="E50" s="237" t="s">
        <v>673</v>
      </c>
      <c r="F50" s="238"/>
      <c r="G50" s="238"/>
      <c r="H50" s="238"/>
      <c r="I50" s="239"/>
    </row>
    <row r="51" spans="1:9" ht="14">
      <c r="A51" s="162">
        <f>ROW()-9</f>
        <v>42</v>
      </c>
      <c r="B51" s="145"/>
      <c r="C51" s="150" t="s">
        <v>679</v>
      </c>
      <c r="D51" s="169" t="s">
        <v>467</v>
      </c>
      <c r="E51" s="237" t="s">
        <v>680</v>
      </c>
      <c r="F51" s="238"/>
      <c r="G51" s="238"/>
      <c r="H51" s="238"/>
      <c r="I51" s="239"/>
    </row>
    <row r="52" spans="1:9" ht="14">
      <c r="A52" s="162">
        <f>ROW()-9</f>
        <v>43</v>
      </c>
      <c r="B52" s="145"/>
      <c r="C52" s="150" t="s">
        <v>685</v>
      </c>
      <c r="D52" s="169" t="s">
        <v>467</v>
      </c>
      <c r="E52" s="237" t="s">
        <v>686</v>
      </c>
      <c r="F52" s="238"/>
      <c r="G52" s="238"/>
      <c r="H52" s="238"/>
      <c r="I52" s="239"/>
    </row>
    <row r="53" spans="1:9" ht="14">
      <c r="A53" s="162">
        <f>ROW()-9</f>
        <v>44</v>
      </c>
      <c r="B53" s="145"/>
      <c r="C53" s="150" t="s">
        <v>691</v>
      </c>
      <c r="D53" s="169" t="s">
        <v>467</v>
      </c>
      <c r="E53" s="237" t="s">
        <v>692</v>
      </c>
      <c r="F53" s="238"/>
      <c r="G53" s="238"/>
      <c r="H53" s="238"/>
      <c r="I53" s="239"/>
    </row>
  </sheetData>
  <mergeCells count="49">
    <mergeCell ref="E53:I53"/>
    <mergeCell ref="E47:I47"/>
    <mergeCell ref="E48:I48"/>
    <mergeCell ref="E49:I49"/>
    <mergeCell ref="E50:I50"/>
    <mergeCell ref="E51:I51"/>
    <mergeCell ref="E52:I52"/>
    <mergeCell ref="E41:I41"/>
    <mergeCell ref="E42:I42"/>
    <mergeCell ref="E43:I43"/>
    <mergeCell ref="E44:I44"/>
    <mergeCell ref="E45:I45"/>
    <mergeCell ref="E46:I46"/>
    <mergeCell ref="E35:I35"/>
    <mergeCell ref="E36:I36"/>
    <mergeCell ref="E37:I37"/>
    <mergeCell ref="E38:I38"/>
    <mergeCell ref="E39:I39"/>
    <mergeCell ref="E40:I40"/>
    <mergeCell ref="E29:I29"/>
    <mergeCell ref="E30:I30"/>
    <mergeCell ref="E31:I31"/>
    <mergeCell ref="E32:I32"/>
    <mergeCell ref="E33:I33"/>
    <mergeCell ref="E34:I34"/>
    <mergeCell ref="E23:I23"/>
    <mergeCell ref="E24:I24"/>
    <mergeCell ref="E25:I25"/>
    <mergeCell ref="E26:I26"/>
    <mergeCell ref="E27:I27"/>
    <mergeCell ref="E28:I28"/>
    <mergeCell ref="E17:I17"/>
    <mergeCell ref="E18:I18"/>
    <mergeCell ref="E19:I19"/>
    <mergeCell ref="E20:I20"/>
    <mergeCell ref="E21:I21"/>
    <mergeCell ref="E22:I22"/>
    <mergeCell ref="E11:I11"/>
    <mergeCell ref="E12:I12"/>
    <mergeCell ref="E13:I13"/>
    <mergeCell ref="E14:I14"/>
    <mergeCell ref="E15:I15"/>
    <mergeCell ref="E16:I16"/>
    <mergeCell ref="A2:D2"/>
    <mergeCell ref="A4:D4"/>
    <mergeCell ref="C6:G6"/>
    <mergeCell ref="C7:G7"/>
    <mergeCell ref="E9:I9"/>
    <mergeCell ref="E10:I10"/>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93921-B487-412A-AC5B-6480951F949E}">
  <sheetPr codeName="Sheet17">
    <pageSetUpPr fitToPage="1"/>
  </sheetPr>
  <dimension ref="A1:U52"/>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186</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131</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t="s">
        <v>183</v>
      </c>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SUM(N14:N53)</f>
        <v>186</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t="s">
        <v>188</v>
      </c>
      <c r="G14" s="17"/>
      <c r="H14" s="18" t="s">
        <v>49</v>
      </c>
      <c r="I14" s="59"/>
      <c r="J14" s="19">
        <v>1</v>
      </c>
      <c r="K14" s="19"/>
      <c r="L14" s="50" t="s">
        <v>189</v>
      </c>
      <c r="M14" s="73" t="s">
        <v>21</v>
      </c>
      <c r="N14" s="54">
        <f t="shared" ref="N14:N51" si="0">IF(H14="NUMBER",IF(J14&gt;0,INT((J14+1)/2+0.9),0),IF(H14="DATE",7,IF(OR(H14="LONG",H14="LONG RAW"),100000,J14)))</f>
        <v>1</v>
      </c>
      <c r="O14" s="170"/>
      <c r="P14" s="191" t="s">
        <v>175</v>
      </c>
      <c r="Q14" s="192"/>
      <c r="R14" s="192"/>
      <c r="S14" s="192"/>
      <c r="T14" s="192"/>
      <c r="U14" s="193"/>
    </row>
    <row r="15" spans="1:21" ht="15.75" customHeight="1">
      <c r="A15" s="85" t="s">
        <v>190</v>
      </c>
      <c r="B15" s="37">
        <f>ROW()-13</f>
        <v>2</v>
      </c>
      <c r="C15" s="145" t="s">
        <v>191</v>
      </c>
      <c r="D15" s="80"/>
      <c r="E15" s="81"/>
      <c r="F15" s="146" t="s">
        <v>192</v>
      </c>
      <c r="G15" s="17"/>
      <c r="H15" s="18" t="s">
        <v>49</v>
      </c>
      <c r="I15" s="59"/>
      <c r="J15" s="19">
        <v>7</v>
      </c>
      <c r="K15" s="19"/>
      <c r="L15" s="50" t="s">
        <v>189</v>
      </c>
      <c r="M15" s="73" t="s">
        <v>21</v>
      </c>
      <c r="N15" s="54">
        <f t="shared" si="0"/>
        <v>7</v>
      </c>
      <c r="O15" s="170"/>
      <c r="P15" s="191"/>
      <c r="Q15" s="192"/>
      <c r="R15" s="192"/>
      <c r="S15" s="192"/>
      <c r="T15" s="192"/>
      <c r="U15" s="193"/>
    </row>
    <row r="16" spans="1:21" ht="15.75" customHeight="1">
      <c r="A16" s="85"/>
      <c r="B16" s="37">
        <f>ROW()-13</f>
        <v>3</v>
      </c>
      <c r="C16" s="145" t="s">
        <v>193</v>
      </c>
      <c r="D16" s="80"/>
      <c r="E16" s="81"/>
      <c r="F16" s="146" t="s">
        <v>194</v>
      </c>
      <c r="G16" s="17"/>
      <c r="H16" s="18" t="s">
        <v>49</v>
      </c>
      <c r="I16" s="59"/>
      <c r="J16" s="19">
        <v>2</v>
      </c>
      <c r="K16" s="19"/>
      <c r="L16" s="50"/>
      <c r="M16" s="73" t="s">
        <v>21</v>
      </c>
      <c r="N16" s="54">
        <f t="shared" si="0"/>
        <v>2</v>
      </c>
      <c r="O16" s="170"/>
      <c r="P16" s="191" t="s">
        <v>162</v>
      </c>
      <c r="Q16" s="192"/>
      <c r="R16" s="192"/>
      <c r="S16" s="192"/>
      <c r="T16" s="192"/>
      <c r="U16" s="193"/>
    </row>
    <row r="17" spans="1:21" ht="15.75" customHeight="1">
      <c r="A17" s="85"/>
      <c r="B17" s="37">
        <f>ROW()-13</f>
        <v>4</v>
      </c>
      <c r="C17" s="145" t="s">
        <v>195</v>
      </c>
      <c r="D17" s="80"/>
      <c r="E17" s="81"/>
      <c r="F17" s="146" t="s">
        <v>196</v>
      </c>
      <c r="G17" s="17"/>
      <c r="H17" s="18" t="s">
        <v>49</v>
      </c>
      <c r="I17" s="59"/>
      <c r="J17" s="19">
        <v>12</v>
      </c>
      <c r="K17" s="19"/>
      <c r="L17" s="50"/>
      <c r="M17" s="73" t="s">
        <v>21</v>
      </c>
      <c r="N17" s="54">
        <f t="shared" si="0"/>
        <v>12</v>
      </c>
      <c r="O17" s="170"/>
      <c r="P17" s="191"/>
      <c r="Q17" s="192"/>
      <c r="R17" s="192"/>
      <c r="S17" s="192"/>
      <c r="T17" s="192"/>
      <c r="U17" s="193"/>
    </row>
    <row r="18" spans="1:21" ht="15.75" customHeight="1">
      <c r="A18" s="85"/>
      <c r="B18" s="37">
        <f>ROW()-13</f>
        <v>5</v>
      </c>
      <c r="C18" s="145" t="s">
        <v>197</v>
      </c>
      <c r="D18" s="80"/>
      <c r="E18" s="81"/>
      <c r="F18" s="146" t="s">
        <v>198</v>
      </c>
      <c r="G18" s="17"/>
      <c r="H18" s="18" t="s">
        <v>49</v>
      </c>
      <c r="I18" s="59"/>
      <c r="J18" s="19">
        <v>1</v>
      </c>
      <c r="K18" s="19"/>
      <c r="L18" s="50"/>
      <c r="M18" s="73" t="s">
        <v>21</v>
      </c>
      <c r="N18" s="54">
        <f t="shared" si="0"/>
        <v>1</v>
      </c>
      <c r="O18" s="170"/>
      <c r="P18" s="191" t="s">
        <v>175</v>
      </c>
      <c r="Q18" s="192"/>
      <c r="R18" s="192"/>
      <c r="S18" s="192"/>
      <c r="T18" s="192"/>
      <c r="U18" s="193"/>
    </row>
    <row r="19" spans="1:21" ht="15.75" customHeight="1">
      <c r="A19" s="85"/>
      <c r="B19" s="37">
        <f>ROW()-13</f>
        <v>6</v>
      </c>
      <c r="C19" s="145" t="s">
        <v>199</v>
      </c>
      <c r="D19" s="80"/>
      <c r="E19" s="81"/>
      <c r="F19" s="146" t="s">
        <v>200</v>
      </c>
      <c r="G19" s="17"/>
      <c r="H19" s="18" t="s">
        <v>51</v>
      </c>
      <c r="I19" s="59"/>
      <c r="J19" s="19">
        <v>25</v>
      </c>
      <c r="K19" s="19"/>
      <c r="L19" s="50" t="s">
        <v>189</v>
      </c>
      <c r="M19" s="73" t="s">
        <v>21</v>
      </c>
      <c r="N19" s="54">
        <f t="shared" si="0"/>
        <v>25</v>
      </c>
      <c r="O19" s="170"/>
      <c r="P19" s="191"/>
      <c r="Q19" s="192"/>
      <c r="R19" s="192"/>
      <c r="S19" s="192"/>
      <c r="T19" s="192"/>
      <c r="U19" s="193"/>
    </row>
    <row r="20" spans="1:21" ht="15.75" customHeight="1">
      <c r="A20" s="85"/>
      <c r="B20" s="37">
        <f>ROW()-13</f>
        <v>7</v>
      </c>
      <c r="C20" s="145" t="s">
        <v>201</v>
      </c>
      <c r="D20" s="80"/>
      <c r="E20" s="81"/>
      <c r="F20" s="146" t="s">
        <v>202</v>
      </c>
      <c r="G20" s="17"/>
      <c r="H20" s="18" t="s">
        <v>51</v>
      </c>
      <c r="I20" s="59"/>
      <c r="J20" s="19">
        <v>4</v>
      </c>
      <c r="K20" s="19"/>
      <c r="L20" s="50" t="s">
        <v>189</v>
      </c>
      <c r="M20" s="73" t="s">
        <v>21</v>
      </c>
      <c r="N20" s="54">
        <f t="shared" si="0"/>
        <v>4</v>
      </c>
      <c r="O20" s="170"/>
      <c r="P20" s="191" t="s">
        <v>203</v>
      </c>
      <c r="Q20" s="192"/>
      <c r="R20" s="192"/>
      <c r="S20" s="192"/>
      <c r="T20" s="192"/>
      <c r="U20" s="193"/>
    </row>
    <row r="21" spans="1:21" ht="74.5" customHeight="1">
      <c r="A21" s="85"/>
      <c r="B21" s="37">
        <f>ROW()-13</f>
        <v>8</v>
      </c>
      <c r="C21" s="145" t="s">
        <v>204</v>
      </c>
      <c r="D21" s="80"/>
      <c r="E21" s="81"/>
      <c r="F21" s="146" t="s">
        <v>205</v>
      </c>
      <c r="G21" s="17"/>
      <c r="H21" s="18" t="s">
        <v>49</v>
      </c>
      <c r="I21" s="59"/>
      <c r="J21" s="19">
        <v>1</v>
      </c>
      <c r="K21" s="19"/>
      <c r="L21" s="50" t="s">
        <v>189</v>
      </c>
      <c r="M21" s="73" t="s">
        <v>21</v>
      </c>
      <c r="N21" s="54">
        <f t="shared" si="0"/>
        <v>1</v>
      </c>
      <c r="O21" s="170"/>
      <c r="P21" s="251" t="s">
        <v>206</v>
      </c>
      <c r="Q21" s="192"/>
      <c r="R21" s="192"/>
      <c r="S21" s="192"/>
      <c r="T21" s="192"/>
      <c r="U21" s="193"/>
    </row>
    <row r="22" spans="1:21" ht="27.5" customHeight="1">
      <c r="A22" s="85"/>
      <c r="B22" s="37">
        <f>ROW()-13</f>
        <v>9</v>
      </c>
      <c r="C22" s="145" t="s">
        <v>207</v>
      </c>
      <c r="D22" s="80"/>
      <c r="E22" s="81"/>
      <c r="F22" s="146"/>
      <c r="G22" s="17"/>
      <c r="H22" s="18" t="s">
        <v>49</v>
      </c>
      <c r="I22" s="59"/>
      <c r="J22" s="19">
        <v>1</v>
      </c>
      <c r="K22" s="19"/>
      <c r="L22" s="50" t="s">
        <v>189</v>
      </c>
      <c r="M22" s="73" t="s">
        <v>21</v>
      </c>
      <c r="N22" s="54">
        <f t="shared" si="0"/>
        <v>1</v>
      </c>
      <c r="O22" s="170"/>
      <c r="P22" s="251" t="s">
        <v>208</v>
      </c>
      <c r="Q22" s="192"/>
      <c r="R22" s="192"/>
      <c r="S22" s="192"/>
      <c r="T22" s="192"/>
      <c r="U22" s="193"/>
    </row>
    <row r="23" spans="1:21" ht="15.75" customHeight="1">
      <c r="A23" s="85"/>
      <c r="B23" s="37">
        <f>ROW()-13</f>
        <v>10</v>
      </c>
      <c r="C23" s="145" t="s">
        <v>209</v>
      </c>
      <c r="D23" s="80"/>
      <c r="E23" s="81"/>
      <c r="F23" s="146" t="s">
        <v>210</v>
      </c>
      <c r="G23" s="17"/>
      <c r="H23" s="18" t="s">
        <v>211</v>
      </c>
      <c r="I23" s="59"/>
      <c r="J23" s="19"/>
      <c r="K23" s="19"/>
      <c r="L23" s="50"/>
      <c r="M23" s="73" t="s">
        <v>21</v>
      </c>
      <c r="N23" s="54">
        <f t="shared" si="0"/>
        <v>0</v>
      </c>
      <c r="O23" s="170"/>
      <c r="P23" s="191"/>
      <c r="Q23" s="192"/>
      <c r="R23" s="192"/>
      <c r="S23" s="192"/>
      <c r="T23" s="192"/>
      <c r="U23" s="193"/>
    </row>
    <row r="24" spans="1:21" ht="27.5" customHeight="1">
      <c r="A24" s="85"/>
      <c r="B24" s="37">
        <f>ROW()-13</f>
        <v>11</v>
      </c>
      <c r="C24" s="145" t="s">
        <v>212</v>
      </c>
      <c r="D24" s="80"/>
      <c r="E24" s="81"/>
      <c r="F24" s="146" t="s">
        <v>213</v>
      </c>
      <c r="G24" s="17"/>
      <c r="H24" s="18" t="s">
        <v>49</v>
      </c>
      <c r="I24" s="59"/>
      <c r="J24" s="19">
        <v>4</v>
      </c>
      <c r="K24" s="19"/>
      <c r="L24" s="50"/>
      <c r="M24" s="73" t="s">
        <v>21</v>
      </c>
      <c r="N24" s="54">
        <f t="shared" si="0"/>
        <v>4</v>
      </c>
      <c r="O24" s="170"/>
      <c r="P24" s="251" t="s">
        <v>214</v>
      </c>
      <c r="Q24" s="192"/>
      <c r="R24" s="192"/>
      <c r="S24" s="192"/>
      <c r="T24" s="192"/>
      <c r="U24" s="193"/>
    </row>
    <row r="25" spans="1:21" ht="15.75" customHeight="1">
      <c r="A25" s="85"/>
      <c r="B25" s="37">
        <f>ROW()-13</f>
        <v>12</v>
      </c>
      <c r="C25" s="145" t="s">
        <v>215</v>
      </c>
      <c r="D25" s="80"/>
      <c r="E25" s="81"/>
      <c r="F25" s="146" t="s">
        <v>216</v>
      </c>
      <c r="G25" s="17"/>
      <c r="H25" s="18" t="s">
        <v>49</v>
      </c>
      <c r="I25" s="59"/>
      <c r="J25" s="19">
        <v>1</v>
      </c>
      <c r="K25" s="19"/>
      <c r="L25" s="50"/>
      <c r="M25" s="73" t="s">
        <v>21</v>
      </c>
      <c r="N25" s="54">
        <f t="shared" si="0"/>
        <v>1</v>
      </c>
      <c r="O25" s="170"/>
      <c r="P25" s="191" t="s">
        <v>203</v>
      </c>
      <c r="Q25" s="192"/>
      <c r="R25" s="192"/>
      <c r="S25" s="192"/>
      <c r="T25" s="192"/>
      <c r="U25" s="193"/>
    </row>
    <row r="26" spans="1:21" ht="15.75" customHeight="1">
      <c r="A26" s="85"/>
      <c r="B26" s="37">
        <f>ROW()-13</f>
        <v>13</v>
      </c>
      <c r="C26" s="145" t="s">
        <v>217</v>
      </c>
      <c r="D26" s="80"/>
      <c r="E26" s="81"/>
      <c r="F26" s="146" t="s">
        <v>218</v>
      </c>
      <c r="G26" s="17"/>
      <c r="H26" s="18" t="s">
        <v>24</v>
      </c>
      <c r="I26" s="59"/>
      <c r="J26" s="19"/>
      <c r="K26" s="19"/>
      <c r="L26" s="50" t="s">
        <v>189</v>
      </c>
      <c r="M26" s="73" t="s">
        <v>21</v>
      </c>
      <c r="N26" s="54">
        <f t="shared" si="0"/>
        <v>7</v>
      </c>
      <c r="O26" s="170"/>
      <c r="P26" s="191"/>
      <c r="Q26" s="192"/>
      <c r="R26" s="192"/>
      <c r="S26" s="192"/>
      <c r="T26" s="192"/>
      <c r="U26" s="193"/>
    </row>
    <row r="27" spans="1:21" ht="39.25" customHeight="1">
      <c r="A27" s="85"/>
      <c r="B27" s="37">
        <f>ROW()-13</f>
        <v>14</v>
      </c>
      <c r="C27" s="145" t="s">
        <v>219</v>
      </c>
      <c r="D27" s="80"/>
      <c r="E27" s="81"/>
      <c r="F27" s="146" t="s">
        <v>220</v>
      </c>
      <c r="G27" s="17"/>
      <c r="H27" s="18" t="s">
        <v>49</v>
      </c>
      <c r="I27" s="59"/>
      <c r="J27" s="19">
        <v>1</v>
      </c>
      <c r="K27" s="19"/>
      <c r="L27" s="50" t="s">
        <v>189</v>
      </c>
      <c r="M27" s="73" t="s">
        <v>21</v>
      </c>
      <c r="N27" s="54">
        <f t="shared" si="0"/>
        <v>1</v>
      </c>
      <c r="O27" s="170"/>
      <c r="P27" s="251" t="s">
        <v>221</v>
      </c>
      <c r="Q27" s="192"/>
      <c r="R27" s="192"/>
      <c r="S27" s="192"/>
      <c r="T27" s="192"/>
      <c r="U27" s="193"/>
    </row>
    <row r="28" spans="1:21" ht="15.75" customHeight="1">
      <c r="A28" s="85"/>
      <c r="B28" s="37">
        <f>ROW()-13</f>
        <v>15</v>
      </c>
      <c r="C28" s="145" t="s">
        <v>222</v>
      </c>
      <c r="D28" s="80"/>
      <c r="E28" s="81"/>
      <c r="F28" s="146" t="s">
        <v>223</v>
      </c>
      <c r="G28" s="17"/>
      <c r="H28" s="18" t="s">
        <v>211</v>
      </c>
      <c r="I28" s="59"/>
      <c r="J28" s="19">
        <v>4</v>
      </c>
      <c r="K28" s="19"/>
      <c r="L28" s="50" t="s">
        <v>189</v>
      </c>
      <c r="M28" s="73" t="s">
        <v>21</v>
      </c>
      <c r="N28" s="54">
        <f t="shared" si="0"/>
        <v>4</v>
      </c>
      <c r="O28" s="170"/>
      <c r="P28" s="191"/>
      <c r="Q28" s="192"/>
      <c r="R28" s="192"/>
      <c r="S28" s="192"/>
      <c r="T28" s="192"/>
      <c r="U28" s="193"/>
    </row>
    <row r="29" spans="1:21" ht="39.25" customHeight="1">
      <c r="A29" s="85"/>
      <c r="B29" s="37">
        <f>ROW()-13</f>
        <v>16</v>
      </c>
      <c r="C29" s="145" t="s">
        <v>224</v>
      </c>
      <c r="D29" s="80"/>
      <c r="E29" s="81"/>
      <c r="F29" s="146" t="s">
        <v>225</v>
      </c>
      <c r="G29" s="17"/>
      <c r="H29" s="18" t="s">
        <v>49</v>
      </c>
      <c r="I29" s="59"/>
      <c r="J29" s="19">
        <v>1</v>
      </c>
      <c r="K29" s="19"/>
      <c r="L29" s="50" t="s">
        <v>189</v>
      </c>
      <c r="M29" s="73" t="s">
        <v>21</v>
      </c>
      <c r="N29" s="54">
        <f t="shared" si="0"/>
        <v>1</v>
      </c>
      <c r="O29" s="170"/>
      <c r="P29" s="251" t="s">
        <v>226</v>
      </c>
      <c r="Q29" s="192"/>
      <c r="R29" s="192"/>
      <c r="S29" s="192"/>
      <c r="T29" s="192"/>
      <c r="U29" s="193"/>
    </row>
    <row r="30" spans="1:21" ht="27.5" customHeight="1">
      <c r="A30" s="85"/>
      <c r="B30" s="37">
        <f>ROW()-13</f>
        <v>17</v>
      </c>
      <c r="C30" s="145" t="s">
        <v>227</v>
      </c>
      <c r="D30" s="80"/>
      <c r="E30" s="81"/>
      <c r="F30" s="146"/>
      <c r="G30" s="17"/>
      <c r="H30" s="18" t="s">
        <v>49</v>
      </c>
      <c r="I30" s="59"/>
      <c r="J30" s="19">
        <v>1</v>
      </c>
      <c r="K30" s="19"/>
      <c r="L30" s="50"/>
      <c r="M30" s="73" t="s">
        <v>21</v>
      </c>
      <c r="N30" s="54">
        <f t="shared" si="0"/>
        <v>1</v>
      </c>
      <c r="O30" s="170"/>
      <c r="P30" s="251" t="s">
        <v>228</v>
      </c>
      <c r="Q30" s="192"/>
      <c r="R30" s="192"/>
      <c r="S30" s="192"/>
      <c r="T30" s="192"/>
      <c r="U30" s="193"/>
    </row>
    <row r="31" spans="1:21" ht="39.25" customHeight="1">
      <c r="A31" s="85"/>
      <c r="B31" s="37">
        <f>ROW()-13</f>
        <v>18</v>
      </c>
      <c r="C31" s="145" t="s">
        <v>229</v>
      </c>
      <c r="D31" s="80"/>
      <c r="E31" s="81"/>
      <c r="F31" s="146" t="s">
        <v>230</v>
      </c>
      <c r="G31" s="17"/>
      <c r="H31" s="18" t="s">
        <v>49</v>
      </c>
      <c r="I31" s="59"/>
      <c r="J31" s="19">
        <v>1</v>
      </c>
      <c r="K31" s="19"/>
      <c r="L31" s="50"/>
      <c r="M31" s="73" t="s">
        <v>21</v>
      </c>
      <c r="N31" s="54">
        <f t="shared" si="0"/>
        <v>1</v>
      </c>
      <c r="O31" s="170"/>
      <c r="P31" s="251" t="s">
        <v>231</v>
      </c>
      <c r="Q31" s="192"/>
      <c r="R31" s="192"/>
      <c r="S31" s="192"/>
      <c r="T31" s="192"/>
      <c r="U31" s="193"/>
    </row>
    <row r="32" spans="1:21" ht="39.25" customHeight="1">
      <c r="A32" s="85"/>
      <c r="B32" s="37">
        <f>ROW()-13</f>
        <v>19</v>
      </c>
      <c r="C32" s="145" t="s">
        <v>232</v>
      </c>
      <c r="D32" s="80"/>
      <c r="E32" s="81"/>
      <c r="F32" s="146" t="s">
        <v>233</v>
      </c>
      <c r="G32" s="17"/>
      <c r="H32" s="18" t="s">
        <v>49</v>
      </c>
      <c r="I32" s="59"/>
      <c r="J32" s="19">
        <v>1</v>
      </c>
      <c r="K32" s="19"/>
      <c r="L32" s="50"/>
      <c r="M32" s="73" t="s">
        <v>21</v>
      </c>
      <c r="N32" s="54">
        <f t="shared" si="0"/>
        <v>1</v>
      </c>
      <c r="O32" s="170"/>
      <c r="P32" s="251" t="s">
        <v>234</v>
      </c>
      <c r="Q32" s="192"/>
      <c r="R32" s="192"/>
      <c r="S32" s="192"/>
      <c r="T32" s="192"/>
      <c r="U32" s="193"/>
    </row>
    <row r="33" spans="1:21" ht="27.5" customHeight="1">
      <c r="A33" s="85"/>
      <c r="B33" s="37">
        <f>ROW()-13</f>
        <v>20</v>
      </c>
      <c r="C33" s="145" t="s">
        <v>235</v>
      </c>
      <c r="D33" s="80"/>
      <c r="E33" s="81"/>
      <c r="F33" s="146" t="s">
        <v>236</v>
      </c>
      <c r="G33" s="17"/>
      <c r="H33" s="18" t="s">
        <v>49</v>
      </c>
      <c r="I33" s="59"/>
      <c r="J33" s="19">
        <v>1</v>
      </c>
      <c r="K33" s="19"/>
      <c r="L33" s="50"/>
      <c r="M33" s="73" t="s">
        <v>21</v>
      </c>
      <c r="N33" s="54">
        <f t="shared" si="0"/>
        <v>1</v>
      </c>
      <c r="O33" s="170"/>
      <c r="P33" s="251" t="s">
        <v>237</v>
      </c>
      <c r="Q33" s="192"/>
      <c r="R33" s="192"/>
      <c r="S33" s="192"/>
      <c r="T33" s="192"/>
      <c r="U33" s="193"/>
    </row>
    <row r="34" spans="1:21" ht="15.75" customHeight="1">
      <c r="A34" s="85"/>
      <c r="B34" s="37">
        <f>ROW()-13</f>
        <v>21</v>
      </c>
      <c r="C34" s="145" t="s">
        <v>238</v>
      </c>
      <c r="D34" s="80"/>
      <c r="E34" s="81"/>
      <c r="F34" s="146" t="s">
        <v>239</v>
      </c>
      <c r="G34" s="17"/>
      <c r="H34" s="18" t="s">
        <v>51</v>
      </c>
      <c r="I34" s="59"/>
      <c r="J34" s="19">
        <v>3</v>
      </c>
      <c r="K34" s="19"/>
      <c r="L34" s="50"/>
      <c r="M34" s="73" t="s">
        <v>21</v>
      </c>
      <c r="N34" s="54">
        <f t="shared" si="0"/>
        <v>3</v>
      </c>
      <c r="O34" s="170"/>
      <c r="P34" s="191" t="s">
        <v>203</v>
      </c>
      <c r="Q34" s="192"/>
      <c r="R34" s="192"/>
      <c r="S34" s="192"/>
      <c r="T34" s="192"/>
      <c r="U34" s="193"/>
    </row>
    <row r="35" spans="1:21" ht="15.75" customHeight="1">
      <c r="A35" s="85"/>
      <c r="B35" s="37">
        <f>ROW()-13</f>
        <v>22</v>
      </c>
      <c r="C35" s="145" t="s">
        <v>240</v>
      </c>
      <c r="D35" s="80"/>
      <c r="E35" s="81"/>
      <c r="F35" s="146" t="s">
        <v>241</v>
      </c>
      <c r="G35" s="17"/>
      <c r="H35" s="18" t="s">
        <v>51</v>
      </c>
      <c r="I35" s="59"/>
      <c r="J35" s="19">
        <v>3</v>
      </c>
      <c r="K35" s="19"/>
      <c r="L35" s="50"/>
      <c r="M35" s="73" t="s">
        <v>21</v>
      </c>
      <c r="N35" s="54">
        <f t="shared" si="0"/>
        <v>3</v>
      </c>
      <c r="O35" s="170"/>
      <c r="P35" s="191"/>
      <c r="Q35" s="192"/>
      <c r="R35" s="192"/>
      <c r="S35" s="192"/>
      <c r="T35" s="192"/>
      <c r="U35" s="193"/>
    </row>
    <row r="36" spans="1:21" ht="15.75" customHeight="1">
      <c r="A36" s="85"/>
      <c r="B36" s="37">
        <f>ROW()-13</f>
        <v>23</v>
      </c>
      <c r="C36" s="145" t="s">
        <v>242</v>
      </c>
      <c r="D36" s="80"/>
      <c r="E36" s="81"/>
      <c r="F36" s="146" t="s">
        <v>243</v>
      </c>
      <c r="G36" s="17"/>
      <c r="H36" s="18" t="s">
        <v>49</v>
      </c>
      <c r="I36" s="59"/>
      <c r="J36" s="19">
        <v>4</v>
      </c>
      <c r="K36" s="19"/>
      <c r="L36" s="50"/>
      <c r="M36" s="73" t="s">
        <v>21</v>
      </c>
      <c r="N36" s="54">
        <f t="shared" si="0"/>
        <v>4</v>
      </c>
      <c r="O36" s="170"/>
      <c r="P36" s="191"/>
      <c r="Q36" s="192"/>
      <c r="R36" s="192"/>
      <c r="S36" s="192"/>
      <c r="T36" s="192"/>
      <c r="U36" s="193"/>
    </row>
    <row r="37" spans="1:21" ht="15.75" customHeight="1">
      <c r="A37" s="85"/>
      <c r="B37" s="37">
        <f>ROW()-13</f>
        <v>24</v>
      </c>
      <c r="C37" s="145" t="s">
        <v>244</v>
      </c>
      <c r="D37" s="80"/>
      <c r="E37" s="81"/>
      <c r="F37" s="146" t="s">
        <v>245</v>
      </c>
      <c r="G37" s="17"/>
      <c r="H37" s="18" t="s">
        <v>49</v>
      </c>
      <c r="I37" s="59"/>
      <c r="J37" s="19">
        <v>10</v>
      </c>
      <c r="K37" s="19"/>
      <c r="L37" s="50"/>
      <c r="M37" s="73" t="s">
        <v>21</v>
      </c>
      <c r="N37" s="54">
        <f t="shared" si="0"/>
        <v>10</v>
      </c>
      <c r="O37" s="170"/>
      <c r="P37" s="191"/>
      <c r="Q37" s="192"/>
      <c r="R37" s="192"/>
      <c r="S37" s="192"/>
      <c r="T37" s="192"/>
      <c r="U37" s="193"/>
    </row>
    <row r="38" spans="1:21" ht="15.75" customHeight="1">
      <c r="A38" s="85"/>
      <c r="B38" s="37">
        <f>ROW()-13</f>
        <v>25</v>
      </c>
      <c r="C38" s="145" t="s">
        <v>246</v>
      </c>
      <c r="D38" s="80"/>
      <c r="E38" s="81"/>
      <c r="F38" s="146" t="s">
        <v>247</v>
      </c>
      <c r="G38" s="17"/>
      <c r="H38" s="18" t="s">
        <v>49</v>
      </c>
      <c r="I38" s="59"/>
      <c r="J38" s="19">
        <v>5</v>
      </c>
      <c r="K38" s="19"/>
      <c r="L38" s="50"/>
      <c r="M38" s="73" t="s">
        <v>21</v>
      </c>
      <c r="N38" s="54">
        <f t="shared" si="0"/>
        <v>5</v>
      </c>
      <c r="O38" s="170"/>
      <c r="P38" s="191"/>
      <c r="Q38" s="192"/>
      <c r="R38" s="192"/>
      <c r="S38" s="192"/>
      <c r="T38" s="192"/>
      <c r="U38" s="193"/>
    </row>
    <row r="39" spans="1:21" ht="15.75" customHeight="1">
      <c r="A39" s="85"/>
      <c r="B39" s="37">
        <f>ROW()-13</f>
        <v>26</v>
      </c>
      <c r="C39" s="145" t="s">
        <v>248</v>
      </c>
      <c r="D39" s="80"/>
      <c r="E39" s="81"/>
      <c r="F39" s="146" t="s">
        <v>249</v>
      </c>
      <c r="G39" s="17"/>
      <c r="H39" s="18" t="s">
        <v>24</v>
      </c>
      <c r="I39" s="59"/>
      <c r="J39" s="19"/>
      <c r="K39" s="19"/>
      <c r="L39" s="50"/>
      <c r="M39" s="73" t="s">
        <v>21</v>
      </c>
      <c r="N39" s="54">
        <f t="shared" si="0"/>
        <v>7</v>
      </c>
      <c r="O39" s="170"/>
      <c r="P39" s="191"/>
      <c r="Q39" s="192"/>
      <c r="R39" s="192"/>
      <c r="S39" s="192"/>
      <c r="T39" s="192"/>
      <c r="U39" s="193"/>
    </row>
    <row r="40" spans="1:21" ht="15.75" customHeight="1">
      <c r="A40" s="85"/>
      <c r="B40" s="37">
        <f>ROW()-13</f>
        <v>27</v>
      </c>
      <c r="C40" s="145" t="s">
        <v>250</v>
      </c>
      <c r="D40" s="80"/>
      <c r="E40" s="81"/>
      <c r="F40" s="146" t="s">
        <v>251</v>
      </c>
      <c r="G40" s="17"/>
      <c r="H40" s="18" t="s">
        <v>24</v>
      </c>
      <c r="I40" s="59"/>
      <c r="J40" s="19"/>
      <c r="K40" s="19"/>
      <c r="L40" s="50"/>
      <c r="M40" s="73" t="s">
        <v>21</v>
      </c>
      <c r="N40" s="54">
        <f t="shared" si="0"/>
        <v>7</v>
      </c>
      <c r="O40" s="170"/>
      <c r="P40" s="191"/>
      <c r="Q40" s="192"/>
      <c r="R40" s="192"/>
      <c r="S40" s="192"/>
      <c r="T40" s="192"/>
      <c r="U40" s="193"/>
    </row>
    <row r="41" spans="1:21" ht="15.75" customHeight="1">
      <c r="A41" s="85"/>
      <c r="B41" s="37">
        <f>ROW()-13</f>
        <v>28</v>
      </c>
      <c r="C41" s="145" t="s">
        <v>252</v>
      </c>
      <c r="D41" s="80"/>
      <c r="E41" s="81"/>
      <c r="F41" s="146" t="s">
        <v>253</v>
      </c>
      <c r="G41" s="17"/>
      <c r="H41" s="18" t="s">
        <v>54</v>
      </c>
      <c r="I41" s="59"/>
      <c r="J41" s="19"/>
      <c r="K41" s="19"/>
      <c r="L41" s="50"/>
      <c r="M41" s="73" t="s">
        <v>21</v>
      </c>
      <c r="N41" s="54">
        <f t="shared" si="0"/>
        <v>0</v>
      </c>
      <c r="O41" s="170"/>
      <c r="P41" s="191"/>
      <c r="Q41" s="192"/>
      <c r="R41" s="192"/>
      <c r="S41" s="192"/>
      <c r="T41" s="192"/>
      <c r="U41" s="193"/>
    </row>
    <row r="42" spans="1:21" ht="15.75" customHeight="1">
      <c r="A42" s="85"/>
      <c r="B42" s="37">
        <f>ROW()-13</f>
        <v>29</v>
      </c>
      <c r="C42" s="145" t="s">
        <v>254</v>
      </c>
      <c r="D42" s="80"/>
      <c r="E42" s="81"/>
      <c r="F42" s="146" t="s">
        <v>255</v>
      </c>
      <c r="G42" s="17"/>
      <c r="H42" s="18" t="s">
        <v>49</v>
      </c>
      <c r="I42" s="59"/>
      <c r="J42" s="19">
        <v>1</v>
      </c>
      <c r="K42" s="19"/>
      <c r="L42" s="50"/>
      <c r="M42" s="73" t="s">
        <v>21</v>
      </c>
      <c r="N42" s="54">
        <f t="shared" si="0"/>
        <v>1</v>
      </c>
      <c r="O42" s="170"/>
      <c r="P42" s="191" t="s">
        <v>203</v>
      </c>
      <c r="Q42" s="192"/>
      <c r="R42" s="192"/>
      <c r="S42" s="192"/>
      <c r="T42" s="192"/>
      <c r="U42" s="193"/>
    </row>
    <row r="43" spans="1:21" ht="15.75" customHeight="1">
      <c r="A43" s="85"/>
      <c r="B43" s="37">
        <f>ROW()-13</f>
        <v>30</v>
      </c>
      <c r="C43" s="145" t="s">
        <v>256</v>
      </c>
      <c r="D43" s="80"/>
      <c r="E43" s="81"/>
      <c r="F43" s="146" t="s">
        <v>257</v>
      </c>
      <c r="G43" s="17"/>
      <c r="H43" s="18" t="s">
        <v>51</v>
      </c>
      <c r="I43" s="59"/>
      <c r="J43" s="19">
        <v>11</v>
      </c>
      <c r="K43" s="19"/>
      <c r="L43" s="50"/>
      <c r="M43" s="73" t="s">
        <v>21</v>
      </c>
      <c r="N43" s="54">
        <f t="shared" si="0"/>
        <v>11</v>
      </c>
      <c r="O43" s="170"/>
      <c r="P43" s="191"/>
      <c r="Q43" s="192"/>
      <c r="R43" s="192"/>
      <c r="S43" s="192"/>
      <c r="T43" s="192"/>
      <c r="U43" s="193"/>
    </row>
    <row r="44" spans="1:21" ht="15.75" customHeight="1">
      <c r="A44" s="85"/>
      <c r="B44" s="37">
        <f>ROW()-13</f>
        <v>31</v>
      </c>
      <c r="C44" s="145" t="s">
        <v>258</v>
      </c>
      <c r="D44" s="80"/>
      <c r="E44" s="81"/>
      <c r="F44" s="146" t="s">
        <v>259</v>
      </c>
      <c r="G44" s="17"/>
      <c r="H44" s="18" t="s">
        <v>49</v>
      </c>
      <c r="I44" s="59"/>
      <c r="J44" s="19">
        <v>7</v>
      </c>
      <c r="K44" s="19"/>
      <c r="L44" s="50"/>
      <c r="M44" s="73" t="s">
        <v>21</v>
      </c>
      <c r="N44" s="54">
        <f t="shared" si="0"/>
        <v>7</v>
      </c>
      <c r="O44" s="170"/>
      <c r="P44" s="191" t="s">
        <v>260</v>
      </c>
      <c r="Q44" s="192"/>
      <c r="R44" s="192"/>
      <c r="S44" s="192"/>
      <c r="T44" s="192"/>
      <c r="U44" s="193"/>
    </row>
    <row r="45" spans="1:21" ht="15.5">
      <c r="A45" s="85"/>
      <c r="B45" s="37">
        <f t="shared" ref="B45:B51" si="1">ROW()-13</f>
        <v>32</v>
      </c>
      <c r="C45" s="107" t="s">
        <v>36</v>
      </c>
      <c r="D45" s="107"/>
      <c r="E45" s="108"/>
      <c r="F45" s="109" t="s">
        <v>78</v>
      </c>
      <c r="G45" s="110"/>
      <c r="H45" s="18" t="s">
        <v>51</v>
      </c>
      <c r="I45" s="59"/>
      <c r="J45" s="113">
        <v>12</v>
      </c>
      <c r="K45" s="113"/>
      <c r="L45" s="114"/>
      <c r="M45" s="115" t="s">
        <v>35</v>
      </c>
      <c r="N45" s="116">
        <f t="shared" si="0"/>
        <v>12</v>
      </c>
      <c r="O45" s="171"/>
      <c r="P45" s="197"/>
      <c r="Q45" s="198"/>
      <c r="R45" s="198"/>
      <c r="S45" s="198"/>
      <c r="T45" s="198"/>
      <c r="U45" s="199"/>
    </row>
    <row r="46" spans="1:21" ht="15.5">
      <c r="A46" s="85"/>
      <c r="B46" s="37">
        <f t="shared" si="1"/>
        <v>33</v>
      </c>
      <c r="C46" s="107" t="s">
        <v>37</v>
      </c>
      <c r="D46" s="107"/>
      <c r="E46" s="108"/>
      <c r="F46" s="109" t="s">
        <v>43</v>
      </c>
      <c r="G46" s="110"/>
      <c r="H46" s="18" t="s">
        <v>51</v>
      </c>
      <c r="I46" s="59"/>
      <c r="J46" s="113">
        <v>10</v>
      </c>
      <c r="K46" s="113"/>
      <c r="L46" s="114"/>
      <c r="M46" s="115" t="s">
        <v>21</v>
      </c>
      <c r="N46" s="116">
        <f t="shared" si="0"/>
        <v>10</v>
      </c>
      <c r="O46" s="171"/>
      <c r="P46" s="197"/>
      <c r="Q46" s="198"/>
      <c r="R46" s="198"/>
      <c r="S46" s="198"/>
      <c r="T46" s="198"/>
      <c r="U46" s="199"/>
    </row>
    <row r="47" spans="1:21" ht="15.5">
      <c r="A47" s="85"/>
      <c r="B47" s="37">
        <f t="shared" si="1"/>
        <v>34</v>
      </c>
      <c r="C47" s="107" t="s">
        <v>38</v>
      </c>
      <c r="D47" s="107"/>
      <c r="E47" s="108"/>
      <c r="F47" s="109" t="s">
        <v>80</v>
      </c>
      <c r="G47" s="110"/>
      <c r="H47" s="18" t="s">
        <v>86</v>
      </c>
      <c r="I47" s="59"/>
      <c r="J47" s="113"/>
      <c r="K47" s="113"/>
      <c r="L47" s="114"/>
      <c r="M47" s="115" t="s">
        <v>21</v>
      </c>
      <c r="N47" s="116">
        <f t="shared" si="0"/>
        <v>0</v>
      </c>
      <c r="O47" s="171"/>
      <c r="P47" s="197"/>
      <c r="Q47" s="198"/>
      <c r="R47" s="198"/>
      <c r="S47" s="198"/>
      <c r="T47" s="198"/>
      <c r="U47" s="199"/>
    </row>
    <row r="48" spans="1:21" ht="15.5">
      <c r="A48" s="85"/>
      <c r="B48" s="37">
        <f t="shared" si="1"/>
        <v>35</v>
      </c>
      <c r="C48" s="107" t="s">
        <v>39</v>
      </c>
      <c r="D48" s="107"/>
      <c r="E48" s="108"/>
      <c r="F48" s="109" t="s">
        <v>79</v>
      </c>
      <c r="G48" s="110"/>
      <c r="H48" s="18" t="s">
        <v>51</v>
      </c>
      <c r="I48" s="59"/>
      <c r="J48" s="113">
        <v>12</v>
      </c>
      <c r="K48" s="113"/>
      <c r="L48" s="114"/>
      <c r="M48" s="115" t="s">
        <v>35</v>
      </c>
      <c r="N48" s="116">
        <f t="shared" si="0"/>
        <v>12</v>
      </c>
      <c r="O48" s="171"/>
      <c r="P48" s="197"/>
      <c r="Q48" s="198"/>
      <c r="R48" s="198"/>
      <c r="S48" s="198"/>
      <c r="T48" s="198"/>
      <c r="U48" s="199"/>
    </row>
    <row r="49" spans="1:21" ht="15.5">
      <c r="A49" s="85"/>
      <c r="B49" s="37">
        <f t="shared" si="1"/>
        <v>36</v>
      </c>
      <c r="C49" s="107" t="s">
        <v>40</v>
      </c>
      <c r="D49" s="107"/>
      <c r="E49" s="108"/>
      <c r="F49" s="109" t="s">
        <v>44</v>
      </c>
      <c r="G49" s="110"/>
      <c r="H49" s="18" t="s">
        <v>51</v>
      </c>
      <c r="I49" s="59"/>
      <c r="J49" s="113">
        <v>10</v>
      </c>
      <c r="K49" s="113"/>
      <c r="L49" s="114"/>
      <c r="M49" s="115" t="s">
        <v>21</v>
      </c>
      <c r="N49" s="116">
        <f t="shared" si="0"/>
        <v>10</v>
      </c>
      <c r="O49" s="171"/>
      <c r="P49" s="197"/>
      <c r="Q49" s="198"/>
      <c r="R49" s="198"/>
      <c r="S49" s="198"/>
      <c r="T49" s="198"/>
      <c r="U49" s="199"/>
    </row>
    <row r="50" spans="1:21" ht="15.5">
      <c r="A50" s="85"/>
      <c r="B50" s="37">
        <f t="shared" si="1"/>
        <v>37</v>
      </c>
      <c r="C50" s="107" t="s">
        <v>41</v>
      </c>
      <c r="D50" s="107"/>
      <c r="E50" s="108"/>
      <c r="F50" s="109" t="s">
        <v>81</v>
      </c>
      <c r="G50" s="110"/>
      <c r="H50" s="18" t="s">
        <v>86</v>
      </c>
      <c r="I50" s="59"/>
      <c r="J50" s="113"/>
      <c r="K50" s="113"/>
      <c r="L50" s="114"/>
      <c r="M50" s="115" t="s">
        <v>21</v>
      </c>
      <c r="N50" s="116">
        <f t="shared" si="0"/>
        <v>0</v>
      </c>
      <c r="O50" s="171"/>
      <c r="P50" s="197"/>
      <c r="Q50" s="198"/>
      <c r="R50" s="198"/>
      <c r="S50" s="198"/>
      <c r="T50" s="198"/>
      <c r="U50" s="199"/>
    </row>
    <row r="51" spans="1:21" ht="15.5">
      <c r="A51" s="85"/>
      <c r="B51" s="37">
        <f t="shared" si="1"/>
        <v>38</v>
      </c>
      <c r="C51" s="80" t="s">
        <v>46</v>
      </c>
      <c r="D51" s="80"/>
      <c r="E51" s="81"/>
      <c r="F51" s="84" t="s">
        <v>71</v>
      </c>
      <c r="G51" s="17"/>
      <c r="H51" s="18" t="s">
        <v>62</v>
      </c>
      <c r="I51" s="59"/>
      <c r="J51" s="19">
        <v>8</v>
      </c>
      <c r="K51" s="19"/>
      <c r="L51" s="50" t="s">
        <v>47</v>
      </c>
      <c r="M51" s="73" t="s">
        <v>35</v>
      </c>
      <c r="N51" s="54">
        <f t="shared" si="0"/>
        <v>8</v>
      </c>
      <c r="O51" s="170">
        <v>0</v>
      </c>
      <c r="P51" s="191" t="s">
        <v>48</v>
      </c>
      <c r="Q51" s="192"/>
      <c r="R51" s="192"/>
      <c r="S51" s="192"/>
      <c r="T51" s="192"/>
      <c r="U51" s="193"/>
    </row>
    <row r="52" spans="1:21" ht="16" thickBot="1">
      <c r="A52" s="118"/>
      <c r="B52" s="119"/>
      <c r="C52" s="120"/>
      <c r="D52" s="120"/>
      <c r="E52" s="121"/>
      <c r="F52" s="129"/>
      <c r="G52" s="122"/>
      <c r="H52" s="147"/>
      <c r="I52" s="148"/>
      <c r="J52" s="125"/>
      <c r="K52" s="125"/>
      <c r="L52" s="126"/>
      <c r="M52" s="126"/>
      <c r="N52" s="127"/>
      <c r="O52" s="172"/>
      <c r="P52" s="194"/>
      <c r="Q52" s="195"/>
      <c r="R52" s="195"/>
      <c r="S52" s="195"/>
      <c r="T52" s="195"/>
      <c r="U52" s="196"/>
    </row>
  </sheetData>
  <mergeCells count="69">
    <mergeCell ref="P52:U52"/>
    <mergeCell ref="P46:U46"/>
    <mergeCell ref="P47:U47"/>
    <mergeCell ref="P48:U48"/>
    <mergeCell ref="P49:U49"/>
    <mergeCell ref="P50:U50"/>
    <mergeCell ref="P51:U51"/>
    <mergeCell ref="P40:U40"/>
    <mergeCell ref="P41:U41"/>
    <mergeCell ref="P42:U42"/>
    <mergeCell ref="P43:U43"/>
    <mergeCell ref="P44:U44"/>
    <mergeCell ref="P45:U45"/>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18434"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18435"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18436"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18437"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18438"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8267B383-04EA-46D2-A03D-9A452849B885}">
            <xm:f>(AND(H14&lt;&gt;"",ISERROR(VLOOKUP(H14,system!$E:$E,1,FALSE))))</xm:f>
            <x14:dxf>
              <fill>
                <patternFill patternType="solid">
                  <bgColor rgb="FFFF0000"/>
                </patternFill>
              </fill>
            </x14:dxf>
          </x14:cfRule>
          <xm:sqref>H14:H44</xm:sqref>
        </x14:conditionalFormatting>
        <x14:conditionalFormatting xmlns:xm="http://schemas.microsoft.com/office/excel/2006/main">
          <x14:cfRule type="expression" priority="3" id="{25C1E3EE-C82F-46AF-8473-6D7669782F22}">
            <xm:f>(AND(H14&lt;&gt;"",ISERROR(VLOOKUP(H14,system!$E:$E,1,FALSE))))</xm:f>
            <x14:dxf>
              <fill>
                <patternFill>
                  <bgColor rgb="FFFF0000"/>
                </patternFill>
              </fill>
            </x14:dxf>
          </x14:cfRule>
          <xm:sqref>I14:I44</xm:sqref>
        </x14:conditionalFormatting>
        <x14:conditionalFormatting xmlns:xm="http://schemas.microsoft.com/office/excel/2006/main">
          <x14:cfRule type="expression" priority="2" id="{0248E5F5-B1C8-4019-BC4E-DC983C0A763D}">
            <xm:f>(AND(H45&lt;&gt;"",ISERROR(VLOOKUP(H45,system!$E:$E,1,FALSE))))</xm:f>
            <x14:dxf>
              <fill>
                <patternFill patternType="solid">
                  <bgColor rgb="FFFF0000"/>
                </patternFill>
              </fill>
            </x14:dxf>
          </x14:cfRule>
          <xm:sqref>H45:H52</xm:sqref>
        </x14:conditionalFormatting>
        <x14:conditionalFormatting xmlns:xm="http://schemas.microsoft.com/office/excel/2006/main">
          <x14:cfRule type="expression" priority="1" id="{10D82370-7BC9-4474-BEF1-02FA2FD625F2}">
            <xm:f>(AND(H45&lt;&gt;"",ISERROR(VLOOKUP(H45,system!$E:$E,1,FALSE))))</xm:f>
            <x14:dxf>
              <fill>
                <patternFill>
                  <bgColor rgb="FFFF0000"/>
                </patternFill>
              </fill>
            </x14:dxf>
          </x14:cfRule>
          <xm:sqref>I45:I52</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ED6DE-6B66-4C04-94AA-297B4E7D5CA3}">
  <sheetPr codeName="Sheet18">
    <pageSetUpPr fitToPage="1"/>
  </sheetPr>
  <dimension ref="A1:U4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262</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132</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SUM(N14:N48)</f>
        <v>199</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46" si="0">IF(H14="NUMBER",IF(J14&gt;0,INT((J14+1)/2+0.9),0),IF(H14="DATE",7,IF(OR(H14="LONG",H14="LONG RAW"),100000,J14)))</f>
        <v>1</v>
      </c>
      <c r="O14" s="170"/>
      <c r="P14" s="191" t="s">
        <v>175</v>
      </c>
      <c r="Q14" s="192"/>
      <c r="R14" s="192"/>
      <c r="S14" s="192"/>
      <c r="T14" s="192"/>
      <c r="U14" s="193"/>
    </row>
    <row r="15" spans="1:21" ht="15.75" customHeight="1">
      <c r="A15" s="85" t="s">
        <v>190</v>
      </c>
      <c r="B15" s="37">
        <f>ROW()-13</f>
        <v>2</v>
      </c>
      <c r="C15" s="145" t="s">
        <v>258</v>
      </c>
      <c r="D15" s="80"/>
      <c r="E15" s="81"/>
      <c r="F15" s="146"/>
      <c r="G15" s="17"/>
      <c r="H15" s="18" t="s">
        <v>49</v>
      </c>
      <c r="I15" s="59"/>
      <c r="J15" s="19">
        <v>7</v>
      </c>
      <c r="K15" s="19"/>
      <c r="L15" s="50" t="s">
        <v>189</v>
      </c>
      <c r="M15" s="73" t="s">
        <v>21</v>
      </c>
      <c r="N15" s="54">
        <f t="shared" si="0"/>
        <v>7</v>
      </c>
      <c r="O15" s="170"/>
      <c r="P15" s="191"/>
      <c r="Q15" s="192"/>
      <c r="R15" s="192"/>
      <c r="S15" s="192"/>
      <c r="T15" s="192"/>
      <c r="U15" s="193"/>
    </row>
    <row r="16" spans="1:21" ht="39.25" customHeight="1">
      <c r="A16" s="85"/>
      <c r="B16" s="37">
        <f>ROW()-13</f>
        <v>3</v>
      </c>
      <c r="C16" s="145" t="s">
        <v>263</v>
      </c>
      <c r="D16" s="80"/>
      <c r="E16" s="81"/>
      <c r="F16" s="146"/>
      <c r="G16" s="17"/>
      <c r="H16" s="18" t="s">
        <v>49</v>
      </c>
      <c r="I16" s="59"/>
      <c r="J16" s="19">
        <v>1</v>
      </c>
      <c r="K16" s="19"/>
      <c r="L16" s="50" t="s">
        <v>189</v>
      </c>
      <c r="M16" s="73" t="s">
        <v>21</v>
      </c>
      <c r="N16" s="54">
        <f t="shared" si="0"/>
        <v>1</v>
      </c>
      <c r="O16" s="170"/>
      <c r="P16" s="251" t="s">
        <v>264</v>
      </c>
      <c r="Q16" s="192"/>
      <c r="R16" s="192"/>
      <c r="S16" s="192"/>
      <c r="T16" s="192"/>
      <c r="U16" s="193"/>
    </row>
    <row r="17" spans="1:21" ht="15.75" customHeight="1">
      <c r="A17" s="85"/>
      <c r="B17" s="37">
        <f>ROW()-13</f>
        <v>4</v>
      </c>
      <c r="C17" s="145" t="s">
        <v>193</v>
      </c>
      <c r="D17" s="80"/>
      <c r="E17" s="81"/>
      <c r="F17" s="146"/>
      <c r="G17" s="17"/>
      <c r="H17" s="18" t="s">
        <v>49</v>
      </c>
      <c r="I17" s="59"/>
      <c r="J17" s="19">
        <v>2</v>
      </c>
      <c r="K17" s="19"/>
      <c r="L17" s="50"/>
      <c r="M17" s="73" t="s">
        <v>21</v>
      </c>
      <c r="N17" s="54">
        <f t="shared" si="0"/>
        <v>2</v>
      </c>
      <c r="O17" s="170"/>
      <c r="P17" s="191" t="s">
        <v>162</v>
      </c>
      <c r="Q17" s="192"/>
      <c r="R17" s="192"/>
      <c r="S17" s="192"/>
      <c r="T17" s="192"/>
      <c r="U17" s="193"/>
    </row>
    <row r="18" spans="1:21" ht="15.75" customHeight="1">
      <c r="A18" s="85"/>
      <c r="B18" s="37">
        <f>ROW()-13</f>
        <v>5</v>
      </c>
      <c r="C18" s="145" t="s">
        <v>195</v>
      </c>
      <c r="D18" s="80"/>
      <c r="E18" s="81"/>
      <c r="F18" s="146"/>
      <c r="G18" s="17"/>
      <c r="H18" s="18" t="s">
        <v>49</v>
      </c>
      <c r="I18" s="59"/>
      <c r="J18" s="19">
        <v>12</v>
      </c>
      <c r="K18" s="19"/>
      <c r="L18" s="50"/>
      <c r="M18" s="73" t="s">
        <v>21</v>
      </c>
      <c r="N18" s="54">
        <f t="shared" si="0"/>
        <v>12</v>
      </c>
      <c r="O18" s="170"/>
      <c r="P18" s="191"/>
      <c r="Q18" s="192"/>
      <c r="R18" s="192"/>
      <c r="S18" s="192"/>
      <c r="T18" s="192"/>
      <c r="U18" s="193"/>
    </row>
    <row r="19" spans="1:21" ht="15.75" customHeight="1">
      <c r="A19" s="85"/>
      <c r="B19" s="37">
        <f>ROW()-13</f>
        <v>6</v>
      </c>
      <c r="C19" s="145" t="s">
        <v>197</v>
      </c>
      <c r="D19" s="80"/>
      <c r="E19" s="81"/>
      <c r="F19" s="146"/>
      <c r="G19" s="17"/>
      <c r="H19" s="18" t="s">
        <v>49</v>
      </c>
      <c r="I19" s="59"/>
      <c r="J19" s="19">
        <v>1</v>
      </c>
      <c r="K19" s="19"/>
      <c r="L19" s="50" t="s">
        <v>189</v>
      </c>
      <c r="M19" s="73" t="s">
        <v>21</v>
      </c>
      <c r="N19" s="54">
        <f t="shared" si="0"/>
        <v>1</v>
      </c>
      <c r="O19" s="170"/>
      <c r="P19" s="191" t="s">
        <v>175</v>
      </c>
      <c r="Q19" s="192"/>
      <c r="R19" s="192"/>
      <c r="S19" s="192"/>
      <c r="T19" s="192"/>
      <c r="U19" s="193"/>
    </row>
    <row r="20" spans="1:21" ht="15.75" customHeight="1">
      <c r="A20" s="85"/>
      <c r="B20" s="37">
        <f>ROW()-13</f>
        <v>7</v>
      </c>
      <c r="C20" s="145" t="s">
        <v>199</v>
      </c>
      <c r="D20" s="80"/>
      <c r="E20" s="81"/>
      <c r="F20" s="146"/>
      <c r="G20" s="17"/>
      <c r="H20" s="18" t="s">
        <v>51</v>
      </c>
      <c r="I20" s="59"/>
      <c r="J20" s="19">
        <v>25</v>
      </c>
      <c r="K20" s="19"/>
      <c r="L20" s="50" t="s">
        <v>189</v>
      </c>
      <c r="M20" s="73" t="s">
        <v>21</v>
      </c>
      <c r="N20" s="54">
        <f t="shared" si="0"/>
        <v>25</v>
      </c>
      <c r="O20" s="170"/>
      <c r="P20" s="191"/>
      <c r="Q20" s="192"/>
      <c r="R20" s="192"/>
      <c r="S20" s="192"/>
      <c r="T20" s="192"/>
      <c r="U20" s="193"/>
    </row>
    <row r="21" spans="1:21" ht="15.75" customHeight="1">
      <c r="A21" s="85"/>
      <c r="B21" s="37">
        <f>ROW()-13</f>
        <v>8</v>
      </c>
      <c r="C21" s="145" t="s">
        <v>201</v>
      </c>
      <c r="D21" s="80"/>
      <c r="E21" s="81"/>
      <c r="F21" s="146"/>
      <c r="G21" s="17"/>
      <c r="H21" s="18" t="s">
        <v>51</v>
      </c>
      <c r="I21" s="59"/>
      <c r="J21" s="19">
        <v>4</v>
      </c>
      <c r="K21" s="19"/>
      <c r="L21" s="50" t="s">
        <v>189</v>
      </c>
      <c r="M21" s="73" t="s">
        <v>21</v>
      </c>
      <c r="N21" s="54">
        <f t="shared" si="0"/>
        <v>4</v>
      </c>
      <c r="O21" s="170"/>
      <c r="P21" s="191" t="s">
        <v>203</v>
      </c>
      <c r="Q21" s="192"/>
      <c r="R21" s="192"/>
      <c r="S21" s="192"/>
      <c r="T21" s="192"/>
      <c r="U21" s="193"/>
    </row>
    <row r="22" spans="1:21" ht="62.75" customHeight="1">
      <c r="A22" s="85"/>
      <c r="B22" s="37">
        <f>ROW()-13</f>
        <v>9</v>
      </c>
      <c r="C22" s="145" t="s">
        <v>204</v>
      </c>
      <c r="D22" s="80"/>
      <c r="E22" s="81"/>
      <c r="F22" s="146"/>
      <c r="G22" s="17"/>
      <c r="H22" s="18" t="s">
        <v>49</v>
      </c>
      <c r="I22" s="59"/>
      <c r="J22" s="19">
        <v>1</v>
      </c>
      <c r="K22" s="19"/>
      <c r="L22" s="50" t="s">
        <v>189</v>
      </c>
      <c r="M22" s="73" t="s">
        <v>21</v>
      </c>
      <c r="N22" s="54">
        <f t="shared" si="0"/>
        <v>1</v>
      </c>
      <c r="O22" s="170"/>
      <c r="P22" s="251" t="s">
        <v>265</v>
      </c>
      <c r="Q22" s="192"/>
      <c r="R22" s="192"/>
      <c r="S22" s="192"/>
      <c r="T22" s="192"/>
      <c r="U22" s="193"/>
    </row>
    <row r="23" spans="1:21" ht="27.5" customHeight="1">
      <c r="A23" s="85"/>
      <c r="B23" s="37">
        <f>ROW()-13</f>
        <v>10</v>
      </c>
      <c r="C23" s="145" t="s">
        <v>207</v>
      </c>
      <c r="D23" s="80"/>
      <c r="E23" s="81"/>
      <c r="F23" s="146"/>
      <c r="G23" s="17"/>
      <c r="H23" s="18" t="s">
        <v>49</v>
      </c>
      <c r="I23" s="59"/>
      <c r="J23" s="19">
        <v>1</v>
      </c>
      <c r="K23" s="19"/>
      <c r="L23" s="50" t="s">
        <v>189</v>
      </c>
      <c r="M23" s="73" t="s">
        <v>21</v>
      </c>
      <c r="N23" s="54">
        <f t="shared" si="0"/>
        <v>1</v>
      </c>
      <c r="O23" s="170"/>
      <c r="P23" s="251" t="s">
        <v>208</v>
      </c>
      <c r="Q23" s="192"/>
      <c r="R23" s="192"/>
      <c r="S23" s="192"/>
      <c r="T23" s="192"/>
      <c r="U23" s="193"/>
    </row>
    <row r="24" spans="1:21" ht="15.75" customHeight="1">
      <c r="A24" s="85"/>
      <c r="B24" s="37">
        <f>ROW()-13</f>
        <v>11</v>
      </c>
      <c r="C24" s="145" t="s">
        <v>209</v>
      </c>
      <c r="D24" s="80"/>
      <c r="E24" s="81"/>
      <c r="F24" s="146"/>
      <c r="G24" s="17"/>
      <c r="H24" s="18" t="s">
        <v>211</v>
      </c>
      <c r="I24" s="59"/>
      <c r="J24" s="19"/>
      <c r="K24" s="19"/>
      <c r="L24" s="50"/>
      <c r="M24" s="73" t="s">
        <v>21</v>
      </c>
      <c r="N24" s="54">
        <f t="shared" si="0"/>
        <v>0</v>
      </c>
      <c r="O24" s="170"/>
      <c r="P24" s="191"/>
      <c r="Q24" s="192"/>
      <c r="R24" s="192"/>
      <c r="S24" s="192"/>
      <c r="T24" s="192"/>
      <c r="U24" s="193"/>
    </row>
    <row r="25" spans="1:21" ht="15.75" customHeight="1">
      <c r="A25" s="85"/>
      <c r="B25" s="37">
        <f>ROW()-13</f>
        <v>12</v>
      </c>
      <c r="C25" s="145" t="s">
        <v>215</v>
      </c>
      <c r="D25" s="80"/>
      <c r="E25" s="81"/>
      <c r="F25" s="146"/>
      <c r="G25" s="17"/>
      <c r="H25" s="18" t="s">
        <v>49</v>
      </c>
      <c r="I25" s="59"/>
      <c r="J25" s="19">
        <v>1</v>
      </c>
      <c r="K25" s="19"/>
      <c r="L25" s="50"/>
      <c r="M25" s="73" t="s">
        <v>21</v>
      </c>
      <c r="N25" s="54">
        <f t="shared" si="0"/>
        <v>1</v>
      </c>
      <c r="O25" s="170"/>
      <c r="P25" s="191" t="s">
        <v>203</v>
      </c>
      <c r="Q25" s="192"/>
      <c r="R25" s="192"/>
      <c r="S25" s="192"/>
      <c r="T25" s="192"/>
      <c r="U25" s="193"/>
    </row>
    <row r="26" spans="1:21" ht="15.75" customHeight="1">
      <c r="A26" s="85"/>
      <c r="B26" s="37">
        <f>ROW()-13</f>
        <v>13</v>
      </c>
      <c r="C26" s="145" t="s">
        <v>217</v>
      </c>
      <c r="D26" s="80"/>
      <c r="E26" s="81"/>
      <c r="F26" s="146"/>
      <c r="G26" s="17"/>
      <c r="H26" s="18" t="s">
        <v>24</v>
      </c>
      <c r="I26" s="59"/>
      <c r="J26" s="19"/>
      <c r="K26" s="19"/>
      <c r="L26" s="50" t="s">
        <v>189</v>
      </c>
      <c r="M26" s="73" t="s">
        <v>21</v>
      </c>
      <c r="N26" s="54">
        <f t="shared" si="0"/>
        <v>7</v>
      </c>
      <c r="O26" s="170"/>
      <c r="P26" s="191"/>
      <c r="Q26" s="192"/>
      <c r="R26" s="192"/>
      <c r="S26" s="192"/>
      <c r="T26" s="192"/>
      <c r="U26" s="193"/>
    </row>
    <row r="27" spans="1:21" ht="39.25" customHeight="1">
      <c r="A27" s="85"/>
      <c r="B27" s="37">
        <f>ROW()-13</f>
        <v>14</v>
      </c>
      <c r="C27" s="145" t="s">
        <v>219</v>
      </c>
      <c r="D27" s="80"/>
      <c r="E27" s="81"/>
      <c r="F27" s="146"/>
      <c r="G27" s="17"/>
      <c r="H27" s="18" t="s">
        <v>49</v>
      </c>
      <c r="I27" s="59"/>
      <c r="J27" s="19">
        <v>1</v>
      </c>
      <c r="K27" s="19"/>
      <c r="L27" s="50" t="s">
        <v>189</v>
      </c>
      <c r="M27" s="73" t="s">
        <v>21</v>
      </c>
      <c r="N27" s="54">
        <f t="shared" si="0"/>
        <v>1</v>
      </c>
      <c r="O27" s="170"/>
      <c r="P27" s="251" t="s">
        <v>221</v>
      </c>
      <c r="Q27" s="192"/>
      <c r="R27" s="192"/>
      <c r="S27" s="192"/>
      <c r="T27" s="192"/>
      <c r="U27" s="193"/>
    </row>
    <row r="28" spans="1:21" ht="15.75" customHeight="1">
      <c r="A28" s="85"/>
      <c r="B28" s="37">
        <f>ROW()-13</f>
        <v>15</v>
      </c>
      <c r="C28" s="145" t="s">
        <v>222</v>
      </c>
      <c r="D28" s="80"/>
      <c r="E28" s="81"/>
      <c r="F28" s="146"/>
      <c r="G28" s="17"/>
      <c r="H28" s="18" t="s">
        <v>211</v>
      </c>
      <c r="I28" s="59"/>
      <c r="J28" s="19"/>
      <c r="K28" s="19"/>
      <c r="L28" s="50" t="s">
        <v>189</v>
      </c>
      <c r="M28" s="73" t="s">
        <v>21</v>
      </c>
      <c r="N28" s="54">
        <f t="shared" si="0"/>
        <v>0</v>
      </c>
      <c r="O28" s="170"/>
      <c r="P28" s="191"/>
      <c r="Q28" s="192"/>
      <c r="R28" s="192"/>
      <c r="S28" s="192"/>
      <c r="T28" s="192"/>
      <c r="U28" s="193"/>
    </row>
    <row r="29" spans="1:21" ht="15.75" customHeight="1">
      <c r="A29" s="85"/>
      <c r="B29" s="37">
        <f>ROW()-13</f>
        <v>16</v>
      </c>
      <c r="C29" s="145" t="s">
        <v>266</v>
      </c>
      <c r="D29" s="80"/>
      <c r="E29" s="81"/>
      <c r="F29" s="146"/>
      <c r="G29" s="17"/>
      <c r="H29" s="18" t="s">
        <v>24</v>
      </c>
      <c r="I29" s="59"/>
      <c r="J29" s="19"/>
      <c r="K29" s="19"/>
      <c r="L29" s="50"/>
      <c r="M29" s="73" t="s">
        <v>21</v>
      </c>
      <c r="N29" s="54">
        <f t="shared" si="0"/>
        <v>7</v>
      </c>
      <c r="O29" s="170"/>
      <c r="P29" s="191"/>
      <c r="Q29" s="192"/>
      <c r="R29" s="192"/>
      <c r="S29" s="192"/>
      <c r="T29" s="192"/>
      <c r="U29" s="193"/>
    </row>
    <row r="30" spans="1:21" ht="15.75" customHeight="1">
      <c r="A30" s="85"/>
      <c r="B30" s="37">
        <f>ROW()-13</f>
        <v>17</v>
      </c>
      <c r="C30" s="145" t="s">
        <v>267</v>
      </c>
      <c r="D30" s="80"/>
      <c r="E30" s="81"/>
      <c r="F30" s="146"/>
      <c r="G30" s="17"/>
      <c r="H30" s="18" t="s">
        <v>54</v>
      </c>
      <c r="I30" s="59"/>
      <c r="J30" s="19"/>
      <c r="K30" s="19"/>
      <c r="L30" s="50"/>
      <c r="M30" s="73" t="s">
        <v>21</v>
      </c>
      <c r="N30" s="54">
        <f t="shared" si="0"/>
        <v>0</v>
      </c>
      <c r="O30" s="170"/>
      <c r="P30" s="191"/>
      <c r="Q30" s="192"/>
      <c r="R30" s="192"/>
      <c r="S30" s="192"/>
      <c r="T30" s="192"/>
      <c r="U30" s="193"/>
    </row>
    <row r="31" spans="1:21" ht="39.25" customHeight="1">
      <c r="A31" s="85"/>
      <c r="B31" s="37">
        <f>ROW()-13</f>
        <v>18</v>
      </c>
      <c r="C31" s="145" t="s">
        <v>268</v>
      </c>
      <c r="D31" s="80"/>
      <c r="E31" s="81"/>
      <c r="F31" s="146"/>
      <c r="G31" s="17"/>
      <c r="H31" s="18" t="s">
        <v>49</v>
      </c>
      <c r="I31" s="59"/>
      <c r="J31" s="19">
        <v>1</v>
      </c>
      <c r="K31" s="19"/>
      <c r="L31" s="50" t="s">
        <v>189</v>
      </c>
      <c r="M31" s="73" t="s">
        <v>21</v>
      </c>
      <c r="N31" s="54">
        <f t="shared" si="0"/>
        <v>1</v>
      </c>
      <c r="O31" s="170"/>
      <c r="P31" s="251" t="s">
        <v>221</v>
      </c>
      <c r="Q31" s="192"/>
      <c r="R31" s="192"/>
      <c r="S31" s="192"/>
      <c r="T31" s="192"/>
      <c r="U31" s="193"/>
    </row>
    <row r="32" spans="1:21" ht="27.5" customHeight="1">
      <c r="A32" s="85"/>
      <c r="B32" s="37">
        <f>ROW()-13</f>
        <v>19</v>
      </c>
      <c r="C32" s="145" t="s">
        <v>227</v>
      </c>
      <c r="D32" s="80"/>
      <c r="E32" s="81"/>
      <c r="F32" s="146"/>
      <c r="G32" s="17"/>
      <c r="H32" s="18" t="s">
        <v>49</v>
      </c>
      <c r="I32" s="59"/>
      <c r="J32" s="19">
        <v>1</v>
      </c>
      <c r="K32" s="19"/>
      <c r="L32" s="50" t="s">
        <v>189</v>
      </c>
      <c r="M32" s="73" t="s">
        <v>21</v>
      </c>
      <c r="N32" s="54">
        <f t="shared" si="0"/>
        <v>1</v>
      </c>
      <c r="O32" s="170"/>
      <c r="P32" s="251" t="s">
        <v>269</v>
      </c>
      <c r="Q32" s="192"/>
      <c r="R32" s="192"/>
      <c r="S32" s="192"/>
      <c r="T32" s="192"/>
      <c r="U32" s="193"/>
    </row>
    <row r="33" spans="1:21" ht="15.75" customHeight="1">
      <c r="A33" s="85"/>
      <c r="B33" s="37">
        <f>ROW()-13</f>
        <v>20</v>
      </c>
      <c r="C33" s="145" t="s">
        <v>270</v>
      </c>
      <c r="D33" s="80"/>
      <c r="E33" s="81"/>
      <c r="F33" s="146"/>
      <c r="G33" s="17"/>
      <c r="H33" s="18" t="s">
        <v>51</v>
      </c>
      <c r="I33" s="59"/>
      <c r="J33" s="19">
        <v>3</v>
      </c>
      <c r="K33" s="19"/>
      <c r="L33" s="50"/>
      <c r="M33" s="73" t="s">
        <v>21</v>
      </c>
      <c r="N33" s="54">
        <f t="shared" si="0"/>
        <v>3</v>
      </c>
      <c r="O33" s="170"/>
      <c r="P33" s="191"/>
      <c r="Q33" s="192"/>
      <c r="R33" s="192"/>
      <c r="S33" s="192"/>
      <c r="T33" s="192"/>
      <c r="U33" s="193"/>
    </row>
    <row r="34" spans="1:21" ht="15.75" customHeight="1">
      <c r="A34" s="85"/>
      <c r="B34" s="37">
        <f>ROW()-13</f>
        <v>21</v>
      </c>
      <c r="C34" s="145" t="s">
        <v>271</v>
      </c>
      <c r="D34" s="80"/>
      <c r="E34" s="81"/>
      <c r="F34" s="146"/>
      <c r="G34" s="17"/>
      <c r="H34" s="18" t="s">
        <v>49</v>
      </c>
      <c r="I34" s="59"/>
      <c r="J34" s="19">
        <v>4</v>
      </c>
      <c r="K34" s="19"/>
      <c r="L34" s="50"/>
      <c r="M34" s="73" t="s">
        <v>21</v>
      </c>
      <c r="N34" s="54">
        <f t="shared" si="0"/>
        <v>4</v>
      </c>
      <c r="O34" s="170"/>
      <c r="P34" s="191"/>
      <c r="Q34" s="192"/>
      <c r="R34" s="192"/>
      <c r="S34" s="192"/>
      <c r="T34" s="192"/>
      <c r="U34" s="193"/>
    </row>
    <row r="35" spans="1:21" ht="15.75" customHeight="1">
      <c r="A35" s="85"/>
      <c r="B35" s="37">
        <f>ROW()-13</f>
        <v>22</v>
      </c>
      <c r="C35" s="145" t="s">
        <v>272</v>
      </c>
      <c r="D35" s="80"/>
      <c r="E35" s="81"/>
      <c r="F35" s="146"/>
      <c r="G35" s="17"/>
      <c r="H35" s="18" t="s">
        <v>49</v>
      </c>
      <c r="I35" s="59"/>
      <c r="J35" s="19">
        <v>10</v>
      </c>
      <c r="K35" s="19"/>
      <c r="L35" s="50"/>
      <c r="M35" s="73" t="s">
        <v>21</v>
      </c>
      <c r="N35" s="54">
        <f t="shared" si="0"/>
        <v>10</v>
      </c>
      <c r="O35" s="170"/>
      <c r="P35" s="191"/>
      <c r="Q35" s="192"/>
      <c r="R35" s="192"/>
      <c r="S35" s="192"/>
      <c r="T35" s="192"/>
      <c r="U35" s="193"/>
    </row>
    <row r="36" spans="1:21" ht="15.75" customHeight="1">
      <c r="A36" s="85"/>
      <c r="B36" s="37">
        <f>ROW()-13</f>
        <v>23</v>
      </c>
      <c r="C36" s="145" t="s">
        <v>273</v>
      </c>
      <c r="D36" s="80"/>
      <c r="E36" s="81"/>
      <c r="F36" s="146"/>
      <c r="G36" s="17"/>
      <c r="H36" s="18" t="s">
        <v>49</v>
      </c>
      <c r="I36" s="59"/>
      <c r="J36" s="19">
        <v>5</v>
      </c>
      <c r="K36" s="19"/>
      <c r="L36" s="50"/>
      <c r="M36" s="73" t="s">
        <v>21</v>
      </c>
      <c r="N36" s="54">
        <f t="shared" si="0"/>
        <v>5</v>
      </c>
      <c r="O36" s="170"/>
      <c r="P36" s="191"/>
      <c r="Q36" s="192"/>
      <c r="R36" s="192"/>
      <c r="S36" s="192"/>
      <c r="T36" s="192"/>
      <c r="U36" s="193"/>
    </row>
    <row r="37" spans="1:21" ht="15.75" customHeight="1">
      <c r="A37" s="85"/>
      <c r="B37" s="37">
        <f>ROW()-13</f>
        <v>24</v>
      </c>
      <c r="C37" s="145" t="s">
        <v>274</v>
      </c>
      <c r="D37" s="80"/>
      <c r="E37" s="81"/>
      <c r="F37" s="146"/>
      <c r="G37" s="17"/>
      <c r="H37" s="18" t="s">
        <v>49</v>
      </c>
      <c r="I37" s="59"/>
      <c r="J37" s="19">
        <v>1</v>
      </c>
      <c r="K37" s="19"/>
      <c r="L37" s="50"/>
      <c r="M37" s="73" t="s">
        <v>21</v>
      </c>
      <c r="N37" s="54">
        <f t="shared" si="0"/>
        <v>1</v>
      </c>
      <c r="O37" s="170"/>
      <c r="P37" s="191"/>
      <c r="Q37" s="192"/>
      <c r="R37" s="192"/>
      <c r="S37" s="192"/>
      <c r="T37" s="192"/>
      <c r="U37" s="193"/>
    </row>
    <row r="38" spans="1:21" ht="15.75" customHeight="1">
      <c r="A38" s="85"/>
      <c r="B38" s="37">
        <f>ROW()-13</f>
        <v>25</v>
      </c>
      <c r="C38" s="145" t="s">
        <v>275</v>
      </c>
      <c r="D38" s="80"/>
      <c r="E38" s="81"/>
      <c r="F38" s="146"/>
      <c r="G38" s="17"/>
      <c r="H38" s="18" t="s">
        <v>49</v>
      </c>
      <c r="I38" s="59"/>
      <c r="J38" s="19">
        <v>1</v>
      </c>
      <c r="K38" s="19"/>
      <c r="L38" s="50"/>
      <c r="M38" s="73" t="s">
        <v>21</v>
      </c>
      <c r="N38" s="54">
        <f t="shared" si="0"/>
        <v>1</v>
      </c>
      <c r="O38" s="170"/>
      <c r="P38" s="191" t="s">
        <v>203</v>
      </c>
      <c r="Q38" s="192"/>
      <c r="R38" s="192"/>
      <c r="S38" s="192"/>
      <c r="T38" s="192"/>
      <c r="U38" s="193"/>
    </row>
    <row r="39" spans="1:21" ht="15.75" customHeight="1">
      <c r="A39" s="85"/>
      <c r="B39" s="37">
        <f>ROW()-13</f>
        <v>26</v>
      </c>
      <c r="C39" s="145" t="s">
        <v>276</v>
      </c>
      <c r="D39" s="80"/>
      <c r="E39" s="81"/>
      <c r="F39" s="146"/>
      <c r="G39" s="17"/>
      <c r="H39" s="18" t="s">
        <v>51</v>
      </c>
      <c r="I39" s="59"/>
      <c r="J39" s="19">
        <v>50</v>
      </c>
      <c r="K39" s="19"/>
      <c r="L39" s="50"/>
      <c r="M39" s="73" t="s">
        <v>21</v>
      </c>
      <c r="N39" s="54">
        <f t="shared" si="0"/>
        <v>50</v>
      </c>
      <c r="O39" s="170"/>
      <c r="P39" s="191" t="s">
        <v>277</v>
      </c>
      <c r="Q39" s="192"/>
      <c r="R39" s="192"/>
      <c r="S39" s="192"/>
      <c r="T39" s="192"/>
      <c r="U39" s="193"/>
    </row>
    <row r="40" spans="1:21" ht="15.5">
      <c r="A40" s="85"/>
      <c r="B40" s="37">
        <f t="shared" ref="B40:B46" si="1">ROW()-13</f>
        <v>27</v>
      </c>
      <c r="C40" s="107" t="s">
        <v>36</v>
      </c>
      <c r="D40" s="107"/>
      <c r="E40" s="108"/>
      <c r="F40" s="109" t="s">
        <v>78</v>
      </c>
      <c r="G40" s="110"/>
      <c r="H40" s="18" t="s">
        <v>51</v>
      </c>
      <c r="I40" s="59"/>
      <c r="J40" s="113">
        <v>12</v>
      </c>
      <c r="K40" s="113"/>
      <c r="L40" s="114"/>
      <c r="M40" s="115" t="s">
        <v>35</v>
      </c>
      <c r="N40" s="116">
        <f t="shared" si="0"/>
        <v>12</v>
      </c>
      <c r="O40" s="171"/>
      <c r="P40" s="197"/>
      <c r="Q40" s="198"/>
      <c r="R40" s="198"/>
      <c r="S40" s="198"/>
      <c r="T40" s="198"/>
      <c r="U40" s="199"/>
    </row>
    <row r="41" spans="1:21" ht="15.5">
      <c r="A41" s="85"/>
      <c r="B41" s="37">
        <f t="shared" si="1"/>
        <v>28</v>
      </c>
      <c r="C41" s="107" t="s">
        <v>37</v>
      </c>
      <c r="D41" s="107"/>
      <c r="E41" s="108"/>
      <c r="F41" s="109" t="s">
        <v>43</v>
      </c>
      <c r="G41" s="110"/>
      <c r="H41" s="18" t="s">
        <v>51</v>
      </c>
      <c r="I41" s="59"/>
      <c r="J41" s="113">
        <v>10</v>
      </c>
      <c r="K41" s="113"/>
      <c r="L41" s="114"/>
      <c r="M41" s="115" t="s">
        <v>21</v>
      </c>
      <c r="N41" s="116">
        <f t="shared" si="0"/>
        <v>10</v>
      </c>
      <c r="O41" s="171"/>
      <c r="P41" s="197"/>
      <c r="Q41" s="198"/>
      <c r="R41" s="198"/>
      <c r="S41" s="198"/>
      <c r="T41" s="198"/>
      <c r="U41" s="199"/>
    </row>
    <row r="42" spans="1:21" ht="15.5">
      <c r="A42" s="85"/>
      <c r="B42" s="37">
        <f t="shared" si="1"/>
        <v>29</v>
      </c>
      <c r="C42" s="107" t="s">
        <v>38</v>
      </c>
      <c r="D42" s="107"/>
      <c r="E42" s="108"/>
      <c r="F42" s="109" t="s">
        <v>80</v>
      </c>
      <c r="G42" s="110"/>
      <c r="H42" s="18" t="s">
        <v>86</v>
      </c>
      <c r="I42" s="59"/>
      <c r="J42" s="113"/>
      <c r="K42" s="113"/>
      <c r="L42" s="114"/>
      <c r="M42" s="115" t="s">
        <v>21</v>
      </c>
      <c r="N42" s="116">
        <f t="shared" si="0"/>
        <v>0</v>
      </c>
      <c r="O42" s="171"/>
      <c r="P42" s="197"/>
      <c r="Q42" s="198"/>
      <c r="R42" s="198"/>
      <c r="S42" s="198"/>
      <c r="T42" s="198"/>
      <c r="U42" s="199"/>
    </row>
    <row r="43" spans="1:21" ht="15.5">
      <c r="A43" s="85"/>
      <c r="B43" s="37">
        <f t="shared" si="1"/>
        <v>30</v>
      </c>
      <c r="C43" s="107" t="s">
        <v>39</v>
      </c>
      <c r="D43" s="107"/>
      <c r="E43" s="108"/>
      <c r="F43" s="109" t="s">
        <v>79</v>
      </c>
      <c r="G43" s="110"/>
      <c r="H43" s="18" t="s">
        <v>51</v>
      </c>
      <c r="I43" s="59"/>
      <c r="J43" s="113">
        <v>12</v>
      </c>
      <c r="K43" s="113"/>
      <c r="L43" s="114"/>
      <c r="M43" s="115" t="s">
        <v>35</v>
      </c>
      <c r="N43" s="116">
        <f t="shared" si="0"/>
        <v>12</v>
      </c>
      <c r="O43" s="171"/>
      <c r="P43" s="197"/>
      <c r="Q43" s="198"/>
      <c r="R43" s="198"/>
      <c r="S43" s="198"/>
      <c r="T43" s="198"/>
      <c r="U43" s="199"/>
    </row>
    <row r="44" spans="1:21" ht="15.5">
      <c r="A44" s="85"/>
      <c r="B44" s="37">
        <f t="shared" si="1"/>
        <v>31</v>
      </c>
      <c r="C44" s="107" t="s">
        <v>40</v>
      </c>
      <c r="D44" s="107"/>
      <c r="E44" s="108"/>
      <c r="F44" s="109" t="s">
        <v>44</v>
      </c>
      <c r="G44" s="110"/>
      <c r="H44" s="18" t="s">
        <v>51</v>
      </c>
      <c r="I44" s="59"/>
      <c r="J44" s="113">
        <v>10</v>
      </c>
      <c r="K44" s="113"/>
      <c r="L44" s="114"/>
      <c r="M44" s="115" t="s">
        <v>21</v>
      </c>
      <c r="N44" s="116">
        <f t="shared" si="0"/>
        <v>10</v>
      </c>
      <c r="O44" s="171"/>
      <c r="P44" s="197"/>
      <c r="Q44" s="198"/>
      <c r="R44" s="198"/>
      <c r="S44" s="198"/>
      <c r="T44" s="198"/>
      <c r="U44" s="199"/>
    </row>
    <row r="45" spans="1:21" ht="15.5">
      <c r="A45" s="85"/>
      <c r="B45" s="37">
        <f t="shared" si="1"/>
        <v>32</v>
      </c>
      <c r="C45" s="107" t="s">
        <v>41</v>
      </c>
      <c r="D45" s="107"/>
      <c r="E45" s="108"/>
      <c r="F45" s="109" t="s">
        <v>81</v>
      </c>
      <c r="G45" s="110"/>
      <c r="H45" s="18" t="s">
        <v>86</v>
      </c>
      <c r="I45" s="59"/>
      <c r="J45" s="113"/>
      <c r="K45" s="113"/>
      <c r="L45" s="114"/>
      <c r="M45" s="115" t="s">
        <v>21</v>
      </c>
      <c r="N45" s="116">
        <f t="shared" si="0"/>
        <v>0</v>
      </c>
      <c r="O45" s="171"/>
      <c r="P45" s="197"/>
      <c r="Q45" s="198"/>
      <c r="R45" s="198"/>
      <c r="S45" s="198"/>
      <c r="T45" s="198"/>
      <c r="U45" s="199"/>
    </row>
    <row r="46" spans="1:21" ht="15.5">
      <c r="A46" s="85"/>
      <c r="B46" s="37">
        <f t="shared" si="1"/>
        <v>33</v>
      </c>
      <c r="C46" s="80" t="s">
        <v>46</v>
      </c>
      <c r="D46" s="80"/>
      <c r="E46" s="81"/>
      <c r="F46" s="84" t="s">
        <v>71</v>
      </c>
      <c r="G46" s="17"/>
      <c r="H46" s="18" t="s">
        <v>62</v>
      </c>
      <c r="I46" s="59"/>
      <c r="J46" s="19">
        <v>8</v>
      </c>
      <c r="K46" s="19"/>
      <c r="L46" s="50" t="s">
        <v>47</v>
      </c>
      <c r="M46" s="73" t="s">
        <v>35</v>
      </c>
      <c r="N46" s="54">
        <f t="shared" si="0"/>
        <v>8</v>
      </c>
      <c r="O46" s="170">
        <v>0</v>
      </c>
      <c r="P46" s="191" t="s">
        <v>48</v>
      </c>
      <c r="Q46" s="192"/>
      <c r="R46" s="192"/>
      <c r="S46" s="192"/>
      <c r="T46" s="192"/>
      <c r="U46" s="193"/>
    </row>
    <row r="47" spans="1:21" ht="16" thickBot="1">
      <c r="A47" s="118"/>
      <c r="B47" s="119"/>
      <c r="C47" s="120"/>
      <c r="D47" s="120"/>
      <c r="E47" s="121"/>
      <c r="F47" s="129"/>
      <c r="G47" s="122"/>
      <c r="H47" s="147"/>
      <c r="I47" s="148"/>
      <c r="J47" s="125"/>
      <c r="K47" s="125"/>
      <c r="L47" s="126"/>
      <c r="M47" s="126"/>
      <c r="N47" s="127"/>
      <c r="O47" s="172"/>
      <c r="P47" s="194"/>
      <c r="Q47" s="195"/>
      <c r="R47" s="195"/>
      <c r="S47" s="195"/>
      <c r="T47" s="195"/>
      <c r="U47" s="196"/>
    </row>
  </sheetData>
  <mergeCells count="64">
    <mergeCell ref="P46:U46"/>
    <mergeCell ref="P47:U47"/>
    <mergeCell ref="P40:U40"/>
    <mergeCell ref="P41:U41"/>
    <mergeCell ref="P42:U42"/>
    <mergeCell ref="P43:U43"/>
    <mergeCell ref="P44:U44"/>
    <mergeCell ref="P45:U45"/>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7"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19458"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19459"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19460"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19461"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19462"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8DD4C722-EFEC-4B96-8A60-9065B607FA68}">
            <xm:f>(AND(H14&lt;&gt;"",ISERROR(VLOOKUP(H14,system!$E:$E,1,FALSE))))</xm:f>
            <x14:dxf>
              <fill>
                <patternFill patternType="solid">
                  <bgColor rgb="FFFF0000"/>
                </patternFill>
              </fill>
            </x14:dxf>
          </x14:cfRule>
          <xm:sqref>H14:H39</xm:sqref>
        </x14:conditionalFormatting>
        <x14:conditionalFormatting xmlns:xm="http://schemas.microsoft.com/office/excel/2006/main">
          <x14:cfRule type="expression" priority="3" id="{BC4152EF-281C-464F-AB7E-B07F0E2BB7ED}">
            <xm:f>(AND(H14&lt;&gt;"",ISERROR(VLOOKUP(H14,system!$E:$E,1,FALSE))))</xm:f>
            <x14:dxf>
              <fill>
                <patternFill>
                  <bgColor rgb="FFFF0000"/>
                </patternFill>
              </fill>
            </x14:dxf>
          </x14:cfRule>
          <xm:sqref>I14:I39</xm:sqref>
        </x14:conditionalFormatting>
        <x14:conditionalFormatting xmlns:xm="http://schemas.microsoft.com/office/excel/2006/main">
          <x14:cfRule type="expression" priority="2" id="{6C643D2C-390B-47DB-B4F8-B0F8D178BBDF}">
            <xm:f>(AND(H40&lt;&gt;"",ISERROR(VLOOKUP(H40,system!$E:$E,1,FALSE))))</xm:f>
            <x14:dxf>
              <fill>
                <patternFill patternType="solid">
                  <bgColor rgb="FFFF0000"/>
                </patternFill>
              </fill>
            </x14:dxf>
          </x14:cfRule>
          <xm:sqref>H40:H47</xm:sqref>
        </x14:conditionalFormatting>
        <x14:conditionalFormatting xmlns:xm="http://schemas.microsoft.com/office/excel/2006/main">
          <x14:cfRule type="expression" priority="1" id="{C2C71C44-6106-40BC-A1F2-E0C3303506FD}">
            <xm:f>(AND(H40&lt;&gt;"",ISERROR(VLOOKUP(H40,system!$E:$E,1,FALSE))))</xm:f>
            <x14:dxf>
              <fill>
                <patternFill>
                  <bgColor rgb="FFFF0000"/>
                </patternFill>
              </fill>
            </x14:dxf>
          </x14:cfRule>
          <xm:sqref>I40:I47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81D10-59DD-49E3-96E0-192C18133A8B}">
  <sheetPr codeName="Sheet19">
    <pageSetUpPr fitToPage="1"/>
  </sheetPr>
  <dimension ref="A1:U38"/>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279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133</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SUM(N14:N39)</f>
        <v>92</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37" si="0">IF(H14="NUMBER",IF(J14&gt;0,INT((J14+1)/2+0.9),0),IF(H14="DATE",7,IF(OR(H14="LONG",H14="LONG RAW"),100000,J14)))</f>
        <v>1</v>
      </c>
      <c r="O14" s="170"/>
      <c r="P14" s="191" t="s">
        <v>175</v>
      </c>
      <c r="Q14" s="192"/>
      <c r="R14" s="192"/>
      <c r="S14" s="192"/>
      <c r="T14" s="192"/>
      <c r="U14" s="193"/>
    </row>
    <row r="15" spans="1:21" ht="15.75" customHeight="1">
      <c r="A15" s="85" t="s">
        <v>190</v>
      </c>
      <c r="B15" s="37">
        <f>ROW()-13</f>
        <v>2</v>
      </c>
      <c r="C15" s="145" t="s">
        <v>191</v>
      </c>
      <c r="D15" s="80"/>
      <c r="E15" s="81"/>
      <c r="F15" s="146"/>
      <c r="G15" s="17"/>
      <c r="H15" s="18" t="s">
        <v>49</v>
      </c>
      <c r="I15" s="59"/>
      <c r="J15" s="19">
        <v>7</v>
      </c>
      <c r="K15" s="19"/>
      <c r="L15" s="50" t="s">
        <v>189</v>
      </c>
      <c r="M15" s="73" t="s">
        <v>21</v>
      </c>
      <c r="N15" s="54">
        <f t="shared" si="0"/>
        <v>7</v>
      </c>
      <c r="O15" s="170"/>
      <c r="P15" s="191"/>
      <c r="Q15" s="192"/>
      <c r="R15" s="192"/>
      <c r="S15" s="192"/>
      <c r="T15" s="192"/>
      <c r="U15" s="193"/>
    </row>
    <row r="16" spans="1:21" ht="15.75" customHeight="1">
      <c r="A16" s="85" t="s">
        <v>190</v>
      </c>
      <c r="B16" s="37">
        <f>ROW()-13</f>
        <v>3</v>
      </c>
      <c r="C16" s="145" t="s">
        <v>197</v>
      </c>
      <c r="D16" s="80"/>
      <c r="E16" s="81"/>
      <c r="F16" s="146"/>
      <c r="G16" s="17"/>
      <c r="H16" s="18" t="s">
        <v>49</v>
      </c>
      <c r="I16" s="59"/>
      <c r="J16" s="19">
        <v>1</v>
      </c>
      <c r="K16" s="19"/>
      <c r="L16" s="50" t="s">
        <v>189</v>
      </c>
      <c r="M16" s="73" t="s">
        <v>21</v>
      </c>
      <c r="N16" s="54">
        <f t="shared" si="0"/>
        <v>1</v>
      </c>
      <c r="O16" s="170"/>
      <c r="P16" s="191" t="s">
        <v>175</v>
      </c>
      <c r="Q16" s="192"/>
      <c r="R16" s="192"/>
      <c r="S16" s="192"/>
      <c r="T16" s="192"/>
      <c r="U16" s="193"/>
    </row>
    <row r="17" spans="1:21" ht="15.75" customHeight="1">
      <c r="A17" s="85" t="s">
        <v>190</v>
      </c>
      <c r="B17" s="37">
        <f>ROW()-13</f>
        <v>4</v>
      </c>
      <c r="C17" s="145" t="s">
        <v>199</v>
      </c>
      <c r="D17" s="80"/>
      <c r="E17" s="81"/>
      <c r="F17" s="146"/>
      <c r="G17" s="17"/>
      <c r="H17" s="18" t="s">
        <v>51</v>
      </c>
      <c r="I17" s="59"/>
      <c r="J17" s="19">
        <v>25</v>
      </c>
      <c r="K17" s="19"/>
      <c r="L17" s="50" t="s">
        <v>189</v>
      </c>
      <c r="M17" s="73" t="s">
        <v>21</v>
      </c>
      <c r="N17" s="54">
        <f t="shared" si="0"/>
        <v>25</v>
      </c>
      <c r="O17" s="170"/>
      <c r="P17" s="191"/>
      <c r="Q17" s="192"/>
      <c r="R17" s="192"/>
      <c r="S17" s="192"/>
      <c r="T17" s="192"/>
      <c r="U17" s="193"/>
    </row>
    <row r="18" spans="1:21" ht="15.75" customHeight="1">
      <c r="A18" s="85" t="s">
        <v>190</v>
      </c>
      <c r="B18" s="37">
        <f>ROW()-13</f>
        <v>5</v>
      </c>
      <c r="C18" s="145" t="s">
        <v>201</v>
      </c>
      <c r="D18" s="80"/>
      <c r="E18" s="81"/>
      <c r="F18" s="146"/>
      <c r="G18" s="17"/>
      <c r="H18" s="18" t="s">
        <v>51</v>
      </c>
      <c r="I18" s="59"/>
      <c r="J18" s="19">
        <v>4</v>
      </c>
      <c r="K18" s="19"/>
      <c r="L18" s="50" t="s">
        <v>189</v>
      </c>
      <c r="M18" s="73" t="s">
        <v>21</v>
      </c>
      <c r="N18" s="54">
        <f t="shared" si="0"/>
        <v>4</v>
      </c>
      <c r="O18" s="170"/>
      <c r="P18" s="191" t="s">
        <v>203</v>
      </c>
      <c r="Q18" s="192"/>
      <c r="R18" s="192"/>
      <c r="S18" s="192"/>
      <c r="T18" s="192"/>
      <c r="U18" s="193"/>
    </row>
    <row r="19" spans="1:21" ht="62.75" customHeight="1">
      <c r="A19" s="85" t="s">
        <v>190</v>
      </c>
      <c r="B19" s="37">
        <f>ROW()-13</f>
        <v>6</v>
      </c>
      <c r="C19" s="145" t="s">
        <v>204</v>
      </c>
      <c r="D19" s="80"/>
      <c r="E19" s="81"/>
      <c r="F19" s="146"/>
      <c r="G19" s="17"/>
      <c r="H19" s="18" t="s">
        <v>49</v>
      </c>
      <c r="I19" s="59"/>
      <c r="J19" s="19">
        <v>1</v>
      </c>
      <c r="K19" s="19"/>
      <c r="L19" s="50" t="s">
        <v>189</v>
      </c>
      <c r="M19" s="73" t="s">
        <v>21</v>
      </c>
      <c r="N19" s="54">
        <f t="shared" si="0"/>
        <v>1</v>
      </c>
      <c r="O19" s="170"/>
      <c r="P19" s="251" t="s">
        <v>265</v>
      </c>
      <c r="Q19" s="192"/>
      <c r="R19" s="192"/>
      <c r="S19" s="192"/>
      <c r="T19" s="192"/>
      <c r="U19" s="193"/>
    </row>
    <row r="20" spans="1:21" ht="27.5" customHeight="1">
      <c r="A20" s="85" t="s">
        <v>190</v>
      </c>
      <c r="B20" s="37">
        <f>ROW()-13</f>
        <v>7</v>
      </c>
      <c r="C20" s="145" t="s">
        <v>207</v>
      </c>
      <c r="D20" s="80"/>
      <c r="E20" s="81"/>
      <c r="F20" s="146"/>
      <c r="G20" s="17"/>
      <c r="H20" s="18" t="s">
        <v>49</v>
      </c>
      <c r="I20" s="59"/>
      <c r="J20" s="19">
        <v>1</v>
      </c>
      <c r="K20" s="19"/>
      <c r="L20" s="50" t="s">
        <v>189</v>
      </c>
      <c r="M20" s="73" t="s">
        <v>21</v>
      </c>
      <c r="N20" s="54">
        <f t="shared" si="0"/>
        <v>1</v>
      </c>
      <c r="O20" s="170"/>
      <c r="P20" s="251" t="s">
        <v>208</v>
      </c>
      <c r="Q20" s="192"/>
      <c r="R20" s="192"/>
      <c r="S20" s="192"/>
      <c r="T20" s="192"/>
      <c r="U20" s="193"/>
    </row>
    <row r="21" spans="1:21" ht="15.75" customHeight="1">
      <c r="A21" s="85"/>
      <c r="B21" s="37">
        <f>ROW()-13</f>
        <v>8</v>
      </c>
      <c r="C21" s="145" t="s">
        <v>280</v>
      </c>
      <c r="D21" s="80"/>
      <c r="E21" s="81"/>
      <c r="F21" s="146"/>
      <c r="G21" s="17"/>
      <c r="H21" s="18" t="s">
        <v>211</v>
      </c>
      <c r="I21" s="59"/>
      <c r="J21" s="19"/>
      <c r="K21" s="19"/>
      <c r="L21" s="50"/>
      <c r="M21" s="73" t="s">
        <v>21</v>
      </c>
      <c r="N21" s="54">
        <f t="shared" si="0"/>
        <v>0</v>
      </c>
      <c r="O21" s="170"/>
      <c r="P21" s="191"/>
      <c r="Q21" s="192"/>
      <c r="R21" s="192"/>
      <c r="S21" s="192"/>
      <c r="T21" s="192"/>
      <c r="U21" s="193"/>
    </row>
    <row r="22" spans="1:21" ht="15.75" customHeight="1">
      <c r="A22" s="85"/>
      <c r="B22" s="37">
        <f>ROW()-13</f>
        <v>9</v>
      </c>
      <c r="C22" s="145" t="s">
        <v>281</v>
      </c>
      <c r="D22" s="80"/>
      <c r="E22" s="81"/>
      <c r="F22" s="146"/>
      <c r="G22" s="17"/>
      <c r="H22" s="18" t="s">
        <v>211</v>
      </c>
      <c r="I22" s="59"/>
      <c r="J22" s="19"/>
      <c r="K22" s="19"/>
      <c r="L22" s="50"/>
      <c r="M22" s="73" t="s">
        <v>21</v>
      </c>
      <c r="N22" s="54">
        <f t="shared" si="0"/>
        <v>0</v>
      </c>
      <c r="O22" s="170"/>
      <c r="P22" s="191"/>
      <c r="Q22" s="192"/>
      <c r="R22" s="192"/>
      <c r="S22" s="192"/>
      <c r="T22" s="192"/>
      <c r="U22" s="193"/>
    </row>
    <row r="23" spans="1:21" ht="15.75" customHeight="1">
      <c r="A23" s="85"/>
      <c r="B23" s="37">
        <f>ROW()-13</f>
        <v>10</v>
      </c>
      <c r="C23" s="145" t="s">
        <v>282</v>
      </c>
      <c r="D23" s="80"/>
      <c r="E23" s="81"/>
      <c r="F23" s="146"/>
      <c r="G23" s="17"/>
      <c r="H23" s="18" t="s">
        <v>211</v>
      </c>
      <c r="I23" s="59"/>
      <c r="J23" s="19"/>
      <c r="K23" s="19"/>
      <c r="L23" s="50"/>
      <c r="M23" s="73" t="s">
        <v>21</v>
      </c>
      <c r="N23" s="54">
        <f t="shared" si="0"/>
        <v>0</v>
      </c>
      <c r="O23" s="170"/>
      <c r="P23" s="191"/>
      <c r="Q23" s="192"/>
      <c r="R23" s="192"/>
      <c r="S23" s="192"/>
      <c r="T23" s="192"/>
      <c r="U23" s="193"/>
    </row>
    <row r="24" spans="1:21" ht="15.75" customHeight="1">
      <c r="A24" s="85"/>
      <c r="B24" s="37">
        <f>ROW()-13</f>
        <v>11</v>
      </c>
      <c r="C24" s="145" t="s">
        <v>283</v>
      </c>
      <c r="D24" s="80"/>
      <c r="E24" s="81"/>
      <c r="F24" s="146"/>
      <c r="G24" s="17"/>
      <c r="H24" s="18" t="s">
        <v>211</v>
      </c>
      <c r="I24" s="59"/>
      <c r="J24" s="19"/>
      <c r="K24" s="19"/>
      <c r="L24" s="50"/>
      <c r="M24" s="73" t="s">
        <v>21</v>
      </c>
      <c r="N24" s="54">
        <f t="shared" si="0"/>
        <v>0</v>
      </c>
      <c r="O24" s="170"/>
      <c r="P24" s="191"/>
      <c r="Q24" s="192"/>
      <c r="R24" s="192"/>
      <c r="S24" s="192"/>
      <c r="T24" s="192"/>
      <c r="U24" s="193"/>
    </row>
    <row r="25" spans="1:21" ht="15.75" customHeight="1">
      <c r="A25" s="85"/>
      <c r="B25" s="37">
        <f>ROW()-13</f>
        <v>12</v>
      </c>
      <c r="C25" s="145" t="s">
        <v>284</v>
      </c>
      <c r="D25" s="80"/>
      <c r="E25" s="81"/>
      <c r="F25" s="146"/>
      <c r="G25" s="17"/>
      <c r="H25" s="18" t="s">
        <v>211</v>
      </c>
      <c r="I25" s="59"/>
      <c r="J25" s="19"/>
      <c r="K25" s="19"/>
      <c r="L25" s="50"/>
      <c r="M25" s="73" t="s">
        <v>21</v>
      </c>
      <c r="N25" s="54">
        <f t="shared" si="0"/>
        <v>0</v>
      </c>
      <c r="O25" s="170"/>
      <c r="P25" s="191"/>
      <c r="Q25" s="192"/>
      <c r="R25" s="192"/>
      <c r="S25" s="192"/>
      <c r="T25" s="192"/>
      <c r="U25" s="193"/>
    </row>
    <row r="26" spans="1:21" ht="15.75" customHeight="1">
      <c r="A26" s="85"/>
      <c r="B26" s="37">
        <f>ROW()-13</f>
        <v>13</v>
      </c>
      <c r="C26" s="145" t="s">
        <v>285</v>
      </c>
      <c r="D26" s="80"/>
      <c r="E26" s="81"/>
      <c r="F26" s="146"/>
      <c r="G26" s="17"/>
      <c r="H26" s="18" t="s">
        <v>211</v>
      </c>
      <c r="I26" s="59"/>
      <c r="J26" s="19"/>
      <c r="K26" s="19"/>
      <c r="L26" s="50"/>
      <c r="M26" s="73" t="s">
        <v>21</v>
      </c>
      <c r="N26" s="54">
        <f t="shared" si="0"/>
        <v>0</v>
      </c>
      <c r="O26" s="170"/>
      <c r="P26" s="191"/>
      <c r="Q26" s="192"/>
      <c r="R26" s="192"/>
      <c r="S26" s="192"/>
      <c r="T26" s="192"/>
      <c r="U26" s="193"/>
    </row>
    <row r="27" spans="1:21" ht="15.75" customHeight="1">
      <c r="A27" s="85"/>
      <c r="B27" s="37">
        <f>ROW()-13</f>
        <v>14</v>
      </c>
      <c r="C27" s="145" t="s">
        <v>286</v>
      </c>
      <c r="D27" s="80"/>
      <c r="E27" s="81"/>
      <c r="F27" s="146"/>
      <c r="G27" s="17"/>
      <c r="H27" s="18" t="s">
        <v>211</v>
      </c>
      <c r="I27" s="59"/>
      <c r="J27" s="19"/>
      <c r="K27" s="19"/>
      <c r="L27" s="50"/>
      <c r="M27" s="73" t="s">
        <v>21</v>
      </c>
      <c r="N27" s="54">
        <f t="shared" si="0"/>
        <v>0</v>
      </c>
      <c r="O27" s="170"/>
      <c r="P27" s="191"/>
      <c r="Q27" s="192"/>
      <c r="R27" s="192"/>
      <c r="S27" s="192"/>
      <c r="T27" s="192"/>
      <c r="U27" s="193"/>
    </row>
    <row r="28" spans="1:21" ht="15.75" customHeight="1">
      <c r="A28" s="85"/>
      <c r="B28" s="37">
        <f>ROW()-13</f>
        <v>15</v>
      </c>
      <c r="C28" s="145" t="s">
        <v>287</v>
      </c>
      <c r="D28" s="80"/>
      <c r="E28" s="81"/>
      <c r="F28" s="146"/>
      <c r="G28" s="17"/>
      <c r="H28" s="18" t="s">
        <v>211</v>
      </c>
      <c r="I28" s="59"/>
      <c r="J28" s="19"/>
      <c r="K28" s="19"/>
      <c r="L28" s="50"/>
      <c r="M28" s="73" t="s">
        <v>21</v>
      </c>
      <c r="N28" s="54">
        <f t="shared" si="0"/>
        <v>0</v>
      </c>
      <c r="O28" s="170"/>
      <c r="P28" s="191"/>
      <c r="Q28" s="192"/>
      <c r="R28" s="192"/>
      <c r="S28" s="192"/>
      <c r="T28" s="192"/>
      <c r="U28" s="193"/>
    </row>
    <row r="29" spans="1:21" ht="15.75" customHeight="1">
      <c r="A29" s="85"/>
      <c r="B29" s="37">
        <f>ROW()-13</f>
        <v>16</v>
      </c>
      <c r="C29" s="145" t="s">
        <v>288</v>
      </c>
      <c r="D29" s="80"/>
      <c r="E29" s="81"/>
      <c r="F29" s="146"/>
      <c r="G29" s="17"/>
      <c r="H29" s="18" t="s">
        <v>211</v>
      </c>
      <c r="I29" s="59"/>
      <c r="J29" s="19"/>
      <c r="K29" s="19"/>
      <c r="L29" s="50"/>
      <c r="M29" s="73" t="s">
        <v>21</v>
      </c>
      <c r="N29" s="54">
        <f t="shared" si="0"/>
        <v>0</v>
      </c>
      <c r="O29" s="170"/>
      <c r="P29" s="191"/>
      <c r="Q29" s="192"/>
      <c r="R29" s="192"/>
      <c r="S29" s="192"/>
      <c r="T29" s="192"/>
      <c r="U29" s="193"/>
    </row>
    <row r="30" spans="1:21" ht="27.5" customHeight="1">
      <c r="A30" s="85"/>
      <c r="B30" s="37">
        <f>ROW()-13</f>
        <v>17</v>
      </c>
      <c r="C30" s="145" t="s">
        <v>289</v>
      </c>
      <c r="D30" s="80"/>
      <c r="E30" s="81"/>
      <c r="F30" s="146"/>
      <c r="G30" s="17"/>
      <c r="H30" s="18" t="s">
        <v>211</v>
      </c>
      <c r="I30" s="59"/>
      <c r="J30" s="19"/>
      <c r="K30" s="19"/>
      <c r="L30" s="50"/>
      <c r="M30" s="73" t="s">
        <v>21</v>
      </c>
      <c r="N30" s="54">
        <f t="shared" si="0"/>
        <v>0</v>
      </c>
      <c r="O30" s="170"/>
      <c r="P30" s="251" t="s">
        <v>290</v>
      </c>
      <c r="Q30" s="192"/>
      <c r="R30" s="192"/>
      <c r="S30" s="192"/>
      <c r="T30" s="192"/>
      <c r="U30" s="193"/>
    </row>
    <row r="31" spans="1:21" ht="15.5">
      <c r="A31" s="85"/>
      <c r="B31" s="37">
        <f t="shared" ref="B31:B37" si="1">ROW()-13</f>
        <v>18</v>
      </c>
      <c r="C31" s="107" t="s">
        <v>36</v>
      </c>
      <c r="D31" s="107"/>
      <c r="E31" s="108"/>
      <c r="F31" s="109" t="s">
        <v>78</v>
      </c>
      <c r="G31" s="110"/>
      <c r="H31" s="18" t="s">
        <v>51</v>
      </c>
      <c r="I31" s="59"/>
      <c r="J31" s="113">
        <v>12</v>
      </c>
      <c r="K31" s="113"/>
      <c r="L31" s="114"/>
      <c r="M31" s="115" t="s">
        <v>35</v>
      </c>
      <c r="N31" s="116">
        <f t="shared" si="0"/>
        <v>12</v>
      </c>
      <c r="O31" s="171"/>
      <c r="P31" s="197"/>
      <c r="Q31" s="198"/>
      <c r="R31" s="198"/>
      <c r="S31" s="198"/>
      <c r="T31" s="198"/>
      <c r="U31" s="199"/>
    </row>
    <row r="32" spans="1:21" ht="15.5">
      <c r="A32" s="85"/>
      <c r="B32" s="37">
        <f t="shared" si="1"/>
        <v>19</v>
      </c>
      <c r="C32" s="107" t="s">
        <v>37</v>
      </c>
      <c r="D32" s="107"/>
      <c r="E32" s="108"/>
      <c r="F32" s="109" t="s">
        <v>43</v>
      </c>
      <c r="G32" s="110"/>
      <c r="H32" s="18" t="s">
        <v>51</v>
      </c>
      <c r="I32" s="59"/>
      <c r="J32" s="113">
        <v>10</v>
      </c>
      <c r="K32" s="113"/>
      <c r="L32" s="114"/>
      <c r="M32" s="115" t="s">
        <v>21</v>
      </c>
      <c r="N32" s="116">
        <f t="shared" si="0"/>
        <v>10</v>
      </c>
      <c r="O32" s="171"/>
      <c r="P32" s="197"/>
      <c r="Q32" s="198"/>
      <c r="R32" s="198"/>
      <c r="S32" s="198"/>
      <c r="T32" s="198"/>
      <c r="U32" s="199"/>
    </row>
    <row r="33" spans="1:21" ht="15.5">
      <c r="A33" s="85"/>
      <c r="B33" s="37">
        <f t="shared" si="1"/>
        <v>20</v>
      </c>
      <c r="C33" s="107" t="s">
        <v>38</v>
      </c>
      <c r="D33" s="107"/>
      <c r="E33" s="108"/>
      <c r="F33" s="109" t="s">
        <v>80</v>
      </c>
      <c r="G33" s="110"/>
      <c r="H33" s="18" t="s">
        <v>86</v>
      </c>
      <c r="I33" s="59"/>
      <c r="J33" s="113"/>
      <c r="K33" s="113"/>
      <c r="L33" s="114"/>
      <c r="M33" s="115" t="s">
        <v>21</v>
      </c>
      <c r="N33" s="116">
        <f t="shared" si="0"/>
        <v>0</v>
      </c>
      <c r="O33" s="171"/>
      <c r="P33" s="197"/>
      <c r="Q33" s="198"/>
      <c r="R33" s="198"/>
      <c r="S33" s="198"/>
      <c r="T33" s="198"/>
      <c r="U33" s="199"/>
    </row>
    <row r="34" spans="1:21" ht="15.5">
      <c r="A34" s="85"/>
      <c r="B34" s="37">
        <f t="shared" si="1"/>
        <v>21</v>
      </c>
      <c r="C34" s="107" t="s">
        <v>39</v>
      </c>
      <c r="D34" s="107"/>
      <c r="E34" s="108"/>
      <c r="F34" s="109" t="s">
        <v>79</v>
      </c>
      <c r="G34" s="110"/>
      <c r="H34" s="18" t="s">
        <v>51</v>
      </c>
      <c r="I34" s="59"/>
      <c r="J34" s="113">
        <v>12</v>
      </c>
      <c r="K34" s="113"/>
      <c r="L34" s="114"/>
      <c r="M34" s="115" t="s">
        <v>35</v>
      </c>
      <c r="N34" s="116">
        <f t="shared" si="0"/>
        <v>12</v>
      </c>
      <c r="O34" s="171"/>
      <c r="P34" s="197"/>
      <c r="Q34" s="198"/>
      <c r="R34" s="198"/>
      <c r="S34" s="198"/>
      <c r="T34" s="198"/>
      <c r="U34" s="199"/>
    </row>
    <row r="35" spans="1:21" ht="15.5">
      <c r="A35" s="85"/>
      <c r="B35" s="37">
        <f t="shared" si="1"/>
        <v>22</v>
      </c>
      <c r="C35" s="107" t="s">
        <v>40</v>
      </c>
      <c r="D35" s="107"/>
      <c r="E35" s="108"/>
      <c r="F35" s="109" t="s">
        <v>44</v>
      </c>
      <c r="G35" s="110"/>
      <c r="H35" s="18" t="s">
        <v>51</v>
      </c>
      <c r="I35" s="59"/>
      <c r="J35" s="113">
        <v>10</v>
      </c>
      <c r="K35" s="113"/>
      <c r="L35" s="114"/>
      <c r="M35" s="115" t="s">
        <v>21</v>
      </c>
      <c r="N35" s="116">
        <f t="shared" si="0"/>
        <v>10</v>
      </c>
      <c r="O35" s="171"/>
      <c r="P35" s="197"/>
      <c r="Q35" s="198"/>
      <c r="R35" s="198"/>
      <c r="S35" s="198"/>
      <c r="T35" s="198"/>
      <c r="U35" s="199"/>
    </row>
    <row r="36" spans="1:21" ht="15.5">
      <c r="A36" s="85"/>
      <c r="B36" s="37">
        <f t="shared" si="1"/>
        <v>23</v>
      </c>
      <c r="C36" s="107" t="s">
        <v>41</v>
      </c>
      <c r="D36" s="107"/>
      <c r="E36" s="108"/>
      <c r="F36" s="109" t="s">
        <v>81</v>
      </c>
      <c r="G36" s="110"/>
      <c r="H36" s="18" t="s">
        <v>86</v>
      </c>
      <c r="I36" s="59"/>
      <c r="J36" s="113"/>
      <c r="K36" s="113"/>
      <c r="L36" s="114"/>
      <c r="M36" s="115" t="s">
        <v>21</v>
      </c>
      <c r="N36" s="116">
        <f t="shared" si="0"/>
        <v>0</v>
      </c>
      <c r="O36" s="171"/>
      <c r="P36" s="197"/>
      <c r="Q36" s="198"/>
      <c r="R36" s="198"/>
      <c r="S36" s="198"/>
      <c r="T36" s="198"/>
      <c r="U36" s="199"/>
    </row>
    <row r="37" spans="1:21" ht="15.5">
      <c r="A37" s="85"/>
      <c r="B37" s="37">
        <f t="shared" si="1"/>
        <v>24</v>
      </c>
      <c r="C37" s="80" t="s">
        <v>46</v>
      </c>
      <c r="D37" s="80"/>
      <c r="E37" s="81"/>
      <c r="F37" s="84" t="s">
        <v>71</v>
      </c>
      <c r="G37" s="17"/>
      <c r="H37" s="18" t="s">
        <v>62</v>
      </c>
      <c r="I37" s="59"/>
      <c r="J37" s="19">
        <v>8</v>
      </c>
      <c r="K37" s="19"/>
      <c r="L37" s="50" t="s">
        <v>47</v>
      </c>
      <c r="M37" s="73" t="s">
        <v>35</v>
      </c>
      <c r="N37" s="54">
        <f t="shared" si="0"/>
        <v>8</v>
      </c>
      <c r="O37" s="170">
        <v>0</v>
      </c>
      <c r="P37" s="191" t="s">
        <v>48</v>
      </c>
      <c r="Q37" s="192"/>
      <c r="R37" s="192"/>
      <c r="S37" s="192"/>
      <c r="T37" s="192"/>
      <c r="U37" s="193"/>
    </row>
    <row r="38" spans="1:21" ht="16" thickBot="1">
      <c r="A38" s="118"/>
      <c r="B38" s="119"/>
      <c r="C38" s="120"/>
      <c r="D38" s="120"/>
      <c r="E38" s="121"/>
      <c r="F38" s="129"/>
      <c r="G38" s="122"/>
      <c r="H38" s="147"/>
      <c r="I38" s="148"/>
      <c r="J38" s="125"/>
      <c r="K38" s="125"/>
      <c r="L38" s="126"/>
      <c r="M38" s="126"/>
      <c r="N38" s="127"/>
      <c r="O38" s="172"/>
      <c r="P38" s="194"/>
      <c r="Q38" s="195"/>
      <c r="R38" s="195"/>
      <c r="S38" s="195"/>
      <c r="T38" s="195"/>
      <c r="U38" s="196"/>
    </row>
  </sheetData>
  <mergeCells count="55">
    <mergeCell ref="P34:U34"/>
    <mergeCell ref="P35:U35"/>
    <mergeCell ref="P36:U36"/>
    <mergeCell ref="P37:U37"/>
    <mergeCell ref="P38:U38"/>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20482"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20483"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20484"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20485"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20486"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849AEE6B-1645-4292-A9F1-D0693980D3A3}">
            <xm:f>(AND(H14&lt;&gt;"",ISERROR(VLOOKUP(H14,system!$E:$E,1,FALSE))))</xm:f>
            <x14:dxf>
              <fill>
                <patternFill patternType="solid">
                  <bgColor rgb="FFFF0000"/>
                </patternFill>
              </fill>
            </x14:dxf>
          </x14:cfRule>
          <xm:sqref>H14:H30</xm:sqref>
        </x14:conditionalFormatting>
        <x14:conditionalFormatting xmlns:xm="http://schemas.microsoft.com/office/excel/2006/main">
          <x14:cfRule type="expression" priority="3" id="{49AC00EB-DDA3-4318-BD6F-AD6F30E4666A}">
            <xm:f>(AND(H14&lt;&gt;"",ISERROR(VLOOKUP(H14,system!$E:$E,1,FALSE))))</xm:f>
            <x14:dxf>
              <fill>
                <patternFill>
                  <bgColor rgb="FFFF0000"/>
                </patternFill>
              </fill>
            </x14:dxf>
          </x14:cfRule>
          <xm:sqref>I14:I30</xm:sqref>
        </x14:conditionalFormatting>
        <x14:conditionalFormatting xmlns:xm="http://schemas.microsoft.com/office/excel/2006/main">
          <x14:cfRule type="expression" priority="2" id="{CF8B2877-5EC7-409E-8142-AE2D010E25A2}">
            <xm:f>(AND(H31&lt;&gt;"",ISERROR(VLOOKUP(H31,system!$E:$E,1,FALSE))))</xm:f>
            <x14:dxf>
              <fill>
                <patternFill patternType="solid">
                  <bgColor rgb="FFFF0000"/>
                </patternFill>
              </fill>
            </x14:dxf>
          </x14:cfRule>
          <xm:sqref>H31:H38</xm:sqref>
        </x14:conditionalFormatting>
        <x14:conditionalFormatting xmlns:xm="http://schemas.microsoft.com/office/excel/2006/main">
          <x14:cfRule type="expression" priority="1" id="{8608F31B-AB8B-4788-81E3-6DEDB829FBE0}">
            <xm:f>(AND(H31&lt;&gt;"",ISERROR(VLOOKUP(H31,system!$E:$E,1,FALSE))))</xm:f>
            <x14:dxf>
              <fill>
                <patternFill>
                  <bgColor rgb="FFFF0000"/>
                </patternFill>
              </fill>
            </x14:dxf>
          </x14:cfRule>
          <xm:sqref>I31:I38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A18C9-DA1C-49E8-B7C1-8C83331BAB26}">
  <sheetPr codeName="Sheet20">
    <pageSetUpPr fitToPage="1"/>
  </sheetPr>
  <dimension ref="A1:U41"/>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292</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134</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SUM(N14:N42)</f>
        <v>133</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40" si="0">IF(H14="NUMBER",IF(J14&gt;0,INT((J14+1)/2+0.9),0),IF(H14="DATE",7,IF(OR(H14="LONG",H14="LONG RAW"),100000,J14)))</f>
        <v>1</v>
      </c>
      <c r="O14" s="170"/>
      <c r="P14" s="191" t="s">
        <v>175</v>
      </c>
      <c r="Q14" s="192"/>
      <c r="R14" s="192"/>
      <c r="S14" s="192"/>
      <c r="T14" s="192"/>
      <c r="U14" s="193"/>
    </row>
    <row r="15" spans="1:21" ht="15.75" customHeight="1">
      <c r="A15" s="85" t="s">
        <v>190</v>
      </c>
      <c r="B15" s="37">
        <f>ROW()-13</f>
        <v>2</v>
      </c>
      <c r="C15" s="145" t="s">
        <v>293</v>
      </c>
      <c r="D15" s="80"/>
      <c r="E15" s="81"/>
      <c r="F15" s="146"/>
      <c r="G15" s="17"/>
      <c r="H15" s="18" t="s">
        <v>51</v>
      </c>
      <c r="I15" s="59"/>
      <c r="J15" s="19">
        <v>14</v>
      </c>
      <c r="K15" s="19"/>
      <c r="L15" s="50" t="s">
        <v>189</v>
      </c>
      <c r="M15" s="73" t="s">
        <v>21</v>
      </c>
      <c r="N15" s="54">
        <f t="shared" si="0"/>
        <v>14</v>
      </c>
      <c r="O15" s="170"/>
      <c r="P15" s="191" t="s">
        <v>294</v>
      </c>
      <c r="Q15" s="192"/>
      <c r="R15" s="192"/>
      <c r="S15" s="192"/>
      <c r="T15" s="192"/>
      <c r="U15" s="193"/>
    </row>
    <row r="16" spans="1:21" ht="15.75" customHeight="1">
      <c r="A16" s="85"/>
      <c r="B16" s="37">
        <f>ROW()-13</f>
        <v>3</v>
      </c>
      <c r="C16" s="145" t="s">
        <v>191</v>
      </c>
      <c r="D16" s="80"/>
      <c r="E16" s="81"/>
      <c r="F16" s="146"/>
      <c r="G16" s="17"/>
      <c r="H16" s="18" t="s">
        <v>49</v>
      </c>
      <c r="I16" s="59"/>
      <c r="J16" s="19">
        <v>7</v>
      </c>
      <c r="K16" s="19"/>
      <c r="L16" s="50" t="s">
        <v>189</v>
      </c>
      <c r="M16" s="73" t="s">
        <v>21</v>
      </c>
      <c r="N16" s="54">
        <f t="shared" si="0"/>
        <v>7</v>
      </c>
      <c r="O16" s="170"/>
      <c r="P16" s="191"/>
      <c r="Q16" s="192"/>
      <c r="R16" s="192"/>
      <c r="S16" s="192"/>
      <c r="T16" s="192"/>
      <c r="U16" s="193"/>
    </row>
    <row r="17" spans="1:21" ht="15.75" customHeight="1">
      <c r="A17" s="85"/>
      <c r="B17" s="37">
        <f>ROW()-13</f>
        <v>4</v>
      </c>
      <c r="C17" s="145" t="s">
        <v>195</v>
      </c>
      <c r="D17" s="80"/>
      <c r="E17" s="81"/>
      <c r="F17" s="146"/>
      <c r="G17" s="17"/>
      <c r="H17" s="18" t="s">
        <v>49</v>
      </c>
      <c r="I17" s="59"/>
      <c r="J17" s="19">
        <v>12</v>
      </c>
      <c r="K17" s="19"/>
      <c r="L17" s="50"/>
      <c r="M17" s="73" t="s">
        <v>21</v>
      </c>
      <c r="N17" s="54">
        <f t="shared" si="0"/>
        <v>12</v>
      </c>
      <c r="O17" s="170"/>
      <c r="P17" s="191"/>
      <c r="Q17" s="192"/>
      <c r="R17" s="192"/>
      <c r="S17" s="192"/>
      <c r="T17" s="192"/>
      <c r="U17" s="193"/>
    </row>
    <row r="18" spans="1:21" ht="15.75" customHeight="1">
      <c r="A18" s="85"/>
      <c r="B18" s="37">
        <f>ROW()-13</f>
        <v>5</v>
      </c>
      <c r="C18" s="145" t="s">
        <v>197</v>
      </c>
      <c r="D18" s="80"/>
      <c r="E18" s="81"/>
      <c r="F18" s="146"/>
      <c r="G18" s="17"/>
      <c r="H18" s="18" t="s">
        <v>49</v>
      </c>
      <c r="I18" s="59"/>
      <c r="J18" s="19">
        <v>1</v>
      </c>
      <c r="K18" s="19"/>
      <c r="L18" s="50" t="s">
        <v>189</v>
      </c>
      <c r="M18" s="73" t="s">
        <v>21</v>
      </c>
      <c r="N18" s="54">
        <f t="shared" si="0"/>
        <v>1</v>
      </c>
      <c r="O18" s="170"/>
      <c r="P18" s="191" t="s">
        <v>175</v>
      </c>
      <c r="Q18" s="192"/>
      <c r="R18" s="192"/>
      <c r="S18" s="192"/>
      <c r="T18" s="192"/>
      <c r="U18" s="193"/>
    </row>
    <row r="19" spans="1:21" ht="15.75" customHeight="1">
      <c r="A19" s="85"/>
      <c r="B19" s="37">
        <f>ROW()-13</f>
        <v>6</v>
      </c>
      <c r="C19" s="145" t="s">
        <v>199</v>
      </c>
      <c r="D19" s="80"/>
      <c r="E19" s="81"/>
      <c r="F19" s="146"/>
      <c r="G19" s="17"/>
      <c r="H19" s="18" t="s">
        <v>51</v>
      </c>
      <c r="I19" s="59"/>
      <c r="J19" s="19">
        <v>25</v>
      </c>
      <c r="K19" s="19"/>
      <c r="L19" s="50" t="s">
        <v>189</v>
      </c>
      <c r="M19" s="73" t="s">
        <v>21</v>
      </c>
      <c r="N19" s="54">
        <f t="shared" si="0"/>
        <v>25</v>
      </c>
      <c r="O19" s="170"/>
      <c r="P19" s="191"/>
      <c r="Q19" s="192"/>
      <c r="R19" s="192"/>
      <c r="S19" s="192"/>
      <c r="T19" s="192"/>
      <c r="U19" s="193"/>
    </row>
    <row r="20" spans="1:21" ht="15.75" customHeight="1">
      <c r="A20" s="85"/>
      <c r="B20" s="37">
        <f>ROW()-13</f>
        <v>7</v>
      </c>
      <c r="C20" s="145" t="s">
        <v>201</v>
      </c>
      <c r="D20" s="80"/>
      <c r="E20" s="81"/>
      <c r="F20" s="146"/>
      <c r="G20" s="17"/>
      <c r="H20" s="18" t="s">
        <v>51</v>
      </c>
      <c r="I20" s="59"/>
      <c r="J20" s="19">
        <v>4</v>
      </c>
      <c r="K20" s="19"/>
      <c r="L20" s="50" t="s">
        <v>189</v>
      </c>
      <c r="M20" s="73" t="s">
        <v>21</v>
      </c>
      <c r="N20" s="54">
        <f t="shared" si="0"/>
        <v>4</v>
      </c>
      <c r="O20" s="170"/>
      <c r="P20" s="191" t="s">
        <v>203</v>
      </c>
      <c r="Q20" s="192"/>
      <c r="R20" s="192"/>
      <c r="S20" s="192"/>
      <c r="T20" s="192"/>
      <c r="U20" s="193"/>
    </row>
    <row r="21" spans="1:21" ht="62.75" customHeight="1">
      <c r="A21" s="85"/>
      <c r="B21" s="37">
        <f>ROW()-13</f>
        <v>8</v>
      </c>
      <c r="C21" s="145" t="s">
        <v>204</v>
      </c>
      <c r="D21" s="80"/>
      <c r="E21" s="81"/>
      <c r="F21" s="146"/>
      <c r="G21" s="17"/>
      <c r="H21" s="18" t="s">
        <v>49</v>
      </c>
      <c r="I21" s="59"/>
      <c r="J21" s="19">
        <v>1</v>
      </c>
      <c r="K21" s="19"/>
      <c r="L21" s="50" t="s">
        <v>189</v>
      </c>
      <c r="M21" s="73" t="s">
        <v>21</v>
      </c>
      <c r="N21" s="54">
        <f t="shared" si="0"/>
        <v>1</v>
      </c>
      <c r="O21" s="170"/>
      <c r="P21" s="251" t="s">
        <v>295</v>
      </c>
      <c r="Q21" s="192"/>
      <c r="R21" s="192"/>
      <c r="S21" s="192"/>
      <c r="T21" s="192"/>
      <c r="U21" s="193"/>
    </row>
    <row r="22" spans="1:21" ht="27.5" customHeight="1">
      <c r="A22" s="85"/>
      <c r="B22" s="37">
        <f>ROW()-13</f>
        <v>9</v>
      </c>
      <c r="C22" s="145" t="s">
        <v>207</v>
      </c>
      <c r="D22" s="80"/>
      <c r="E22" s="81"/>
      <c r="F22" s="146"/>
      <c r="G22" s="17"/>
      <c r="H22" s="18" t="s">
        <v>49</v>
      </c>
      <c r="I22" s="59"/>
      <c r="J22" s="19">
        <v>1</v>
      </c>
      <c r="K22" s="19"/>
      <c r="L22" s="50" t="s">
        <v>189</v>
      </c>
      <c r="M22" s="73" t="s">
        <v>21</v>
      </c>
      <c r="N22" s="54">
        <f t="shared" si="0"/>
        <v>1</v>
      </c>
      <c r="O22" s="170"/>
      <c r="P22" s="251" t="s">
        <v>208</v>
      </c>
      <c r="Q22" s="192"/>
      <c r="R22" s="192"/>
      <c r="S22" s="192"/>
      <c r="T22" s="192"/>
      <c r="U22" s="193"/>
    </row>
    <row r="23" spans="1:21" ht="15.75" customHeight="1">
      <c r="A23" s="85"/>
      <c r="B23" s="37">
        <f>ROW()-13</f>
        <v>10</v>
      </c>
      <c r="C23" s="145" t="s">
        <v>217</v>
      </c>
      <c r="D23" s="80"/>
      <c r="E23" s="81"/>
      <c r="F23" s="146"/>
      <c r="G23" s="17"/>
      <c r="H23" s="18" t="s">
        <v>24</v>
      </c>
      <c r="I23" s="59"/>
      <c r="J23" s="19"/>
      <c r="K23" s="19"/>
      <c r="L23" s="50"/>
      <c r="M23" s="73" t="s">
        <v>21</v>
      </c>
      <c r="N23" s="54">
        <f t="shared" si="0"/>
        <v>7</v>
      </c>
      <c r="O23" s="170"/>
      <c r="P23" s="191"/>
      <c r="Q23" s="192"/>
      <c r="R23" s="192"/>
      <c r="S23" s="192"/>
      <c r="T23" s="192"/>
      <c r="U23" s="193"/>
    </row>
    <row r="24" spans="1:21" ht="15.75" customHeight="1">
      <c r="A24" s="85"/>
      <c r="B24" s="37">
        <f>ROW()-13</f>
        <v>11</v>
      </c>
      <c r="C24" s="145" t="s">
        <v>296</v>
      </c>
      <c r="D24" s="80"/>
      <c r="E24" s="81"/>
      <c r="F24" s="146"/>
      <c r="G24" s="17"/>
      <c r="H24" s="18" t="s">
        <v>54</v>
      </c>
      <c r="I24" s="59"/>
      <c r="J24" s="19"/>
      <c r="K24" s="19"/>
      <c r="L24" s="50"/>
      <c r="M24" s="73" t="s">
        <v>21</v>
      </c>
      <c r="N24" s="54">
        <f t="shared" si="0"/>
        <v>0</v>
      </c>
      <c r="O24" s="170"/>
      <c r="P24" s="191"/>
      <c r="Q24" s="192"/>
      <c r="R24" s="192"/>
      <c r="S24" s="192"/>
      <c r="T24" s="192"/>
      <c r="U24" s="193"/>
    </row>
    <row r="25" spans="1:21" ht="39.25" customHeight="1">
      <c r="A25" s="85"/>
      <c r="B25" s="37">
        <f>ROW()-13</f>
        <v>12</v>
      </c>
      <c r="C25" s="145" t="s">
        <v>297</v>
      </c>
      <c r="D25" s="80"/>
      <c r="E25" s="81"/>
      <c r="F25" s="146"/>
      <c r="G25" s="17"/>
      <c r="H25" s="18" t="s">
        <v>49</v>
      </c>
      <c r="I25" s="59"/>
      <c r="J25" s="19">
        <v>1</v>
      </c>
      <c r="K25" s="19"/>
      <c r="L25" s="50"/>
      <c r="M25" s="73" t="s">
        <v>21</v>
      </c>
      <c r="N25" s="54">
        <f t="shared" si="0"/>
        <v>1</v>
      </c>
      <c r="O25" s="170"/>
      <c r="P25" s="251" t="s">
        <v>221</v>
      </c>
      <c r="Q25" s="192"/>
      <c r="R25" s="192"/>
      <c r="S25" s="192"/>
      <c r="T25" s="192"/>
      <c r="U25" s="193"/>
    </row>
    <row r="26" spans="1:21" ht="15.75" customHeight="1">
      <c r="A26" s="85"/>
      <c r="B26" s="37">
        <f>ROW()-13</f>
        <v>13</v>
      </c>
      <c r="C26" s="145" t="s">
        <v>193</v>
      </c>
      <c r="D26" s="80"/>
      <c r="E26" s="81"/>
      <c r="F26" s="146"/>
      <c r="G26" s="17"/>
      <c r="H26" s="18" t="s">
        <v>49</v>
      </c>
      <c r="I26" s="59"/>
      <c r="J26" s="19">
        <v>2</v>
      </c>
      <c r="K26" s="19"/>
      <c r="L26" s="50"/>
      <c r="M26" s="73" t="s">
        <v>21</v>
      </c>
      <c r="N26" s="54">
        <f t="shared" si="0"/>
        <v>2</v>
      </c>
      <c r="O26" s="170"/>
      <c r="P26" s="191" t="s">
        <v>162</v>
      </c>
      <c r="Q26" s="192"/>
      <c r="R26" s="192"/>
      <c r="S26" s="192"/>
      <c r="T26" s="192"/>
      <c r="U26" s="193"/>
    </row>
    <row r="27" spans="1:21" ht="15.75" customHeight="1">
      <c r="A27" s="85"/>
      <c r="B27" s="37">
        <f>ROW()-13</f>
        <v>14</v>
      </c>
      <c r="C27" s="145" t="s">
        <v>209</v>
      </c>
      <c r="D27" s="80"/>
      <c r="E27" s="81"/>
      <c r="F27" s="146"/>
      <c r="G27" s="17"/>
      <c r="H27" s="18" t="s">
        <v>211</v>
      </c>
      <c r="I27" s="59"/>
      <c r="J27" s="19"/>
      <c r="K27" s="19"/>
      <c r="L27" s="50"/>
      <c r="M27" s="73" t="s">
        <v>21</v>
      </c>
      <c r="N27" s="54">
        <f t="shared" si="0"/>
        <v>0</v>
      </c>
      <c r="O27" s="170"/>
      <c r="P27" s="191"/>
      <c r="Q27" s="192"/>
      <c r="R27" s="192"/>
      <c r="S27" s="192"/>
      <c r="T27" s="192"/>
      <c r="U27" s="193"/>
    </row>
    <row r="28" spans="1:21" ht="27.5" customHeight="1">
      <c r="A28" s="85"/>
      <c r="B28" s="37">
        <f>ROW()-13</f>
        <v>15</v>
      </c>
      <c r="C28" s="145" t="s">
        <v>298</v>
      </c>
      <c r="D28" s="80"/>
      <c r="E28" s="81"/>
      <c r="F28" s="146"/>
      <c r="G28" s="17"/>
      <c r="H28" s="18" t="s">
        <v>49</v>
      </c>
      <c r="I28" s="59"/>
      <c r="J28" s="19">
        <v>1</v>
      </c>
      <c r="K28" s="19"/>
      <c r="L28" s="50"/>
      <c r="M28" s="73" t="s">
        <v>21</v>
      </c>
      <c r="N28" s="54">
        <f t="shared" si="0"/>
        <v>1</v>
      </c>
      <c r="O28" s="170"/>
      <c r="P28" s="251" t="s">
        <v>299</v>
      </c>
      <c r="Q28" s="192"/>
      <c r="R28" s="192"/>
      <c r="S28" s="192"/>
      <c r="T28" s="192"/>
      <c r="U28" s="193"/>
    </row>
    <row r="29" spans="1:21" ht="27.5" customHeight="1">
      <c r="A29" s="85"/>
      <c r="B29" s="37">
        <f>ROW()-13</f>
        <v>16</v>
      </c>
      <c r="C29" s="145" t="s">
        <v>300</v>
      </c>
      <c r="D29" s="80"/>
      <c r="E29" s="81"/>
      <c r="F29" s="146"/>
      <c r="G29" s="17"/>
      <c r="H29" s="18" t="s">
        <v>49</v>
      </c>
      <c r="I29" s="59"/>
      <c r="J29" s="19">
        <v>1</v>
      </c>
      <c r="K29" s="19"/>
      <c r="L29" s="50"/>
      <c r="M29" s="73" t="s">
        <v>21</v>
      </c>
      <c r="N29" s="54">
        <f t="shared" si="0"/>
        <v>1</v>
      </c>
      <c r="O29" s="170"/>
      <c r="P29" s="251" t="s">
        <v>301</v>
      </c>
      <c r="Q29" s="192"/>
      <c r="R29" s="192"/>
      <c r="S29" s="192"/>
      <c r="T29" s="192"/>
      <c r="U29" s="193"/>
    </row>
    <row r="30" spans="1:21" ht="27.5" customHeight="1">
      <c r="A30" s="85"/>
      <c r="B30" s="37">
        <f>ROW()-13</f>
        <v>17</v>
      </c>
      <c r="C30" s="145" t="s">
        <v>302</v>
      </c>
      <c r="D30" s="80"/>
      <c r="E30" s="81"/>
      <c r="F30" s="146"/>
      <c r="G30" s="17"/>
      <c r="H30" s="18" t="s">
        <v>49</v>
      </c>
      <c r="I30" s="59"/>
      <c r="J30" s="19">
        <v>1</v>
      </c>
      <c r="K30" s="19"/>
      <c r="L30" s="50"/>
      <c r="M30" s="73" t="s">
        <v>21</v>
      </c>
      <c r="N30" s="54">
        <f t="shared" si="0"/>
        <v>1</v>
      </c>
      <c r="O30" s="170"/>
      <c r="P30" s="251" t="s">
        <v>303</v>
      </c>
      <c r="Q30" s="192"/>
      <c r="R30" s="192"/>
      <c r="S30" s="192"/>
      <c r="T30" s="192"/>
      <c r="U30" s="193"/>
    </row>
    <row r="31" spans="1:21" ht="27.5" customHeight="1">
      <c r="A31" s="85"/>
      <c r="B31" s="37">
        <f>ROW()-13</f>
        <v>18</v>
      </c>
      <c r="C31" s="145" t="s">
        <v>304</v>
      </c>
      <c r="D31" s="80"/>
      <c r="E31" s="81"/>
      <c r="F31" s="146"/>
      <c r="G31" s="17"/>
      <c r="H31" s="18" t="s">
        <v>49</v>
      </c>
      <c r="I31" s="59"/>
      <c r="J31" s="19">
        <v>1</v>
      </c>
      <c r="K31" s="19"/>
      <c r="L31" s="50"/>
      <c r="M31" s="73" t="s">
        <v>21</v>
      </c>
      <c r="N31" s="54">
        <f t="shared" si="0"/>
        <v>1</v>
      </c>
      <c r="O31" s="170"/>
      <c r="P31" s="251" t="s">
        <v>305</v>
      </c>
      <c r="Q31" s="192"/>
      <c r="R31" s="192"/>
      <c r="S31" s="192"/>
      <c r="T31" s="192"/>
      <c r="U31" s="193"/>
    </row>
    <row r="32" spans="1:21" ht="15.75" customHeight="1">
      <c r="A32" s="85"/>
      <c r="B32" s="37">
        <f>ROW()-13</f>
        <v>19</v>
      </c>
      <c r="C32" s="145" t="s">
        <v>306</v>
      </c>
      <c r="D32" s="80"/>
      <c r="E32" s="81"/>
      <c r="F32" s="146"/>
      <c r="G32" s="17"/>
      <c r="H32" s="18" t="s">
        <v>211</v>
      </c>
      <c r="I32" s="59"/>
      <c r="J32" s="19"/>
      <c r="K32" s="19"/>
      <c r="L32" s="50"/>
      <c r="M32" s="73" t="s">
        <v>21</v>
      </c>
      <c r="N32" s="54">
        <f t="shared" si="0"/>
        <v>0</v>
      </c>
      <c r="O32" s="170"/>
      <c r="P32" s="191" t="s">
        <v>307</v>
      </c>
      <c r="Q32" s="192"/>
      <c r="R32" s="192"/>
      <c r="S32" s="192"/>
      <c r="T32" s="192"/>
      <c r="U32" s="193"/>
    </row>
    <row r="33" spans="1:21" ht="27.5" customHeight="1">
      <c r="A33" s="85"/>
      <c r="B33" s="37">
        <f>ROW()-13</f>
        <v>20</v>
      </c>
      <c r="C33" s="145" t="s">
        <v>227</v>
      </c>
      <c r="D33" s="80"/>
      <c r="E33" s="81"/>
      <c r="F33" s="146"/>
      <c r="G33" s="17"/>
      <c r="H33" s="18" t="s">
        <v>49</v>
      </c>
      <c r="I33" s="59"/>
      <c r="J33" s="19">
        <v>1</v>
      </c>
      <c r="K33" s="19"/>
      <c r="L33" s="50"/>
      <c r="M33" s="73" t="s">
        <v>21</v>
      </c>
      <c r="N33" s="54">
        <f t="shared" si="0"/>
        <v>1</v>
      </c>
      <c r="O33" s="170"/>
      <c r="P33" s="251" t="s">
        <v>228</v>
      </c>
      <c r="Q33" s="192"/>
      <c r="R33" s="192"/>
      <c r="S33" s="192"/>
      <c r="T33" s="192"/>
      <c r="U33" s="193"/>
    </row>
    <row r="34" spans="1:21" ht="15.5">
      <c r="A34" s="85"/>
      <c r="B34" s="37">
        <f t="shared" ref="B34:B40" si="1">ROW()-13</f>
        <v>21</v>
      </c>
      <c r="C34" s="107" t="s">
        <v>36</v>
      </c>
      <c r="D34" s="107"/>
      <c r="E34" s="108"/>
      <c r="F34" s="109" t="s">
        <v>78</v>
      </c>
      <c r="G34" s="110"/>
      <c r="H34" s="18" t="s">
        <v>51</v>
      </c>
      <c r="I34" s="59"/>
      <c r="J34" s="113">
        <v>12</v>
      </c>
      <c r="K34" s="113"/>
      <c r="L34" s="114"/>
      <c r="M34" s="115" t="s">
        <v>35</v>
      </c>
      <c r="N34" s="116">
        <f t="shared" si="0"/>
        <v>12</v>
      </c>
      <c r="O34" s="171"/>
      <c r="P34" s="197"/>
      <c r="Q34" s="198"/>
      <c r="R34" s="198"/>
      <c r="S34" s="198"/>
      <c r="T34" s="198"/>
      <c r="U34" s="199"/>
    </row>
    <row r="35" spans="1:21" ht="15.5">
      <c r="A35" s="85"/>
      <c r="B35" s="37">
        <f t="shared" si="1"/>
        <v>22</v>
      </c>
      <c r="C35" s="107" t="s">
        <v>37</v>
      </c>
      <c r="D35" s="107"/>
      <c r="E35" s="108"/>
      <c r="F35" s="109" t="s">
        <v>43</v>
      </c>
      <c r="G35" s="110"/>
      <c r="H35" s="18" t="s">
        <v>51</v>
      </c>
      <c r="I35" s="59"/>
      <c r="J35" s="113">
        <v>10</v>
      </c>
      <c r="K35" s="113"/>
      <c r="L35" s="114"/>
      <c r="M35" s="115" t="s">
        <v>21</v>
      </c>
      <c r="N35" s="116">
        <f t="shared" si="0"/>
        <v>10</v>
      </c>
      <c r="O35" s="171"/>
      <c r="P35" s="197"/>
      <c r="Q35" s="198"/>
      <c r="R35" s="198"/>
      <c r="S35" s="198"/>
      <c r="T35" s="198"/>
      <c r="U35" s="199"/>
    </row>
    <row r="36" spans="1:21" ht="15.5">
      <c r="A36" s="85"/>
      <c r="B36" s="37">
        <f t="shared" si="1"/>
        <v>23</v>
      </c>
      <c r="C36" s="107" t="s">
        <v>38</v>
      </c>
      <c r="D36" s="107"/>
      <c r="E36" s="108"/>
      <c r="F36" s="109" t="s">
        <v>80</v>
      </c>
      <c r="G36" s="110"/>
      <c r="H36" s="18" t="s">
        <v>86</v>
      </c>
      <c r="I36" s="59"/>
      <c r="J36" s="113"/>
      <c r="K36" s="113"/>
      <c r="L36" s="114"/>
      <c r="M36" s="115" t="s">
        <v>21</v>
      </c>
      <c r="N36" s="116">
        <f t="shared" si="0"/>
        <v>0</v>
      </c>
      <c r="O36" s="171"/>
      <c r="P36" s="197"/>
      <c r="Q36" s="198"/>
      <c r="R36" s="198"/>
      <c r="S36" s="198"/>
      <c r="T36" s="198"/>
      <c r="U36" s="199"/>
    </row>
    <row r="37" spans="1:21" ht="15.5">
      <c r="A37" s="85"/>
      <c r="B37" s="37">
        <f t="shared" si="1"/>
        <v>24</v>
      </c>
      <c r="C37" s="107" t="s">
        <v>39</v>
      </c>
      <c r="D37" s="107"/>
      <c r="E37" s="108"/>
      <c r="F37" s="109" t="s">
        <v>79</v>
      </c>
      <c r="G37" s="110"/>
      <c r="H37" s="18" t="s">
        <v>51</v>
      </c>
      <c r="I37" s="59"/>
      <c r="J37" s="113">
        <v>12</v>
      </c>
      <c r="K37" s="113"/>
      <c r="L37" s="114"/>
      <c r="M37" s="115" t="s">
        <v>35</v>
      </c>
      <c r="N37" s="116">
        <f t="shared" si="0"/>
        <v>12</v>
      </c>
      <c r="O37" s="171"/>
      <c r="P37" s="197"/>
      <c r="Q37" s="198"/>
      <c r="R37" s="198"/>
      <c r="S37" s="198"/>
      <c r="T37" s="198"/>
      <c r="U37" s="199"/>
    </row>
    <row r="38" spans="1:21" ht="15.5">
      <c r="A38" s="85"/>
      <c r="B38" s="37">
        <f t="shared" si="1"/>
        <v>25</v>
      </c>
      <c r="C38" s="107" t="s">
        <v>40</v>
      </c>
      <c r="D38" s="107"/>
      <c r="E38" s="108"/>
      <c r="F38" s="109" t="s">
        <v>44</v>
      </c>
      <c r="G38" s="110"/>
      <c r="H38" s="18" t="s">
        <v>51</v>
      </c>
      <c r="I38" s="59"/>
      <c r="J38" s="113">
        <v>10</v>
      </c>
      <c r="K38" s="113"/>
      <c r="L38" s="114"/>
      <c r="M38" s="115" t="s">
        <v>21</v>
      </c>
      <c r="N38" s="116">
        <f t="shared" si="0"/>
        <v>10</v>
      </c>
      <c r="O38" s="171"/>
      <c r="P38" s="197"/>
      <c r="Q38" s="198"/>
      <c r="R38" s="198"/>
      <c r="S38" s="198"/>
      <c r="T38" s="198"/>
      <c r="U38" s="199"/>
    </row>
    <row r="39" spans="1:21" ht="15.5">
      <c r="A39" s="85"/>
      <c r="B39" s="37">
        <f t="shared" si="1"/>
        <v>26</v>
      </c>
      <c r="C39" s="107" t="s">
        <v>41</v>
      </c>
      <c r="D39" s="107"/>
      <c r="E39" s="108"/>
      <c r="F39" s="109" t="s">
        <v>81</v>
      </c>
      <c r="G39" s="110"/>
      <c r="H39" s="18" t="s">
        <v>86</v>
      </c>
      <c r="I39" s="59"/>
      <c r="J39" s="113"/>
      <c r="K39" s="113"/>
      <c r="L39" s="114"/>
      <c r="M39" s="115" t="s">
        <v>21</v>
      </c>
      <c r="N39" s="116">
        <f t="shared" si="0"/>
        <v>0</v>
      </c>
      <c r="O39" s="171"/>
      <c r="P39" s="197"/>
      <c r="Q39" s="198"/>
      <c r="R39" s="198"/>
      <c r="S39" s="198"/>
      <c r="T39" s="198"/>
      <c r="U39" s="199"/>
    </row>
    <row r="40" spans="1:21" ht="15.5">
      <c r="A40" s="85"/>
      <c r="B40" s="37">
        <f t="shared" si="1"/>
        <v>27</v>
      </c>
      <c r="C40" s="80" t="s">
        <v>46</v>
      </c>
      <c r="D40" s="80"/>
      <c r="E40" s="81"/>
      <c r="F40" s="84" t="s">
        <v>71</v>
      </c>
      <c r="G40" s="17"/>
      <c r="H40" s="18" t="s">
        <v>62</v>
      </c>
      <c r="I40" s="59"/>
      <c r="J40" s="19">
        <v>8</v>
      </c>
      <c r="K40" s="19"/>
      <c r="L40" s="50" t="s">
        <v>47</v>
      </c>
      <c r="M40" s="73" t="s">
        <v>35</v>
      </c>
      <c r="N40" s="54">
        <f t="shared" si="0"/>
        <v>8</v>
      </c>
      <c r="O40" s="170">
        <v>0</v>
      </c>
      <c r="P40" s="191" t="s">
        <v>48</v>
      </c>
      <c r="Q40" s="192"/>
      <c r="R40" s="192"/>
      <c r="S40" s="192"/>
      <c r="T40" s="192"/>
      <c r="U40" s="193"/>
    </row>
    <row r="41" spans="1:21" ht="16" thickBot="1">
      <c r="A41" s="118"/>
      <c r="B41" s="119"/>
      <c r="C41" s="120"/>
      <c r="D41" s="120"/>
      <c r="E41" s="121"/>
      <c r="F41" s="129"/>
      <c r="G41" s="122"/>
      <c r="H41" s="147"/>
      <c r="I41" s="148"/>
      <c r="J41" s="125"/>
      <c r="K41" s="125"/>
      <c r="L41" s="126"/>
      <c r="M41" s="126"/>
      <c r="N41" s="127"/>
      <c r="O41" s="172"/>
      <c r="P41" s="194"/>
      <c r="Q41" s="195"/>
      <c r="R41" s="195"/>
      <c r="S41" s="195"/>
      <c r="T41" s="195"/>
      <c r="U41" s="196"/>
    </row>
  </sheetData>
  <mergeCells count="58">
    <mergeCell ref="P40:U40"/>
    <mergeCell ref="P41:U41"/>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21506"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21507"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21508"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21509"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21510"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47375895-68DB-4809-B68A-28D518CB282A}">
            <xm:f>(AND(H14&lt;&gt;"",ISERROR(VLOOKUP(H14,system!$E:$E,1,FALSE))))</xm:f>
            <x14:dxf>
              <fill>
                <patternFill patternType="solid">
                  <bgColor rgb="FFFF0000"/>
                </patternFill>
              </fill>
            </x14:dxf>
          </x14:cfRule>
          <xm:sqref>H14:H33</xm:sqref>
        </x14:conditionalFormatting>
        <x14:conditionalFormatting xmlns:xm="http://schemas.microsoft.com/office/excel/2006/main">
          <x14:cfRule type="expression" priority="3" id="{1A759C9C-82D5-470A-89BD-05CA3FD770AC}">
            <xm:f>(AND(H14&lt;&gt;"",ISERROR(VLOOKUP(H14,system!$E:$E,1,FALSE))))</xm:f>
            <x14:dxf>
              <fill>
                <patternFill>
                  <bgColor rgb="FFFF0000"/>
                </patternFill>
              </fill>
            </x14:dxf>
          </x14:cfRule>
          <xm:sqref>I14:I33</xm:sqref>
        </x14:conditionalFormatting>
        <x14:conditionalFormatting xmlns:xm="http://schemas.microsoft.com/office/excel/2006/main">
          <x14:cfRule type="expression" priority="2" id="{092A578B-EBAF-4C81-A7F3-C19D7A03526F}">
            <xm:f>(AND(H34&lt;&gt;"",ISERROR(VLOOKUP(H34,system!$E:$E,1,FALSE))))</xm:f>
            <x14:dxf>
              <fill>
                <patternFill patternType="solid">
                  <bgColor rgb="FFFF0000"/>
                </patternFill>
              </fill>
            </x14:dxf>
          </x14:cfRule>
          <xm:sqref>H34:H41</xm:sqref>
        </x14:conditionalFormatting>
        <x14:conditionalFormatting xmlns:xm="http://schemas.microsoft.com/office/excel/2006/main">
          <x14:cfRule type="expression" priority="1" id="{DF2CC304-CC0B-41EE-A1A6-21B2C08864F3}">
            <xm:f>(AND(H34&lt;&gt;"",ISERROR(VLOOKUP(H34,system!$E:$E,1,FALSE))))</xm:f>
            <x14:dxf>
              <fill>
                <patternFill>
                  <bgColor rgb="FFFF0000"/>
                </patternFill>
              </fill>
            </x14:dxf>
          </x14:cfRule>
          <xm:sqref>I34:I41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B8360-FEC6-4704-9EBB-AD607844B64E}">
  <sheetPr codeName="Sheet21">
    <pageSetUpPr fitToPage="1"/>
  </sheetPr>
  <dimension ref="A1:U31"/>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309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135</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SUM(N14:N32)</f>
        <v>118</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30" si="0">IF(H14="NUMBER",IF(J14&gt;0,INT((J14+1)/2+0.9),0),IF(H14="DATE",7,IF(OR(H14="LONG",H14="LONG RAW"),100000,J14)))</f>
        <v>1</v>
      </c>
      <c r="O14" s="170"/>
      <c r="P14" s="191" t="s">
        <v>175</v>
      </c>
      <c r="Q14" s="192"/>
      <c r="R14" s="192"/>
      <c r="S14" s="192"/>
      <c r="T14" s="192"/>
      <c r="U14" s="193"/>
    </row>
    <row r="15" spans="1:21" ht="15.75" customHeight="1">
      <c r="A15" s="85" t="s">
        <v>190</v>
      </c>
      <c r="B15" s="37">
        <f>ROW()-13</f>
        <v>2</v>
      </c>
      <c r="C15" s="145" t="s">
        <v>310</v>
      </c>
      <c r="D15" s="80"/>
      <c r="E15" s="81"/>
      <c r="F15" s="146"/>
      <c r="G15" s="17"/>
      <c r="H15" s="18" t="s">
        <v>51</v>
      </c>
      <c r="I15" s="59"/>
      <c r="J15" s="19">
        <v>14</v>
      </c>
      <c r="K15" s="19"/>
      <c r="L15" s="50" t="s">
        <v>189</v>
      </c>
      <c r="M15" s="73" t="s">
        <v>21</v>
      </c>
      <c r="N15" s="54">
        <f t="shared" si="0"/>
        <v>14</v>
      </c>
      <c r="O15" s="170"/>
      <c r="P15" s="191" t="s">
        <v>294</v>
      </c>
      <c r="Q15" s="192"/>
      <c r="R15" s="192"/>
      <c r="S15" s="192"/>
      <c r="T15" s="192"/>
      <c r="U15" s="193"/>
    </row>
    <row r="16" spans="1:21" ht="15.75" customHeight="1">
      <c r="A16" s="85" t="s">
        <v>190</v>
      </c>
      <c r="B16" s="37">
        <f>ROW()-13</f>
        <v>3</v>
      </c>
      <c r="C16" s="145" t="s">
        <v>311</v>
      </c>
      <c r="D16" s="80"/>
      <c r="E16" s="81"/>
      <c r="F16" s="146"/>
      <c r="G16" s="17"/>
      <c r="H16" s="18" t="s">
        <v>51</v>
      </c>
      <c r="I16" s="59"/>
      <c r="J16" s="19">
        <v>4</v>
      </c>
      <c r="K16" s="19"/>
      <c r="L16" s="50" t="s">
        <v>189</v>
      </c>
      <c r="M16" s="73" t="s">
        <v>21</v>
      </c>
      <c r="N16" s="54">
        <f t="shared" si="0"/>
        <v>4</v>
      </c>
      <c r="O16" s="170"/>
      <c r="P16" s="191" t="s">
        <v>312</v>
      </c>
      <c r="Q16" s="192"/>
      <c r="R16" s="192"/>
      <c r="S16" s="192"/>
      <c r="T16" s="192"/>
      <c r="U16" s="193"/>
    </row>
    <row r="17" spans="1:21" ht="15.75" customHeight="1">
      <c r="A17" s="85"/>
      <c r="B17" s="37">
        <f>ROW()-13</f>
        <v>4</v>
      </c>
      <c r="C17" s="145" t="s">
        <v>313</v>
      </c>
      <c r="D17" s="80"/>
      <c r="E17" s="81"/>
      <c r="F17" s="146"/>
      <c r="G17" s="17"/>
      <c r="H17" s="18" t="s">
        <v>51</v>
      </c>
      <c r="I17" s="59"/>
      <c r="J17" s="19">
        <v>14</v>
      </c>
      <c r="K17" s="19"/>
      <c r="L17" s="50" t="s">
        <v>189</v>
      </c>
      <c r="M17" s="73" t="s">
        <v>21</v>
      </c>
      <c r="N17" s="54">
        <f t="shared" si="0"/>
        <v>14</v>
      </c>
      <c r="O17" s="170"/>
      <c r="P17" s="191"/>
      <c r="Q17" s="192"/>
      <c r="R17" s="192"/>
      <c r="S17" s="192"/>
      <c r="T17" s="192"/>
      <c r="U17" s="193"/>
    </row>
    <row r="18" spans="1:21" ht="15.75" customHeight="1">
      <c r="A18" s="85"/>
      <c r="B18" s="37">
        <f>ROW()-13</f>
        <v>5</v>
      </c>
      <c r="C18" s="145" t="s">
        <v>197</v>
      </c>
      <c r="D18" s="80"/>
      <c r="E18" s="81"/>
      <c r="F18" s="146"/>
      <c r="G18" s="17"/>
      <c r="H18" s="18" t="s">
        <v>49</v>
      </c>
      <c r="I18" s="59"/>
      <c r="J18" s="19">
        <v>1</v>
      </c>
      <c r="K18" s="19"/>
      <c r="L18" s="50" t="s">
        <v>189</v>
      </c>
      <c r="M18" s="73" t="s">
        <v>21</v>
      </c>
      <c r="N18" s="54">
        <f t="shared" si="0"/>
        <v>1</v>
      </c>
      <c r="O18" s="170"/>
      <c r="P18" s="191" t="s">
        <v>175</v>
      </c>
      <c r="Q18" s="192"/>
      <c r="R18" s="192"/>
      <c r="S18" s="192"/>
      <c r="T18" s="192"/>
      <c r="U18" s="193"/>
    </row>
    <row r="19" spans="1:21" ht="15.75" customHeight="1">
      <c r="A19" s="85"/>
      <c r="B19" s="37">
        <f>ROW()-13</f>
        <v>6</v>
      </c>
      <c r="C19" s="145" t="s">
        <v>199</v>
      </c>
      <c r="D19" s="80"/>
      <c r="E19" s="81"/>
      <c r="F19" s="146"/>
      <c r="G19" s="17"/>
      <c r="H19" s="18" t="s">
        <v>51</v>
      </c>
      <c r="I19" s="59"/>
      <c r="J19" s="19">
        <v>25</v>
      </c>
      <c r="K19" s="19"/>
      <c r="L19" s="50" t="s">
        <v>189</v>
      </c>
      <c r="M19" s="73" t="s">
        <v>21</v>
      </c>
      <c r="N19" s="54">
        <f t="shared" si="0"/>
        <v>25</v>
      </c>
      <c r="O19" s="170"/>
      <c r="P19" s="191"/>
      <c r="Q19" s="192"/>
      <c r="R19" s="192"/>
      <c r="S19" s="192"/>
      <c r="T19" s="192"/>
      <c r="U19" s="193"/>
    </row>
    <row r="20" spans="1:21" ht="15.75" customHeight="1">
      <c r="A20" s="85"/>
      <c r="B20" s="37">
        <f>ROW()-13</f>
        <v>7</v>
      </c>
      <c r="C20" s="145" t="s">
        <v>201</v>
      </c>
      <c r="D20" s="80"/>
      <c r="E20" s="81"/>
      <c r="F20" s="146"/>
      <c r="G20" s="17"/>
      <c r="H20" s="18" t="s">
        <v>51</v>
      </c>
      <c r="I20" s="59"/>
      <c r="J20" s="19">
        <v>4</v>
      </c>
      <c r="K20" s="19"/>
      <c r="L20" s="50" t="s">
        <v>189</v>
      </c>
      <c r="M20" s="73" t="s">
        <v>21</v>
      </c>
      <c r="N20" s="54">
        <f t="shared" si="0"/>
        <v>4</v>
      </c>
      <c r="O20" s="170"/>
      <c r="P20" s="191" t="s">
        <v>203</v>
      </c>
      <c r="Q20" s="192"/>
      <c r="R20" s="192"/>
      <c r="S20" s="192"/>
      <c r="T20" s="192"/>
      <c r="U20" s="193"/>
    </row>
    <row r="21" spans="1:21" ht="62.75" customHeight="1">
      <c r="A21" s="85"/>
      <c r="B21" s="37">
        <f>ROW()-13</f>
        <v>8</v>
      </c>
      <c r="C21" s="145" t="s">
        <v>204</v>
      </c>
      <c r="D21" s="80"/>
      <c r="E21" s="81"/>
      <c r="F21" s="146"/>
      <c r="G21" s="17"/>
      <c r="H21" s="18" t="s">
        <v>49</v>
      </c>
      <c r="I21" s="59"/>
      <c r="J21" s="19">
        <v>1</v>
      </c>
      <c r="K21" s="19"/>
      <c r="L21" s="50" t="s">
        <v>189</v>
      </c>
      <c r="M21" s="73" t="s">
        <v>21</v>
      </c>
      <c r="N21" s="54">
        <f t="shared" si="0"/>
        <v>1</v>
      </c>
      <c r="O21" s="170"/>
      <c r="P21" s="251" t="s">
        <v>295</v>
      </c>
      <c r="Q21" s="192"/>
      <c r="R21" s="192"/>
      <c r="S21" s="192"/>
      <c r="T21" s="192"/>
      <c r="U21" s="193"/>
    </row>
    <row r="22" spans="1:21" ht="27.5" customHeight="1">
      <c r="A22" s="85"/>
      <c r="B22" s="37">
        <f>ROW()-13</f>
        <v>9</v>
      </c>
      <c r="C22" s="145" t="s">
        <v>207</v>
      </c>
      <c r="D22" s="80"/>
      <c r="E22" s="81"/>
      <c r="F22" s="146"/>
      <c r="G22" s="17"/>
      <c r="H22" s="18" t="s">
        <v>49</v>
      </c>
      <c r="I22" s="59"/>
      <c r="J22" s="19">
        <v>1</v>
      </c>
      <c r="K22" s="19"/>
      <c r="L22" s="50" t="s">
        <v>189</v>
      </c>
      <c r="M22" s="73" t="s">
        <v>21</v>
      </c>
      <c r="N22" s="54">
        <f t="shared" si="0"/>
        <v>1</v>
      </c>
      <c r="O22" s="170"/>
      <c r="P22" s="251" t="s">
        <v>208</v>
      </c>
      <c r="Q22" s="192"/>
      <c r="R22" s="192"/>
      <c r="S22" s="192"/>
      <c r="T22" s="192"/>
      <c r="U22" s="193"/>
    </row>
    <row r="23" spans="1:21" ht="27.5" customHeight="1">
      <c r="A23" s="85"/>
      <c r="B23" s="37">
        <f>ROW()-13</f>
        <v>10</v>
      </c>
      <c r="C23" s="145" t="s">
        <v>314</v>
      </c>
      <c r="D23" s="80"/>
      <c r="E23" s="81"/>
      <c r="F23" s="146"/>
      <c r="G23" s="17"/>
      <c r="H23" s="18" t="s">
        <v>49</v>
      </c>
      <c r="I23" s="59"/>
      <c r="J23" s="19">
        <v>1</v>
      </c>
      <c r="K23" s="19"/>
      <c r="L23" s="50"/>
      <c r="M23" s="73" t="s">
        <v>21</v>
      </c>
      <c r="N23" s="54">
        <f t="shared" si="0"/>
        <v>1</v>
      </c>
      <c r="O23" s="170"/>
      <c r="P23" s="251" t="s">
        <v>315</v>
      </c>
      <c r="Q23" s="192"/>
      <c r="R23" s="192"/>
      <c r="S23" s="192"/>
      <c r="T23" s="192"/>
      <c r="U23" s="193"/>
    </row>
    <row r="24" spans="1:21" ht="15.5">
      <c r="A24" s="85"/>
      <c r="B24" s="37">
        <f t="shared" ref="B24:B30" si="1">ROW()-13</f>
        <v>11</v>
      </c>
      <c r="C24" s="107" t="s">
        <v>36</v>
      </c>
      <c r="D24" s="107"/>
      <c r="E24" s="108"/>
      <c r="F24" s="109" t="s">
        <v>78</v>
      </c>
      <c r="G24" s="110"/>
      <c r="H24" s="18" t="s">
        <v>51</v>
      </c>
      <c r="I24" s="59"/>
      <c r="J24" s="113">
        <v>12</v>
      </c>
      <c r="K24" s="113"/>
      <c r="L24" s="114"/>
      <c r="M24" s="115" t="s">
        <v>35</v>
      </c>
      <c r="N24" s="116">
        <f t="shared" si="0"/>
        <v>12</v>
      </c>
      <c r="O24" s="171"/>
      <c r="P24" s="197"/>
      <c r="Q24" s="198"/>
      <c r="R24" s="198"/>
      <c r="S24" s="198"/>
      <c r="T24" s="198"/>
      <c r="U24" s="199"/>
    </row>
    <row r="25" spans="1:21" ht="15.5">
      <c r="A25" s="85"/>
      <c r="B25" s="37">
        <f t="shared" si="1"/>
        <v>12</v>
      </c>
      <c r="C25" s="107" t="s">
        <v>37</v>
      </c>
      <c r="D25" s="107"/>
      <c r="E25" s="108"/>
      <c r="F25" s="109" t="s">
        <v>43</v>
      </c>
      <c r="G25" s="110"/>
      <c r="H25" s="18" t="s">
        <v>51</v>
      </c>
      <c r="I25" s="59"/>
      <c r="J25" s="113">
        <v>10</v>
      </c>
      <c r="K25" s="113"/>
      <c r="L25" s="114"/>
      <c r="M25" s="115" t="s">
        <v>21</v>
      </c>
      <c r="N25" s="116">
        <f t="shared" si="0"/>
        <v>10</v>
      </c>
      <c r="O25" s="171"/>
      <c r="P25" s="197"/>
      <c r="Q25" s="198"/>
      <c r="R25" s="198"/>
      <c r="S25" s="198"/>
      <c r="T25" s="198"/>
      <c r="U25" s="199"/>
    </row>
    <row r="26" spans="1:21" ht="15.5">
      <c r="A26" s="85"/>
      <c r="B26" s="37">
        <f t="shared" si="1"/>
        <v>13</v>
      </c>
      <c r="C26" s="107" t="s">
        <v>38</v>
      </c>
      <c r="D26" s="107"/>
      <c r="E26" s="108"/>
      <c r="F26" s="109" t="s">
        <v>80</v>
      </c>
      <c r="G26" s="110"/>
      <c r="H26" s="18" t="s">
        <v>86</v>
      </c>
      <c r="I26" s="59"/>
      <c r="J26" s="113"/>
      <c r="K26" s="113"/>
      <c r="L26" s="114"/>
      <c r="M26" s="115" t="s">
        <v>21</v>
      </c>
      <c r="N26" s="116">
        <f t="shared" si="0"/>
        <v>0</v>
      </c>
      <c r="O26" s="171"/>
      <c r="P26" s="197"/>
      <c r="Q26" s="198"/>
      <c r="R26" s="198"/>
      <c r="S26" s="198"/>
      <c r="T26" s="198"/>
      <c r="U26" s="199"/>
    </row>
    <row r="27" spans="1:21" ht="15.5">
      <c r="A27" s="85"/>
      <c r="B27" s="37">
        <f t="shared" si="1"/>
        <v>14</v>
      </c>
      <c r="C27" s="107" t="s">
        <v>39</v>
      </c>
      <c r="D27" s="107"/>
      <c r="E27" s="108"/>
      <c r="F27" s="109" t="s">
        <v>79</v>
      </c>
      <c r="G27" s="110"/>
      <c r="H27" s="18" t="s">
        <v>51</v>
      </c>
      <c r="I27" s="59"/>
      <c r="J27" s="113">
        <v>12</v>
      </c>
      <c r="K27" s="113"/>
      <c r="L27" s="114"/>
      <c r="M27" s="115" t="s">
        <v>35</v>
      </c>
      <c r="N27" s="116">
        <f t="shared" si="0"/>
        <v>12</v>
      </c>
      <c r="O27" s="171"/>
      <c r="P27" s="197"/>
      <c r="Q27" s="198"/>
      <c r="R27" s="198"/>
      <c r="S27" s="198"/>
      <c r="T27" s="198"/>
      <c r="U27" s="199"/>
    </row>
    <row r="28" spans="1:21" ht="15.5">
      <c r="A28" s="85"/>
      <c r="B28" s="37">
        <f t="shared" si="1"/>
        <v>15</v>
      </c>
      <c r="C28" s="107" t="s">
        <v>40</v>
      </c>
      <c r="D28" s="107"/>
      <c r="E28" s="108"/>
      <c r="F28" s="109" t="s">
        <v>44</v>
      </c>
      <c r="G28" s="110"/>
      <c r="H28" s="18" t="s">
        <v>51</v>
      </c>
      <c r="I28" s="59"/>
      <c r="J28" s="113">
        <v>10</v>
      </c>
      <c r="K28" s="113"/>
      <c r="L28" s="114"/>
      <c r="M28" s="115" t="s">
        <v>21</v>
      </c>
      <c r="N28" s="116">
        <f t="shared" si="0"/>
        <v>10</v>
      </c>
      <c r="O28" s="171"/>
      <c r="P28" s="197"/>
      <c r="Q28" s="198"/>
      <c r="R28" s="198"/>
      <c r="S28" s="198"/>
      <c r="T28" s="198"/>
      <c r="U28" s="199"/>
    </row>
    <row r="29" spans="1:21" ht="15.5">
      <c r="A29" s="85"/>
      <c r="B29" s="37">
        <f t="shared" si="1"/>
        <v>16</v>
      </c>
      <c r="C29" s="107" t="s">
        <v>41</v>
      </c>
      <c r="D29" s="107"/>
      <c r="E29" s="108"/>
      <c r="F29" s="109" t="s">
        <v>81</v>
      </c>
      <c r="G29" s="110"/>
      <c r="H29" s="18" t="s">
        <v>86</v>
      </c>
      <c r="I29" s="59"/>
      <c r="J29" s="113"/>
      <c r="K29" s="113"/>
      <c r="L29" s="114"/>
      <c r="M29" s="115" t="s">
        <v>21</v>
      </c>
      <c r="N29" s="116">
        <f t="shared" si="0"/>
        <v>0</v>
      </c>
      <c r="O29" s="171"/>
      <c r="P29" s="197"/>
      <c r="Q29" s="198"/>
      <c r="R29" s="198"/>
      <c r="S29" s="198"/>
      <c r="T29" s="198"/>
      <c r="U29" s="199"/>
    </row>
    <row r="30" spans="1:21" ht="15.5">
      <c r="A30" s="85"/>
      <c r="B30" s="37">
        <f t="shared" si="1"/>
        <v>17</v>
      </c>
      <c r="C30" s="80" t="s">
        <v>46</v>
      </c>
      <c r="D30" s="80"/>
      <c r="E30" s="81"/>
      <c r="F30" s="84" t="s">
        <v>71</v>
      </c>
      <c r="G30" s="17"/>
      <c r="H30" s="18" t="s">
        <v>62</v>
      </c>
      <c r="I30" s="59"/>
      <c r="J30" s="19">
        <v>8</v>
      </c>
      <c r="K30" s="19"/>
      <c r="L30" s="50" t="s">
        <v>47</v>
      </c>
      <c r="M30" s="73" t="s">
        <v>35</v>
      </c>
      <c r="N30" s="54">
        <f t="shared" si="0"/>
        <v>8</v>
      </c>
      <c r="O30" s="170">
        <v>0</v>
      </c>
      <c r="P30" s="191" t="s">
        <v>48</v>
      </c>
      <c r="Q30" s="192"/>
      <c r="R30" s="192"/>
      <c r="S30" s="192"/>
      <c r="T30" s="192"/>
      <c r="U30" s="193"/>
    </row>
    <row r="31" spans="1:21" ht="16" thickBot="1">
      <c r="A31" s="118"/>
      <c r="B31" s="119"/>
      <c r="C31" s="120"/>
      <c r="D31" s="120"/>
      <c r="E31" s="121"/>
      <c r="F31" s="129"/>
      <c r="G31" s="122"/>
      <c r="H31" s="147"/>
      <c r="I31" s="148"/>
      <c r="J31" s="125"/>
      <c r="K31" s="125"/>
      <c r="L31" s="126"/>
      <c r="M31" s="126"/>
      <c r="N31" s="127"/>
      <c r="O31" s="172"/>
      <c r="P31" s="194"/>
      <c r="Q31" s="195"/>
      <c r="R31" s="195"/>
      <c r="S31" s="195"/>
      <c r="T31" s="195"/>
      <c r="U31" s="196"/>
    </row>
  </sheetData>
  <mergeCells count="48">
    <mergeCell ref="P28:U28"/>
    <mergeCell ref="P29:U29"/>
    <mergeCell ref="P30:U30"/>
    <mergeCell ref="P31:U31"/>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22530"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22531"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22532"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22533"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22534"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1C5A1D6-DC94-4737-BE68-E45ACE7A70F7}">
            <xm:f>(AND(H14&lt;&gt;"",ISERROR(VLOOKUP(H14,system!$E:$E,1,FALSE))))</xm:f>
            <x14:dxf>
              <fill>
                <patternFill patternType="solid">
                  <bgColor rgb="FFFF0000"/>
                </patternFill>
              </fill>
            </x14:dxf>
          </x14:cfRule>
          <xm:sqref>H14:H23</xm:sqref>
        </x14:conditionalFormatting>
        <x14:conditionalFormatting xmlns:xm="http://schemas.microsoft.com/office/excel/2006/main">
          <x14:cfRule type="expression" priority="3" id="{268A0E12-E351-4DC2-8F60-5CE74ACA2F4D}">
            <xm:f>(AND(H14&lt;&gt;"",ISERROR(VLOOKUP(H14,system!$E:$E,1,FALSE))))</xm:f>
            <x14:dxf>
              <fill>
                <patternFill>
                  <bgColor rgb="FFFF0000"/>
                </patternFill>
              </fill>
            </x14:dxf>
          </x14:cfRule>
          <xm:sqref>I14:I23</xm:sqref>
        </x14:conditionalFormatting>
        <x14:conditionalFormatting xmlns:xm="http://schemas.microsoft.com/office/excel/2006/main">
          <x14:cfRule type="expression" priority="2" id="{0BF67CF0-72C7-4F8F-A2C5-6DDA555180B0}">
            <xm:f>(AND(H24&lt;&gt;"",ISERROR(VLOOKUP(H24,system!$E:$E,1,FALSE))))</xm:f>
            <x14:dxf>
              <fill>
                <patternFill patternType="solid">
                  <bgColor rgb="FFFF0000"/>
                </patternFill>
              </fill>
            </x14:dxf>
          </x14:cfRule>
          <xm:sqref>H24:H31</xm:sqref>
        </x14:conditionalFormatting>
        <x14:conditionalFormatting xmlns:xm="http://schemas.microsoft.com/office/excel/2006/main">
          <x14:cfRule type="expression" priority="1" id="{2F8F16C7-BFF8-43BD-9587-391DCDF37AA9}">
            <xm:f>(AND(H24&lt;&gt;"",ISERROR(VLOOKUP(H24,system!$E:$E,1,FALSE))))</xm:f>
            <x14:dxf>
              <fill>
                <patternFill>
                  <bgColor rgb="FFFF0000"/>
                </patternFill>
              </fill>
            </x14:dxf>
          </x14:cfRule>
          <xm:sqref>I24:I31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AEB34-943A-4C0B-82BB-3723C96BCE5C}">
  <sheetPr codeName="Sheet22">
    <pageSetUpPr fitToPage="1"/>
  </sheetPr>
  <dimension ref="A1:U49"/>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318</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137</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SUM(N14:N50)</f>
        <v>183</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48" si="0">IF(H14="NUMBER",IF(J14&gt;0,INT((J14+1)/2+0.9),0),IF(H14="DATE",7,IF(OR(H14="LONG",H14="LONG RAW"),100000,J14)))</f>
        <v>1</v>
      </c>
      <c r="O14" s="170"/>
      <c r="P14" s="191" t="s">
        <v>175</v>
      </c>
      <c r="Q14" s="192"/>
      <c r="R14" s="192"/>
      <c r="S14" s="192"/>
      <c r="T14" s="192"/>
      <c r="U14" s="193"/>
    </row>
    <row r="15" spans="1:21" ht="15.75" customHeight="1">
      <c r="A15" s="85" t="s">
        <v>190</v>
      </c>
      <c r="B15" s="37">
        <f>ROW()-13</f>
        <v>2</v>
      </c>
      <c r="C15" s="145" t="s">
        <v>319</v>
      </c>
      <c r="D15" s="80"/>
      <c r="E15" s="81"/>
      <c r="F15" s="146"/>
      <c r="G15" s="17"/>
      <c r="H15" s="18" t="s">
        <v>51</v>
      </c>
      <c r="I15" s="59"/>
      <c r="J15" s="19">
        <v>14</v>
      </c>
      <c r="K15" s="19"/>
      <c r="L15" s="50" t="s">
        <v>189</v>
      </c>
      <c r="M15" s="73" t="s">
        <v>21</v>
      </c>
      <c r="N15" s="54">
        <f t="shared" si="0"/>
        <v>14</v>
      </c>
      <c r="O15" s="170"/>
      <c r="P15" s="191"/>
      <c r="Q15" s="192"/>
      <c r="R15" s="192"/>
      <c r="S15" s="192"/>
      <c r="T15" s="192"/>
      <c r="U15" s="193"/>
    </row>
    <row r="16" spans="1:21" ht="15.75" customHeight="1">
      <c r="A16" s="85"/>
      <c r="B16" s="37">
        <f>ROW()-13</f>
        <v>3</v>
      </c>
      <c r="C16" s="145" t="s">
        <v>195</v>
      </c>
      <c r="D16" s="80"/>
      <c r="E16" s="81"/>
      <c r="F16" s="146"/>
      <c r="G16" s="17"/>
      <c r="H16" s="18" t="s">
        <v>49</v>
      </c>
      <c r="I16" s="59"/>
      <c r="J16" s="19">
        <v>12</v>
      </c>
      <c r="K16" s="19"/>
      <c r="L16" s="50"/>
      <c r="M16" s="73" t="s">
        <v>21</v>
      </c>
      <c r="N16" s="54">
        <f t="shared" si="0"/>
        <v>12</v>
      </c>
      <c r="O16" s="170"/>
      <c r="P16" s="191"/>
      <c r="Q16" s="192"/>
      <c r="R16" s="192"/>
      <c r="S16" s="192"/>
      <c r="T16" s="192"/>
      <c r="U16" s="193"/>
    </row>
    <row r="17" spans="1:21" ht="15.75" customHeight="1">
      <c r="A17" s="85"/>
      <c r="B17" s="37">
        <f>ROW()-13</f>
        <v>4</v>
      </c>
      <c r="C17" s="145" t="s">
        <v>197</v>
      </c>
      <c r="D17" s="80"/>
      <c r="E17" s="81"/>
      <c r="F17" s="146"/>
      <c r="G17" s="17"/>
      <c r="H17" s="18" t="s">
        <v>49</v>
      </c>
      <c r="I17" s="59"/>
      <c r="J17" s="19">
        <v>1</v>
      </c>
      <c r="K17" s="19"/>
      <c r="L17" s="50" t="s">
        <v>189</v>
      </c>
      <c r="M17" s="73" t="s">
        <v>21</v>
      </c>
      <c r="N17" s="54">
        <f t="shared" si="0"/>
        <v>1</v>
      </c>
      <c r="O17" s="170"/>
      <c r="P17" s="191" t="s">
        <v>175</v>
      </c>
      <c r="Q17" s="192"/>
      <c r="R17" s="192"/>
      <c r="S17" s="192"/>
      <c r="T17" s="192"/>
      <c r="U17" s="193"/>
    </row>
    <row r="18" spans="1:21" ht="15.75" customHeight="1">
      <c r="A18" s="85"/>
      <c r="B18" s="37">
        <f>ROW()-13</f>
        <v>5</v>
      </c>
      <c r="C18" s="145" t="s">
        <v>199</v>
      </c>
      <c r="D18" s="80"/>
      <c r="E18" s="81"/>
      <c r="F18" s="146"/>
      <c r="G18" s="17"/>
      <c r="H18" s="18" t="s">
        <v>51</v>
      </c>
      <c r="I18" s="59"/>
      <c r="J18" s="19">
        <v>25</v>
      </c>
      <c r="K18" s="19"/>
      <c r="L18" s="50" t="s">
        <v>189</v>
      </c>
      <c r="M18" s="73" t="s">
        <v>21</v>
      </c>
      <c r="N18" s="54">
        <f t="shared" si="0"/>
        <v>25</v>
      </c>
      <c r="O18" s="170"/>
      <c r="P18" s="191"/>
      <c r="Q18" s="192"/>
      <c r="R18" s="192"/>
      <c r="S18" s="192"/>
      <c r="T18" s="192"/>
      <c r="U18" s="193"/>
    </row>
    <row r="19" spans="1:21" ht="15.75" customHeight="1">
      <c r="A19" s="85"/>
      <c r="B19" s="37">
        <f>ROW()-13</f>
        <v>6</v>
      </c>
      <c r="C19" s="145" t="s">
        <v>201</v>
      </c>
      <c r="D19" s="80"/>
      <c r="E19" s="81"/>
      <c r="F19" s="146"/>
      <c r="G19" s="17"/>
      <c r="H19" s="18" t="s">
        <v>51</v>
      </c>
      <c r="I19" s="59"/>
      <c r="J19" s="19">
        <v>4</v>
      </c>
      <c r="K19" s="19"/>
      <c r="L19" s="50" t="s">
        <v>189</v>
      </c>
      <c r="M19" s="73" t="s">
        <v>21</v>
      </c>
      <c r="N19" s="54">
        <f t="shared" si="0"/>
        <v>4</v>
      </c>
      <c r="O19" s="170"/>
      <c r="P19" s="191" t="s">
        <v>203</v>
      </c>
      <c r="Q19" s="192"/>
      <c r="R19" s="192"/>
      <c r="S19" s="192"/>
      <c r="T19" s="192"/>
      <c r="U19" s="193"/>
    </row>
    <row r="20" spans="1:21" ht="62.75" customHeight="1">
      <c r="A20" s="85"/>
      <c r="B20" s="37">
        <f>ROW()-13</f>
        <v>7</v>
      </c>
      <c r="C20" s="145" t="s">
        <v>204</v>
      </c>
      <c r="D20" s="80"/>
      <c r="E20" s="81"/>
      <c r="F20" s="146"/>
      <c r="G20" s="17"/>
      <c r="H20" s="18" t="s">
        <v>49</v>
      </c>
      <c r="I20" s="59"/>
      <c r="J20" s="19">
        <v>1</v>
      </c>
      <c r="K20" s="19"/>
      <c r="L20" s="50" t="s">
        <v>189</v>
      </c>
      <c r="M20" s="73" t="s">
        <v>21</v>
      </c>
      <c r="N20" s="54">
        <f t="shared" si="0"/>
        <v>1</v>
      </c>
      <c r="O20" s="170"/>
      <c r="P20" s="251" t="s">
        <v>265</v>
      </c>
      <c r="Q20" s="192"/>
      <c r="R20" s="192"/>
      <c r="S20" s="192"/>
      <c r="T20" s="192"/>
      <c r="U20" s="193"/>
    </row>
    <row r="21" spans="1:21" ht="27.5" customHeight="1">
      <c r="A21" s="85"/>
      <c r="B21" s="37">
        <f>ROW()-13</f>
        <v>8</v>
      </c>
      <c r="C21" s="145" t="s">
        <v>207</v>
      </c>
      <c r="D21" s="80"/>
      <c r="E21" s="81"/>
      <c r="F21" s="146"/>
      <c r="G21" s="17"/>
      <c r="H21" s="18" t="s">
        <v>49</v>
      </c>
      <c r="I21" s="59"/>
      <c r="J21" s="19">
        <v>1</v>
      </c>
      <c r="K21" s="19"/>
      <c r="L21" s="50" t="s">
        <v>189</v>
      </c>
      <c r="M21" s="73" t="s">
        <v>21</v>
      </c>
      <c r="N21" s="54">
        <f t="shared" si="0"/>
        <v>1</v>
      </c>
      <c r="O21" s="170"/>
      <c r="P21" s="251" t="s">
        <v>208</v>
      </c>
      <c r="Q21" s="192"/>
      <c r="R21" s="192"/>
      <c r="S21" s="192"/>
      <c r="T21" s="192"/>
      <c r="U21" s="193"/>
    </row>
    <row r="22" spans="1:21" ht="15.75" customHeight="1">
      <c r="A22" s="85"/>
      <c r="B22" s="37">
        <f>ROW()-13</f>
        <v>9</v>
      </c>
      <c r="C22" s="145" t="s">
        <v>311</v>
      </c>
      <c r="D22" s="80"/>
      <c r="E22" s="81"/>
      <c r="F22" s="146"/>
      <c r="G22" s="17"/>
      <c r="H22" s="18" t="s">
        <v>51</v>
      </c>
      <c r="I22" s="59"/>
      <c r="J22" s="19">
        <v>4</v>
      </c>
      <c r="K22" s="19"/>
      <c r="L22" s="50" t="s">
        <v>189</v>
      </c>
      <c r="M22" s="73" t="s">
        <v>21</v>
      </c>
      <c r="N22" s="54">
        <f t="shared" si="0"/>
        <v>4</v>
      </c>
      <c r="O22" s="170"/>
      <c r="P22" s="191" t="s">
        <v>203</v>
      </c>
      <c r="Q22" s="192"/>
      <c r="R22" s="192"/>
      <c r="S22" s="192"/>
      <c r="T22" s="192"/>
      <c r="U22" s="193"/>
    </row>
    <row r="23" spans="1:21" ht="15.75" customHeight="1">
      <c r="A23" s="85"/>
      <c r="B23" s="37">
        <f>ROW()-13</f>
        <v>10</v>
      </c>
      <c r="C23" s="145" t="s">
        <v>320</v>
      </c>
      <c r="D23" s="80"/>
      <c r="E23" s="81"/>
      <c r="F23" s="146"/>
      <c r="G23" s="17"/>
      <c r="H23" s="18" t="s">
        <v>211</v>
      </c>
      <c r="I23" s="59"/>
      <c r="J23" s="19">
        <v>4</v>
      </c>
      <c r="K23" s="19"/>
      <c r="L23" s="50" t="s">
        <v>189</v>
      </c>
      <c r="M23" s="73" t="s">
        <v>21</v>
      </c>
      <c r="N23" s="54">
        <f t="shared" si="0"/>
        <v>4</v>
      </c>
      <c r="O23" s="170"/>
      <c r="P23" s="191" t="s">
        <v>321</v>
      </c>
      <c r="Q23" s="192"/>
      <c r="R23" s="192"/>
      <c r="S23" s="192"/>
      <c r="T23" s="192"/>
      <c r="U23" s="193"/>
    </row>
    <row r="24" spans="1:21" ht="15.75" customHeight="1">
      <c r="A24" s="85"/>
      <c r="B24" s="37">
        <f>ROW()-13</f>
        <v>11</v>
      </c>
      <c r="C24" s="145" t="s">
        <v>217</v>
      </c>
      <c r="D24" s="80"/>
      <c r="E24" s="81"/>
      <c r="F24" s="146"/>
      <c r="G24" s="17"/>
      <c r="H24" s="18" t="s">
        <v>24</v>
      </c>
      <c r="I24" s="59"/>
      <c r="J24" s="19"/>
      <c r="K24" s="19"/>
      <c r="L24" s="50" t="s">
        <v>189</v>
      </c>
      <c r="M24" s="73" t="s">
        <v>21</v>
      </c>
      <c r="N24" s="54">
        <f t="shared" si="0"/>
        <v>7</v>
      </c>
      <c r="O24" s="170"/>
      <c r="P24" s="191"/>
      <c r="Q24" s="192"/>
      <c r="R24" s="192"/>
      <c r="S24" s="192"/>
      <c r="T24" s="192"/>
      <c r="U24" s="193"/>
    </row>
    <row r="25" spans="1:21" ht="15.75" customHeight="1">
      <c r="A25" s="85"/>
      <c r="B25" s="37">
        <f>ROW()-13</f>
        <v>12</v>
      </c>
      <c r="C25" s="145" t="s">
        <v>296</v>
      </c>
      <c r="D25" s="80"/>
      <c r="E25" s="81"/>
      <c r="F25" s="146"/>
      <c r="G25" s="17"/>
      <c r="H25" s="18" t="s">
        <v>54</v>
      </c>
      <c r="I25" s="59"/>
      <c r="J25" s="19"/>
      <c r="K25" s="19"/>
      <c r="L25" s="50" t="s">
        <v>189</v>
      </c>
      <c r="M25" s="73" t="s">
        <v>21</v>
      </c>
      <c r="N25" s="54">
        <f t="shared" si="0"/>
        <v>0</v>
      </c>
      <c r="O25" s="170"/>
      <c r="P25" s="191"/>
      <c r="Q25" s="192"/>
      <c r="R25" s="192"/>
      <c r="S25" s="192"/>
      <c r="T25" s="192"/>
      <c r="U25" s="193"/>
    </row>
    <row r="26" spans="1:21" ht="15.75" customHeight="1">
      <c r="A26" s="85"/>
      <c r="B26" s="37">
        <f>ROW()-13</f>
        <v>13</v>
      </c>
      <c r="C26" s="145" t="s">
        <v>191</v>
      </c>
      <c r="D26" s="80"/>
      <c r="E26" s="81"/>
      <c r="F26" s="146"/>
      <c r="G26" s="17"/>
      <c r="H26" s="18" t="s">
        <v>49</v>
      </c>
      <c r="I26" s="59"/>
      <c r="J26" s="19">
        <v>7</v>
      </c>
      <c r="K26" s="19"/>
      <c r="L26" s="50" t="s">
        <v>189</v>
      </c>
      <c r="M26" s="73" t="s">
        <v>21</v>
      </c>
      <c r="N26" s="54">
        <f t="shared" si="0"/>
        <v>7</v>
      </c>
      <c r="O26" s="170"/>
      <c r="P26" s="191"/>
      <c r="Q26" s="192"/>
      <c r="R26" s="192"/>
      <c r="S26" s="192"/>
      <c r="T26" s="192"/>
      <c r="U26" s="193"/>
    </row>
    <row r="27" spans="1:21" ht="15.75" customHeight="1">
      <c r="A27" s="85"/>
      <c r="B27" s="37">
        <f>ROW()-13</f>
        <v>14</v>
      </c>
      <c r="C27" s="145" t="s">
        <v>193</v>
      </c>
      <c r="D27" s="80"/>
      <c r="E27" s="81"/>
      <c r="F27" s="146"/>
      <c r="G27" s="17"/>
      <c r="H27" s="18" t="s">
        <v>49</v>
      </c>
      <c r="I27" s="59"/>
      <c r="J27" s="19">
        <v>2</v>
      </c>
      <c r="K27" s="19"/>
      <c r="L27" s="50" t="s">
        <v>189</v>
      </c>
      <c r="M27" s="73" t="s">
        <v>21</v>
      </c>
      <c r="N27" s="54">
        <f t="shared" si="0"/>
        <v>2</v>
      </c>
      <c r="O27" s="170"/>
      <c r="P27" s="191" t="s">
        <v>162</v>
      </c>
      <c r="Q27" s="192"/>
      <c r="R27" s="192"/>
      <c r="S27" s="192"/>
      <c r="T27" s="192"/>
      <c r="U27" s="193"/>
    </row>
    <row r="28" spans="1:21" ht="15.75" customHeight="1">
      <c r="A28" s="85"/>
      <c r="B28" s="37">
        <f>ROW()-13</f>
        <v>15</v>
      </c>
      <c r="C28" s="145" t="s">
        <v>322</v>
      </c>
      <c r="D28" s="80"/>
      <c r="E28" s="81"/>
      <c r="F28" s="146"/>
      <c r="G28" s="17"/>
      <c r="H28" s="18" t="s">
        <v>51</v>
      </c>
      <c r="I28" s="59"/>
      <c r="J28" s="19">
        <v>10</v>
      </c>
      <c r="K28" s="19"/>
      <c r="L28" s="50" t="s">
        <v>189</v>
      </c>
      <c r="M28" s="73" t="s">
        <v>21</v>
      </c>
      <c r="N28" s="54">
        <f t="shared" si="0"/>
        <v>10</v>
      </c>
      <c r="O28" s="170"/>
      <c r="P28" s="191" t="s">
        <v>163</v>
      </c>
      <c r="Q28" s="192"/>
      <c r="R28" s="192"/>
      <c r="S28" s="192"/>
      <c r="T28" s="192"/>
      <c r="U28" s="193"/>
    </row>
    <row r="29" spans="1:21" ht="15.75" customHeight="1">
      <c r="A29" s="85"/>
      <c r="B29" s="37">
        <f>ROW()-13</f>
        <v>16</v>
      </c>
      <c r="C29" s="145" t="s">
        <v>323</v>
      </c>
      <c r="D29" s="80"/>
      <c r="E29" s="81"/>
      <c r="F29" s="146"/>
      <c r="G29" s="17"/>
      <c r="H29" s="18" t="s">
        <v>211</v>
      </c>
      <c r="I29" s="59"/>
      <c r="J29" s="19">
        <v>4</v>
      </c>
      <c r="K29" s="19"/>
      <c r="L29" s="50"/>
      <c r="M29" s="73" t="s">
        <v>21</v>
      </c>
      <c r="N29" s="54">
        <f t="shared" si="0"/>
        <v>4</v>
      </c>
      <c r="O29" s="170"/>
      <c r="P29" s="191"/>
      <c r="Q29" s="192"/>
      <c r="R29" s="192"/>
      <c r="S29" s="192"/>
      <c r="T29" s="192"/>
      <c r="U29" s="193"/>
    </row>
    <row r="30" spans="1:21" ht="15.75" customHeight="1">
      <c r="A30" s="85"/>
      <c r="B30" s="37">
        <f>ROW()-13</f>
        <v>17</v>
      </c>
      <c r="C30" s="145" t="s">
        <v>324</v>
      </c>
      <c r="D30" s="80"/>
      <c r="E30" s="81"/>
      <c r="F30" s="146"/>
      <c r="G30" s="17"/>
      <c r="H30" s="18" t="s">
        <v>211</v>
      </c>
      <c r="I30" s="59"/>
      <c r="J30" s="19">
        <v>4</v>
      </c>
      <c r="K30" s="19"/>
      <c r="L30" s="50"/>
      <c r="M30" s="73" t="s">
        <v>21</v>
      </c>
      <c r="N30" s="54">
        <f t="shared" si="0"/>
        <v>4</v>
      </c>
      <c r="O30" s="170"/>
      <c r="P30" s="191"/>
      <c r="Q30" s="192"/>
      <c r="R30" s="192"/>
      <c r="S30" s="192"/>
      <c r="T30" s="192"/>
      <c r="U30" s="193"/>
    </row>
    <row r="31" spans="1:21" ht="145" customHeight="1">
      <c r="A31" s="85"/>
      <c r="B31" s="37">
        <f>ROW()-13</f>
        <v>18</v>
      </c>
      <c r="C31" s="145" t="s">
        <v>325</v>
      </c>
      <c r="D31" s="80"/>
      <c r="E31" s="81"/>
      <c r="F31" s="146"/>
      <c r="G31" s="17"/>
      <c r="H31" s="18" t="s">
        <v>49</v>
      </c>
      <c r="I31" s="59"/>
      <c r="J31" s="19">
        <v>1</v>
      </c>
      <c r="K31" s="19"/>
      <c r="L31" s="50"/>
      <c r="M31" s="73" t="s">
        <v>21</v>
      </c>
      <c r="N31" s="54">
        <f t="shared" si="0"/>
        <v>1</v>
      </c>
      <c r="O31" s="170"/>
      <c r="P31" s="251" t="s">
        <v>326</v>
      </c>
      <c r="Q31" s="192"/>
      <c r="R31" s="192"/>
      <c r="S31" s="192"/>
      <c r="T31" s="192"/>
      <c r="U31" s="193"/>
    </row>
    <row r="32" spans="1:21" ht="15.75" customHeight="1">
      <c r="A32" s="85"/>
      <c r="B32" s="37">
        <f>ROW()-13</f>
        <v>19</v>
      </c>
      <c r="C32" s="145" t="s">
        <v>327</v>
      </c>
      <c r="D32" s="80"/>
      <c r="E32" s="81"/>
      <c r="F32" s="146"/>
      <c r="G32" s="17"/>
      <c r="H32" s="18" t="s">
        <v>51</v>
      </c>
      <c r="I32" s="59"/>
      <c r="J32" s="19">
        <v>4</v>
      </c>
      <c r="K32" s="19"/>
      <c r="L32" s="50"/>
      <c r="M32" s="73" t="s">
        <v>21</v>
      </c>
      <c r="N32" s="54">
        <f t="shared" si="0"/>
        <v>4</v>
      </c>
      <c r="O32" s="170"/>
      <c r="P32" s="191" t="s">
        <v>170</v>
      </c>
      <c r="Q32" s="192"/>
      <c r="R32" s="192"/>
      <c r="S32" s="192"/>
      <c r="T32" s="192"/>
      <c r="U32" s="193"/>
    </row>
    <row r="33" spans="1:21" ht="192" customHeight="1">
      <c r="A33" s="85"/>
      <c r="B33" s="37">
        <f>ROW()-13</f>
        <v>20</v>
      </c>
      <c r="C33" s="145" t="s">
        <v>328</v>
      </c>
      <c r="D33" s="80"/>
      <c r="E33" s="81"/>
      <c r="F33" s="146"/>
      <c r="G33" s="17"/>
      <c r="H33" s="18" t="s">
        <v>51</v>
      </c>
      <c r="I33" s="59"/>
      <c r="J33" s="19">
        <v>2</v>
      </c>
      <c r="K33" s="19"/>
      <c r="L33" s="50"/>
      <c r="M33" s="73" t="s">
        <v>21</v>
      </c>
      <c r="N33" s="54">
        <f t="shared" si="0"/>
        <v>2</v>
      </c>
      <c r="O33" s="170"/>
      <c r="P33" s="251" t="s">
        <v>329</v>
      </c>
      <c r="Q33" s="192"/>
      <c r="R33" s="192"/>
      <c r="S33" s="192"/>
      <c r="T33" s="192"/>
      <c r="U33" s="193"/>
    </row>
    <row r="34" spans="1:21" ht="39.25" customHeight="1">
      <c r="A34" s="85"/>
      <c r="B34" s="37">
        <f>ROW()-13</f>
        <v>21</v>
      </c>
      <c r="C34" s="145" t="s">
        <v>330</v>
      </c>
      <c r="D34" s="80"/>
      <c r="E34" s="81"/>
      <c r="F34" s="146"/>
      <c r="G34" s="17"/>
      <c r="H34" s="18" t="s">
        <v>49</v>
      </c>
      <c r="I34" s="59"/>
      <c r="J34" s="19">
        <v>1</v>
      </c>
      <c r="K34" s="19"/>
      <c r="L34" s="50"/>
      <c r="M34" s="73" t="s">
        <v>21</v>
      </c>
      <c r="N34" s="54">
        <f t="shared" si="0"/>
        <v>1</v>
      </c>
      <c r="O34" s="170"/>
      <c r="P34" s="251" t="s">
        <v>331</v>
      </c>
      <c r="Q34" s="192"/>
      <c r="R34" s="192"/>
      <c r="S34" s="192"/>
      <c r="T34" s="192"/>
      <c r="U34" s="193"/>
    </row>
    <row r="35" spans="1:21" ht="51" customHeight="1">
      <c r="A35" s="85"/>
      <c r="B35" s="37">
        <f>ROW()-13</f>
        <v>22</v>
      </c>
      <c r="C35" s="145" t="s">
        <v>332</v>
      </c>
      <c r="D35" s="80"/>
      <c r="E35" s="81"/>
      <c r="F35" s="146"/>
      <c r="G35" s="17"/>
      <c r="H35" s="18" t="s">
        <v>49</v>
      </c>
      <c r="I35" s="59"/>
      <c r="J35" s="19">
        <v>1</v>
      </c>
      <c r="K35" s="19"/>
      <c r="L35" s="50"/>
      <c r="M35" s="73" t="s">
        <v>21</v>
      </c>
      <c r="N35" s="54">
        <f t="shared" si="0"/>
        <v>1</v>
      </c>
      <c r="O35" s="170"/>
      <c r="P35" s="251" t="s">
        <v>333</v>
      </c>
      <c r="Q35" s="192"/>
      <c r="R35" s="192"/>
      <c r="S35" s="192"/>
      <c r="T35" s="192"/>
      <c r="U35" s="193"/>
    </row>
    <row r="36" spans="1:21" ht="15.75" customHeight="1">
      <c r="A36" s="85"/>
      <c r="B36" s="37">
        <f>ROW()-13</f>
        <v>23</v>
      </c>
      <c r="C36" s="145" t="s">
        <v>334</v>
      </c>
      <c r="D36" s="80"/>
      <c r="E36" s="81"/>
      <c r="F36" s="146"/>
      <c r="G36" s="17"/>
      <c r="H36" s="18" t="s">
        <v>51</v>
      </c>
      <c r="I36" s="59"/>
      <c r="J36" s="19">
        <v>4</v>
      </c>
      <c r="K36" s="19"/>
      <c r="L36" s="50"/>
      <c r="M36" s="73" t="s">
        <v>21</v>
      </c>
      <c r="N36" s="54">
        <f t="shared" si="0"/>
        <v>4</v>
      </c>
      <c r="O36" s="170"/>
      <c r="P36" s="191" t="s">
        <v>335</v>
      </c>
      <c r="Q36" s="192"/>
      <c r="R36" s="192"/>
      <c r="S36" s="192"/>
      <c r="T36" s="192"/>
      <c r="U36" s="193"/>
    </row>
    <row r="37" spans="1:21" ht="15.75" customHeight="1">
      <c r="A37" s="85"/>
      <c r="B37" s="37">
        <f>ROW()-13</f>
        <v>24</v>
      </c>
      <c r="C37" s="145" t="s">
        <v>336</v>
      </c>
      <c r="D37" s="80"/>
      <c r="E37" s="81"/>
      <c r="F37" s="146"/>
      <c r="G37" s="17"/>
      <c r="H37" s="18" t="s">
        <v>49</v>
      </c>
      <c r="I37" s="59"/>
      <c r="J37" s="19">
        <v>7</v>
      </c>
      <c r="K37" s="19"/>
      <c r="L37" s="50"/>
      <c r="M37" s="73" t="s">
        <v>21</v>
      </c>
      <c r="N37" s="54">
        <f t="shared" si="0"/>
        <v>7</v>
      </c>
      <c r="O37" s="170"/>
      <c r="P37" s="191"/>
      <c r="Q37" s="192"/>
      <c r="R37" s="192"/>
      <c r="S37" s="192"/>
      <c r="T37" s="192"/>
      <c r="U37" s="193"/>
    </row>
    <row r="38" spans="1:21" ht="15.75" customHeight="1">
      <c r="A38" s="85"/>
      <c r="B38" s="37">
        <f>ROW()-13</f>
        <v>25</v>
      </c>
      <c r="C38" s="145" t="s">
        <v>212</v>
      </c>
      <c r="D38" s="80"/>
      <c r="E38" s="81"/>
      <c r="F38" s="146"/>
      <c r="G38" s="17"/>
      <c r="H38" s="18" t="s">
        <v>49</v>
      </c>
      <c r="I38" s="59"/>
      <c r="J38" s="19">
        <v>4</v>
      </c>
      <c r="K38" s="19"/>
      <c r="L38" s="50"/>
      <c r="M38" s="73" t="s">
        <v>21</v>
      </c>
      <c r="N38" s="54">
        <f t="shared" si="0"/>
        <v>4</v>
      </c>
      <c r="O38" s="170"/>
      <c r="P38" s="191"/>
      <c r="Q38" s="192"/>
      <c r="R38" s="192"/>
      <c r="S38" s="192"/>
      <c r="T38" s="192"/>
      <c r="U38" s="193"/>
    </row>
    <row r="39" spans="1:21" ht="15.75" customHeight="1">
      <c r="A39" s="85"/>
      <c r="B39" s="37">
        <f>ROW()-13</f>
        <v>26</v>
      </c>
      <c r="C39" s="145" t="s">
        <v>337</v>
      </c>
      <c r="D39" s="80"/>
      <c r="E39" s="81"/>
      <c r="F39" s="146"/>
      <c r="G39" s="17"/>
      <c r="H39" s="18" t="s">
        <v>49</v>
      </c>
      <c r="I39" s="59"/>
      <c r="J39" s="19">
        <v>5</v>
      </c>
      <c r="K39" s="19"/>
      <c r="L39" s="50"/>
      <c r="M39" s="73" t="s">
        <v>21</v>
      </c>
      <c r="N39" s="54">
        <f t="shared" si="0"/>
        <v>5</v>
      </c>
      <c r="O39" s="170"/>
      <c r="P39" s="191"/>
      <c r="Q39" s="192"/>
      <c r="R39" s="192"/>
      <c r="S39" s="192"/>
      <c r="T39" s="192"/>
      <c r="U39" s="193"/>
    </row>
    <row r="40" spans="1:21" ht="15.75" customHeight="1">
      <c r="A40" s="85"/>
      <c r="B40" s="37">
        <f>ROW()-13</f>
        <v>27</v>
      </c>
      <c r="C40" s="145" t="s">
        <v>275</v>
      </c>
      <c r="D40" s="80"/>
      <c r="E40" s="81"/>
      <c r="F40" s="146"/>
      <c r="G40" s="17"/>
      <c r="H40" s="18" t="s">
        <v>49</v>
      </c>
      <c r="I40" s="59"/>
      <c r="J40" s="19">
        <v>1</v>
      </c>
      <c r="K40" s="19"/>
      <c r="L40" s="50"/>
      <c r="M40" s="73" t="s">
        <v>21</v>
      </c>
      <c r="N40" s="54">
        <f t="shared" si="0"/>
        <v>1</v>
      </c>
      <c r="O40" s="170"/>
      <c r="P40" s="191" t="s">
        <v>338</v>
      </c>
      <c r="Q40" s="192"/>
      <c r="R40" s="192"/>
      <c r="S40" s="192"/>
      <c r="T40" s="192"/>
      <c r="U40" s="193"/>
    </row>
    <row r="41" spans="1:21" ht="15.75" customHeight="1">
      <c r="A41" s="85"/>
      <c r="B41" s="37">
        <f>ROW()-13</f>
        <v>28</v>
      </c>
      <c r="C41" s="145" t="s">
        <v>339</v>
      </c>
      <c r="D41" s="80"/>
      <c r="E41" s="81"/>
      <c r="F41" s="146"/>
      <c r="G41" s="17"/>
      <c r="H41" s="18" t="s">
        <v>211</v>
      </c>
      <c r="I41" s="59"/>
      <c r="J41" s="19"/>
      <c r="K41" s="19"/>
      <c r="L41" s="50"/>
      <c r="M41" s="73" t="s">
        <v>21</v>
      </c>
      <c r="N41" s="54">
        <f t="shared" si="0"/>
        <v>0</v>
      </c>
      <c r="O41" s="170"/>
      <c r="P41" s="191" t="s">
        <v>340</v>
      </c>
      <c r="Q41" s="192"/>
      <c r="R41" s="192"/>
      <c r="S41" s="192"/>
      <c r="T41" s="192"/>
      <c r="U41" s="193"/>
    </row>
    <row r="42" spans="1:21" ht="15.5">
      <c r="A42" s="85"/>
      <c r="B42" s="37">
        <f t="shared" ref="B42:B48" si="1">ROW()-13</f>
        <v>29</v>
      </c>
      <c r="C42" s="107" t="s">
        <v>36</v>
      </c>
      <c r="D42" s="107"/>
      <c r="E42" s="108"/>
      <c r="F42" s="109" t="s">
        <v>78</v>
      </c>
      <c r="G42" s="110"/>
      <c r="H42" s="18" t="s">
        <v>51</v>
      </c>
      <c r="I42" s="59"/>
      <c r="J42" s="113">
        <v>12</v>
      </c>
      <c r="K42" s="113"/>
      <c r="L42" s="114"/>
      <c r="M42" s="115" t="s">
        <v>35</v>
      </c>
      <c r="N42" s="116">
        <f t="shared" si="0"/>
        <v>12</v>
      </c>
      <c r="O42" s="171"/>
      <c r="P42" s="197"/>
      <c r="Q42" s="198"/>
      <c r="R42" s="198"/>
      <c r="S42" s="198"/>
      <c r="T42" s="198"/>
      <c r="U42" s="199"/>
    </row>
    <row r="43" spans="1:21" ht="15.5">
      <c r="A43" s="85"/>
      <c r="B43" s="37">
        <f t="shared" si="1"/>
        <v>30</v>
      </c>
      <c r="C43" s="107" t="s">
        <v>37</v>
      </c>
      <c r="D43" s="107"/>
      <c r="E43" s="108"/>
      <c r="F43" s="109" t="s">
        <v>43</v>
      </c>
      <c r="G43" s="110"/>
      <c r="H43" s="18" t="s">
        <v>51</v>
      </c>
      <c r="I43" s="59"/>
      <c r="J43" s="113">
        <v>10</v>
      </c>
      <c r="K43" s="113"/>
      <c r="L43" s="114"/>
      <c r="M43" s="115" t="s">
        <v>21</v>
      </c>
      <c r="N43" s="116">
        <f t="shared" si="0"/>
        <v>10</v>
      </c>
      <c r="O43" s="171"/>
      <c r="P43" s="197"/>
      <c r="Q43" s="198"/>
      <c r="R43" s="198"/>
      <c r="S43" s="198"/>
      <c r="T43" s="198"/>
      <c r="U43" s="199"/>
    </row>
    <row r="44" spans="1:21" ht="15.5">
      <c r="A44" s="85"/>
      <c r="B44" s="37">
        <f t="shared" si="1"/>
        <v>31</v>
      </c>
      <c r="C44" s="107" t="s">
        <v>38</v>
      </c>
      <c r="D44" s="107"/>
      <c r="E44" s="108"/>
      <c r="F44" s="109" t="s">
        <v>80</v>
      </c>
      <c r="G44" s="110"/>
      <c r="H44" s="18" t="s">
        <v>86</v>
      </c>
      <c r="I44" s="59"/>
      <c r="J44" s="113"/>
      <c r="K44" s="113"/>
      <c r="L44" s="114"/>
      <c r="M44" s="115" t="s">
        <v>21</v>
      </c>
      <c r="N44" s="116">
        <f t="shared" si="0"/>
        <v>0</v>
      </c>
      <c r="O44" s="171"/>
      <c r="P44" s="197"/>
      <c r="Q44" s="198"/>
      <c r="R44" s="198"/>
      <c r="S44" s="198"/>
      <c r="T44" s="198"/>
      <c r="U44" s="199"/>
    </row>
    <row r="45" spans="1:21" ht="15.5">
      <c r="A45" s="85"/>
      <c r="B45" s="37">
        <f t="shared" si="1"/>
        <v>32</v>
      </c>
      <c r="C45" s="107" t="s">
        <v>39</v>
      </c>
      <c r="D45" s="107"/>
      <c r="E45" s="108"/>
      <c r="F45" s="109" t="s">
        <v>79</v>
      </c>
      <c r="G45" s="110"/>
      <c r="H45" s="18" t="s">
        <v>51</v>
      </c>
      <c r="I45" s="59"/>
      <c r="J45" s="113">
        <v>12</v>
      </c>
      <c r="K45" s="113"/>
      <c r="L45" s="114"/>
      <c r="M45" s="115" t="s">
        <v>35</v>
      </c>
      <c r="N45" s="116">
        <f t="shared" si="0"/>
        <v>12</v>
      </c>
      <c r="O45" s="171"/>
      <c r="P45" s="197"/>
      <c r="Q45" s="198"/>
      <c r="R45" s="198"/>
      <c r="S45" s="198"/>
      <c r="T45" s="198"/>
      <c r="U45" s="199"/>
    </row>
    <row r="46" spans="1:21" ht="15.5">
      <c r="A46" s="85"/>
      <c r="B46" s="37">
        <f t="shared" si="1"/>
        <v>33</v>
      </c>
      <c r="C46" s="107" t="s">
        <v>40</v>
      </c>
      <c r="D46" s="107"/>
      <c r="E46" s="108"/>
      <c r="F46" s="109" t="s">
        <v>44</v>
      </c>
      <c r="G46" s="110"/>
      <c r="H46" s="18" t="s">
        <v>51</v>
      </c>
      <c r="I46" s="59"/>
      <c r="J46" s="113">
        <v>10</v>
      </c>
      <c r="K46" s="113"/>
      <c r="L46" s="114"/>
      <c r="M46" s="115" t="s">
        <v>21</v>
      </c>
      <c r="N46" s="116">
        <f t="shared" si="0"/>
        <v>10</v>
      </c>
      <c r="O46" s="171"/>
      <c r="P46" s="197"/>
      <c r="Q46" s="198"/>
      <c r="R46" s="198"/>
      <c r="S46" s="198"/>
      <c r="T46" s="198"/>
      <c r="U46" s="199"/>
    </row>
    <row r="47" spans="1:21" ht="15.5">
      <c r="A47" s="85"/>
      <c r="B47" s="37">
        <f t="shared" si="1"/>
        <v>34</v>
      </c>
      <c r="C47" s="107" t="s">
        <v>41</v>
      </c>
      <c r="D47" s="107"/>
      <c r="E47" s="108"/>
      <c r="F47" s="109" t="s">
        <v>81</v>
      </c>
      <c r="G47" s="110"/>
      <c r="H47" s="18" t="s">
        <v>86</v>
      </c>
      <c r="I47" s="59"/>
      <c r="J47" s="113"/>
      <c r="K47" s="113"/>
      <c r="L47" s="114"/>
      <c r="M47" s="115" t="s">
        <v>21</v>
      </c>
      <c r="N47" s="116">
        <f t="shared" si="0"/>
        <v>0</v>
      </c>
      <c r="O47" s="171"/>
      <c r="P47" s="197"/>
      <c r="Q47" s="198"/>
      <c r="R47" s="198"/>
      <c r="S47" s="198"/>
      <c r="T47" s="198"/>
      <c r="U47" s="199"/>
    </row>
    <row r="48" spans="1:21" ht="15.5">
      <c r="A48" s="85"/>
      <c r="B48" s="37">
        <f t="shared" si="1"/>
        <v>35</v>
      </c>
      <c r="C48" s="80" t="s">
        <v>46</v>
      </c>
      <c r="D48" s="80"/>
      <c r="E48" s="81"/>
      <c r="F48" s="84" t="s">
        <v>71</v>
      </c>
      <c r="G48" s="17"/>
      <c r="H48" s="18" t="s">
        <v>62</v>
      </c>
      <c r="I48" s="59"/>
      <c r="J48" s="19">
        <v>8</v>
      </c>
      <c r="K48" s="19"/>
      <c r="L48" s="50" t="s">
        <v>47</v>
      </c>
      <c r="M48" s="73" t="s">
        <v>35</v>
      </c>
      <c r="N48" s="54">
        <f t="shared" si="0"/>
        <v>8</v>
      </c>
      <c r="O48" s="170">
        <v>0</v>
      </c>
      <c r="P48" s="191" t="s">
        <v>48</v>
      </c>
      <c r="Q48" s="192"/>
      <c r="R48" s="192"/>
      <c r="S48" s="192"/>
      <c r="T48" s="192"/>
      <c r="U48" s="193"/>
    </row>
    <row r="49" spans="1:21" ht="16" thickBot="1">
      <c r="A49" s="118"/>
      <c r="B49" s="119"/>
      <c r="C49" s="120"/>
      <c r="D49" s="120"/>
      <c r="E49" s="121"/>
      <c r="F49" s="129"/>
      <c r="G49" s="122"/>
      <c r="H49" s="147"/>
      <c r="I49" s="148"/>
      <c r="J49" s="125"/>
      <c r="K49" s="125"/>
      <c r="L49" s="126"/>
      <c r="M49" s="126"/>
      <c r="N49" s="127"/>
      <c r="O49" s="172"/>
      <c r="P49" s="194"/>
      <c r="Q49" s="195"/>
      <c r="R49" s="195"/>
      <c r="S49" s="195"/>
      <c r="T49" s="195"/>
      <c r="U49" s="196"/>
    </row>
  </sheetData>
  <mergeCells count="66">
    <mergeCell ref="P46:U46"/>
    <mergeCell ref="P47:U47"/>
    <mergeCell ref="P48:U48"/>
    <mergeCell ref="P49:U49"/>
    <mergeCell ref="P40:U40"/>
    <mergeCell ref="P41:U41"/>
    <mergeCell ref="P42:U42"/>
    <mergeCell ref="P43:U43"/>
    <mergeCell ref="P44:U44"/>
    <mergeCell ref="P45:U45"/>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23554"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23555"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23556"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23557"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23558"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D61DBFF-9373-40A9-84CD-F7E07888224D}">
            <xm:f>(AND(H14&lt;&gt;"",ISERROR(VLOOKUP(H14,system!$E:$E,1,FALSE))))</xm:f>
            <x14:dxf>
              <fill>
                <patternFill patternType="solid">
                  <bgColor rgb="FFFF0000"/>
                </patternFill>
              </fill>
            </x14:dxf>
          </x14:cfRule>
          <xm:sqref>H14:H41</xm:sqref>
        </x14:conditionalFormatting>
        <x14:conditionalFormatting xmlns:xm="http://schemas.microsoft.com/office/excel/2006/main">
          <x14:cfRule type="expression" priority="3" id="{901839BF-D433-4147-ABD1-A7C76A6EBF71}">
            <xm:f>(AND(H14&lt;&gt;"",ISERROR(VLOOKUP(H14,system!$E:$E,1,FALSE))))</xm:f>
            <x14:dxf>
              <fill>
                <patternFill>
                  <bgColor rgb="FFFF0000"/>
                </patternFill>
              </fill>
            </x14:dxf>
          </x14:cfRule>
          <xm:sqref>I14:I41</xm:sqref>
        </x14:conditionalFormatting>
        <x14:conditionalFormatting xmlns:xm="http://schemas.microsoft.com/office/excel/2006/main">
          <x14:cfRule type="expression" priority="2" id="{54D5AD9A-52AF-45C0-8FF8-47800B0F55B7}">
            <xm:f>(AND(H42&lt;&gt;"",ISERROR(VLOOKUP(H42,system!$E:$E,1,FALSE))))</xm:f>
            <x14:dxf>
              <fill>
                <patternFill patternType="solid">
                  <bgColor rgb="FFFF0000"/>
                </patternFill>
              </fill>
            </x14:dxf>
          </x14:cfRule>
          <xm:sqref>H42:H49</xm:sqref>
        </x14:conditionalFormatting>
        <x14:conditionalFormatting xmlns:xm="http://schemas.microsoft.com/office/excel/2006/main">
          <x14:cfRule type="expression" priority="1" id="{C180E6A9-4229-492A-B95A-3F2EF5E247F8}">
            <xm:f>(AND(H42&lt;&gt;"",ISERROR(VLOOKUP(H42,system!$E:$E,1,FALSE))))</xm:f>
            <x14:dxf>
              <fill>
                <patternFill>
                  <bgColor rgb="FFFF0000"/>
                </patternFill>
              </fill>
            </x14:dxf>
          </x14:cfRule>
          <xm:sqref>I42:I49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9BE91-2FFF-49D7-B084-D9FA5C3E1E7B}">
  <sheetPr codeName="Sheet23">
    <pageSetUpPr fitToPage="1"/>
  </sheetPr>
  <dimension ref="A1:U42"/>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342</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138</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SUM(N14:N43)</f>
        <v>170</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41" si="0">IF(H14="NUMBER",IF(J14&gt;0,INT((J14+1)/2+0.9),0),IF(H14="DATE",7,IF(OR(H14="LONG",H14="LONG RAW"),100000,J14)))</f>
        <v>1</v>
      </c>
      <c r="O14" s="170"/>
      <c r="P14" s="191" t="s">
        <v>175</v>
      </c>
      <c r="Q14" s="192"/>
      <c r="R14" s="192"/>
      <c r="S14" s="192"/>
      <c r="T14" s="192"/>
      <c r="U14" s="193"/>
    </row>
    <row r="15" spans="1:21" ht="15.75" customHeight="1">
      <c r="A15" s="85" t="s">
        <v>190</v>
      </c>
      <c r="B15" s="37">
        <f>ROW()-13</f>
        <v>2</v>
      </c>
      <c r="C15" s="145" t="s">
        <v>293</v>
      </c>
      <c r="D15" s="80"/>
      <c r="E15" s="81"/>
      <c r="F15" s="146"/>
      <c r="G15" s="17"/>
      <c r="H15" s="18" t="s">
        <v>51</v>
      </c>
      <c r="I15" s="59"/>
      <c r="J15" s="19">
        <v>14</v>
      </c>
      <c r="K15" s="19"/>
      <c r="L15" s="50" t="s">
        <v>189</v>
      </c>
      <c r="M15" s="73" t="s">
        <v>21</v>
      </c>
      <c r="N15" s="54">
        <f t="shared" si="0"/>
        <v>14</v>
      </c>
      <c r="O15" s="170"/>
      <c r="P15" s="191"/>
      <c r="Q15" s="192"/>
      <c r="R15" s="192"/>
      <c r="S15" s="192"/>
      <c r="T15" s="192"/>
      <c r="U15" s="193"/>
    </row>
    <row r="16" spans="1:21" ht="15.75" customHeight="1">
      <c r="A16" s="85" t="s">
        <v>190</v>
      </c>
      <c r="B16" s="37">
        <f>ROW()-13</f>
        <v>3</v>
      </c>
      <c r="C16" s="145" t="s">
        <v>306</v>
      </c>
      <c r="D16" s="80"/>
      <c r="E16" s="81"/>
      <c r="F16" s="146"/>
      <c r="G16" s="17"/>
      <c r="H16" s="18" t="s">
        <v>211</v>
      </c>
      <c r="I16" s="59"/>
      <c r="J16" s="19"/>
      <c r="K16" s="19"/>
      <c r="L16" s="50" t="s">
        <v>189</v>
      </c>
      <c r="M16" s="73" t="s">
        <v>21</v>
      </c>
      <c r="N16" s="54">
        <f t="shared" si="0"/>
        <v>0</v>
      </c>
      <c r="O16" s="170"/>
      <c r="P16" s="191" t="s">
        <v>343</v>
      </c>
      <c r="Q16" s="192"/>
      <c r="R16" s="192"/>
      <c r="S16" s="192"/>
      <c r="T16" s="192"/>
      <c r="U16" s="193"/>
    </row>
    <row r="17" spans="1:21" ht="15.75" customHeight="1">
      <c r="A17" s="85"/>
      <c r="B17" s="37">
        <f>ROW()-13</f>
        <v>4</v>
      </c>
      <c r="C17" s="145" t="s">
        <v>344</v>
      </c>
      <c r="D17" s="80"/>
      <c r="E17" s="81"/>
      <c r="F17" s="146"/>
      <c r="G17" s="17"/>
      <c r="H17" s="18" t="s">
        <v>51</v>
      </c>
      <c r="I17" s="59"/>
      <c r="J17" s="19">
        <v>14</v>
      </c>
      <c r="K17" s="19"/>
      <c r="L17" s="50" t="s">
        <v>189</v>
      </c>
      <c r="M17" s="73" t="s">
        <v>21</v>
      </c>
      <c r="N17" s="54">
        <f t="shared" si="0"/>
        <v>14</v>
      </c>
      <c r="O17" s="170"/>
      <c r="P17" s="191"/>
      <c r="Q17" s="192"/>
      <c r="R17" s="192"/>
      <c r="S17" s="192"/>
      <c r="T17" s="192"/>
      <c r="U17" s="193"/>
    </row>
    <row r="18" spans="1:21" ht="15.75" customHeight="1">
      <c r="A18" s="85"/>
      <c r="B18" s="37">
        <f>ROW()-13</f>
        <v>5</v>
      </c>
      <c r="C18" s="145" t="s">
        <v>345</v>
      </c>
      <c r="D18" s="80"/>
      <c r="E18" s="81"/>
      <c r="F18" s="146"/>
      <c r="G18" s="17"/>
      <c r="H18" s="18" t="s">
        <v>49</v>
      </c>
      <c r="I18" s="59"/>
      <c r="J18" s="19">
        <v>3</v>
      </c>
      <c r="K18" s="19"/>
      <c r="L18" s="50" t="s">
        <v>189</v>
      </c>
      <c r="M18" s="73" t="s">
        <v>21</v>
      </c>
      <c r="N18" s="54">
        <f t="shared" si="0"/>
        <v>3</v>
      </c>
      <c r="O18" s="170"/>
      <c r="P18" s="191" t="s">
        <v>161</v>
      </c>
      <c r="Q18" s="192"/>
      <c r="R18" s="192"/>
      <c r="S18" s="192"/>
      <c r="T18" s="192"/>
      <c r="U18" s="193"/>
    </row>
    <row r="19" spans="1:21" ht="15.75" customHeight="1">
      <c r="A19" s="85"/>
      <c r="B19" s="37">
        <f>ROW()-13</f>
        <v>6</v>
      </c>
      <c r="C19" s="145" t="s">
        <v>191</v>
      </c>
      <c r="D19" s="80"/>
      <c r="E19" s="81"/>
      <c r="F19" s="146"/>
      <c r="G19" s="17"/>
      <c r="H19" s="18" t="s">
        <v>49</v>
      </c>
      <c r="I19" s="59"/>
      <c r="J19" s="19">
        <v>7</v>
      </c>
      <c r="K19" s="19"/>
      <c r="L19" s="50" t="s">
        <v>189</v>
      </c>
      <c r="M19" s="73" t="s">
        <v>21</v>
      </c>
      <c r="N19" s="54">
        <f t="shared" si="0"/>
        <v>7</v>
      </c>
      <c r="O19" s="170"/>
      <c r="P19" s="191"/>
      <c r="Q19" s="192"/>
      <c r="R19" s="192"/>
      <c r="S19" s="192"/>
      <c r="T19" s="192"/>
      <c r="U19" s="193"/>
    </row>
    <row r="20" spans="1:21" ht="15.75" customHeight="1">
      <c r="A20" s="85"/>
      <c r="B20" s="37">
        <f>ROW()-13</f>
        <v>7</v>
      </c>
      <c r="C20" s="145" t="s">
        <v>217</v>
      </c>
      <c r="D20" s="80"/>
      <c r="E20" s="81"/>
      <c r="F20" s="146"/>
      <c r="G20" s="17"/>
      <c r="H20" s="18" t="s">
        <v>24</v>
      </c>
      <c r="I20" s="59"/>
      <c r="J20" s="19"/>
      <c r="K20" s="19"/>
      <c r="L20" s="50" t="s">
        <v>189</v>
      </c>
      <c r="M20" s="73" t="s">
        <v>21</v>
      </c>
      <c r="N20" s="54">
        <f t="shared" si="0"/>
        <v>7</v>
      </c>
      <c r="O20" s="170"/>
      <c r="P20" s="191"/>
      <c r="Q20" s="192"/>
      <c r="R20" s="192"/>
      <c r="S20" s="192"/>
      <c r="T20" s="192"/>
      <c r="U20" s="193"/>
    </row>
    <row r="21" spans="1:21" ht="15.75" customHeight="1">
      <c r="A21" s="85"/>
      <c r="B21" s="37">
        <f>ROW()-13</f>
        <v>8</v>
      </c>
      <c r="C21" s="145" t="s">
        <v>296</v>
      </c>
      <c r="D21" s="80"/>
      <c r="E21" s="81"/>
      <c r="F21" s="146"/>
      <c r="G21" s="17"/>
      <c r="H21" s="18" t="s">
        <v>54</v>
      </c>
      <c r="I21" s="59"/>
      <c r="J21" s="19"/>
      <c r="K21" s="19"/>
      <c r="L21" s="50" t="s">
        <v>189</v>
      </c>
      <c r="M21" s="73" t="s">
        <v>21</v>
      </c>
      <c r="N21" s="54">
        <f t="shared" si="0"/>
        <v>0</v>
      </c>
      <c r="O21" s="170"/>
      <c r="P21" s="191"/>
      <c r="Q21" s="192"/>
      <c r="R21" s="192"/>
      <c r="S21" s="192"/>
      <c r="T21" s="192"/>
      <c r="U21" s="193"/>
    </row>
    <row r="22" spans="1:21" ht="15.75" customHeight="1">
      <c r="A22" s="85"/>
      <c r="B22" s="37">
        <f>ROW()-13</f>
        <v>9</v>
      </c>
      <c r="C22" s="145" t="s">
        <v>195</v>
      </c>
      <c r="D22" s="80"/>
      <c r="E22" s="81"/>
      <c r="F22" s="146"/>
      <c r="G22" s="17"/>
      <c r="H22" s="18" t="s">
        <v>49</v>
      </c>
      <c r="I22" s="59"/>
      <c r="J22" s="19">
        <v>12</v>
      </c>
      <c r="K22" s="19"/>
      <c r="L22" s="50"/>
      <c r="M22" s="73" t="s">
        <v>21</v>
      </c>
      <c r="N22" s="54">
        <f t="shared" si="0"/>
        <v>12</v>
      </c>
      <c r="O22" s="170"/>
      <c r="P22" s="191"/>
      <c r="Q22" s="192"/>
      <c r="R22" s="192"/>
      <c r="S22" s="192"/>
      <c r="T22" s="192"/>
      <c r="U22" s="193"/>
    </row>
    <row r="23" spans="1:21" ht="15.75" customHeight="1">
      <c r="A23" s="85"/>
      <c r="B23" s="37">
        <f>ROW()-13</f>
        <v>10</v>
      </c>
      <c r="C23" s="145" t="s">
        <v>197</v>
      </c>
      <c r="D23" s="80"/>
      <c r="E23" s="81"/>
      <c r="F23" s="146"/>
      <c r="G23" s="17"/>
      <c r="H23" s="18" t="s">
        <v>49</v>
      </c>
      <c r="I23" s="59"/>
      <c r="J23" s="19">
        <v>1</v>
      </c>
      <c r="K23" s="19"/>
      <c r="L23" s="50" t="s">
        <v>189</v>
      </c>
      <c r="M23" s="73" t="s">
        <v>21</v>
      </c>
      <c r="N23" s="54">
        <f t="shared" si="0"/>
        <v>1</v>
      </c>
      <c r="O23" s="170"/>
      <c r="P23" s="191" t="s">
        <v>175</v>
      </c>
      <c r="Q23" s="192"/>
      <c r="R23" s="192"/>
      <c r="S23" s="192"/>
      <c r="T23" s="192"/>
      <c r="U23" s="193"/>
    </row>
    <row r="24" spans="1:21" ht="15.75" customHeight="1">
      <c r="A24" s="85"/>
      <c r="B24" s="37">
        <f>ROW()-13</f>
        <v>11</v>
      </c>
      <c r="C24" s="145" t="s">
        <v>199</v>
      </c>
      <c r="D24" s="80"/>
      <c r="E24" s="81"/>
      <c r="F24" s="146"/>
      <c r="G24" s="17"/>
      <c r="H24" s="18" t="s">
        <v>51</v>
      </c>
      <c r="I24" s="59"/>
      <c r="J24" s="19">
        <v>25</v>
      </c>
      <c r="K24" s="19"/>
      <c r="L24" s="50" t="s">
        <v>189</v>
      </c>
      <c r="M24" s="73" t="s">
        <v>21</v>
      </c>
      <c r="N24" s="54">
        <f t="shared" si="0"/>
        <v>25</v>
      </c>
      <c r="O24" s="170"/>
      <c r="P24" s="191"/>
      <c r="Q24" s="192"/>
      <c r="R24" s="192"/>
      <c r="S24" s="192"/>
      <c r="T24" s="192"/>
      <c r="U24" s="193"/>
    </row>
    <row r="25" spans="1:21" ht="15.75" customHeight="1">
      <c r="A25" s="85"/>
      <c r="B25" s="37">
        <f>ROW()-13</f>
        <v>12</v>
      </c>
      <c r="C25" s="145" t="s">
        <v>201</v>
      </c>
      <c r="D25" s="80"/>
      <c r="E25" s="81"/>
      <c r="F25" s="146"/>
      <c r="G25" s="17"/>
      <c r="H25" s="18" t="s">
        <v>51</v>
      </c>
      <c r="I25" s="59"/>
      <c r="J25" s="19">
        <v>4</v>
      </c>
      <c r="K25" s="19"/>
      <c r="L25" s="50" t="s">
        <v>189</v>
      </c>
      <c r="M25" s="73" t="s">
        <v>21</v>
      </c>
      <c r="N25" s="54">
        <f t="shared" si="0"/>
        <v>4</v>
      </c>
      <c r="O25" s="170"/>
      <c r="P25" s="191" t="s">
        <v>203</v>
      </c>
      <c r="Q25" s="192"/>
      <c r="R25" s="192"/>
      <c r="S25" s="192"/>
      <c r="T25" s="192"/>
      <c r="U25" s="193"/>
    </row>
    <row r="26" spans="1:21" ht="62.75" customHeight="1">
      <c r="A26" s="85"/>
      <c r="B26" s="37">
        <f>ROW()-13</f>
        <v>13</v>
      </c>
      <c r="C26" s="145" t="s">
        <v>204</v>
      </c>
      <c r="D26" s="80"/>
      <c r="E26" s="81"/>
      <c r="F26" s="146"/>
      <c r="G26" s="17"/>
      <c r="H26" s="18" t="s">
        <v>49</v>
      </c>
      <c r="I26" s="59"/>
      <c r="J26" s="19">
        <v>1</v>
      </c>
      <c r="K26" s="19"/>
      <c r="L26" s="50" t="s">
        <v>189</v>
      </c>
      <c r="M26" s="73" t="s">
        <v>21</v>
      </c>
      <c r="N26" s="54">
        <f t="shared" si="0"/>
        <v>1</v>
      </c>
      <c r="O26" s="170"/>
      <c r="P26" s="251" t="s">
        <v>265</v>
      </c>
      <c r="Q26" s="192"/>
      <c r="R26" s="192"/>
      <c r="S26" s="192"/>
      <c r="T26" s="192"/>
      <c r="U26" s="193"/>
    </row>
    <row r="27" spans="1:21" ht="27.5" customHeight="1">
      <c r="A27" s="85"/>
      <c r="B27" s="37">
        <f>ROW()-13</f>
        <v>14</v>
      </c>
      <c r="C27" s="145" t="s">
        <v>207</v>
      </c>
      <c r="D27" s="80"/>
      <c r="E27" s="81"/>
      <c r="F27" s="146"/>
      <c r="G27" s="17"/>
      <c r="H27" s="18" t="s">
        <v>49</v>
      </c>
      <c r="I27" s="59"/>
      <c r="J27" s="19">
        <v>1</v>
      </c>
      <c r="K27" s="19"/>
      <c r="L27" s="50" t="s">
        <v>189</v>
      </c>
      <c r="M27" s="73" t="s">
        <v>21</v>
      </c>
      <c r="N27" s="54">
        <f t="shared" si="0"/>
        <v>1</v>
      </c>
      <c r="O27" s="170"/>
      <c r="P27" s="251" t="s">
        <v>208</v>
      </c>
      <c r="Q27" s="192"/>
      <c r="R27" s="192"/>
      <c r="S27" s="192"/>
      <c r="T27" s="192"/>
      <c r="U27" s="193"/>
    </row>
    <row r="28" spans="1:21" ht="15.75" customHeight="1">
      <c r="A28" s="85"/>
      <c r="B28" s="37">
        <f>ROW()-13</f>
        <v>15</v>
      </c>
      <c r="C28" s="145" t="s">
        <v>311</v>
      </c>
      <c r="D28" s="80"/>
      <c r="E28" s="81"/>
      <c r="F28" s="146"/>
      <c r="G28" s="17"/>
      <c r="H28" s="18" t="s">
        <v>51</v>
      </c>
      <c r="I28" s="59"/>
      <c r="J28" s="19">
        <v>4</v>
      </c>
      <c r="K28" s="19"/>
      <c r="L28" s="50" t="s">
        <v>189</v>
      </c>
      <c r="M28" s="73" t="s">
        <v>21</v>
      </c>
      <c r="N28" s="54">
        <f t="shared" si="0"/>
        <v>4</v>
      </c>
      <c r="O28" s="170"/>
      <c r="P28" s="191" t="s">
        <v>203</v>
      </c>
      <c r="Q28" s="192"/>
      <c r="R28" s="192"/>
      <c r="S28" s="192"/>
      <c r="T28" s="192"/>
      <c r="U28" s="193"/>
    </row>
    <row r="29" spans="1:21" ht="15.75" customHeight="1">
      <c r="A29" s="85"/>
      <c r="B29" s="37">
        <f>ROW()-13</f>
        <v>16</v>
      </c>
      <c r="C29" s="145" t="s">
        <v>322</v>
      </c>
      <c r="D29" s="80"/>
      <c r="E29" s="81"/>
      <c r="F29" s="146"/>
      <c r="G29" s="17"/>
      <c r="H29" s="18" t="s">
        <v>51</v>
      </c>
      <c r="I29" s="59"/>
      <c r="J29" s="19">
        <v>10</v>
      </c>
      <c r="K29" s="19"/>
      <c r="L29" s="50" t="s">
        <v>189</v>
      </c>
      <c r="M29" s="73" t="s">
        <v>21</v>
      </c>
      <c r="N29" s="54">
        <f t="shared" si="0"/>
        <v>10</v>
      </c>
      <c r="O29" s="170"/>
      <c r="P29" s="191" t="s">
        <v>163</v>
      </c>
      <c r="Q29" s="192"/>
      <c r="R29" s="192"/>
      <c r="S29" s="192"/>
      <c r="T29" s="192"/>
      <c r="U29" s="193"/>
    </row>
    <row r="30" spans="1:21" ht="145" customHeight="1">
      <c r="A30" s="85"/>
      <c r="B30" s="37">
        <f>ROW()-13</f>
        <v>17</v>
      </c>
      <c r="C30" s="145" t="s">
        <v>325</v>
      </c>
      <c r="D30" s="80"/>
      <c r="E30" s="81"/>
      <c r="F30" s="146"/>
      <c r="G30" s="17"/>
      <c r="H30" s="18" t="s">
        <v>49</v>
      </c>
      <c r="I30" s="59"/>
      <c r="J30" s="19">
        <v>1</v>
      </c>
      <c r="K30" s="19"/>
      <c r="L30" s="50" t="s">
        <v>189</v>
      </c>
      <c r="M30" s="73" t="s">
        <v>21</v>
      </c>
      <c r="N30" s="54">
        <f t="shared" si="0"/>
        <v>1</v>
      </c>
      <c r="O30" s="170"/>
      <c r="P30" s="251" t="s">
        <v>326</v>
      </c>
      <c r="Q30" s="192"/>
      <c r="R30" s="192"/>
      <c r="S30" s="192"/>
      <c r="T30" s="192"/>
      <c r="U30" s="193"/>
    </row>
    <row r="31" spans="1:21" ht="15.75" customHeight="1">
      <c r="A31" s="85"/>
      <c r="B31" s="37">
        <f>ROW()-13</f>
        <v>18</v>
      </c>
      <c r="C31" s="145" t="s">
        <v>327</v>
      </c>
      <c r="D31" s="80"/>
      <c r="E31" s="81"/>
      <c r="F31" s="146"/>
      <c r="G31" s="17"/>
      <c r="H31" s="18" t="s">
        <v>51</v>
      </c>
      <c r="I31" s="59"/>
      <c r="J31" s="19">
        <v>4</v>
      </c>
      <c r="K31" s="19"/>
      <c r="L31" s="50"/>
      <c r="M31" s="73" t="s">
        <v>21</v>
      </c>
      <c r="N31" s="54">
        <f t="shared" si="0"/>
        <v>4</v>
      </c>
      <c r="O31" s="170"/>
      <c r="P31" s="191" t="s">
        <v>170</v>
      </c>
      <c r="Q31" s="192"/>
      <c r="R31" s="192"/>
      <c r="S31" s="192"/>
      <c r="T31" s="192"/>
      <c r="U31" s="193"/>
    </row>
    <row r="32" spans="1:21" ht="297.75" customHeight="1">
      <c r="A32" s="85"/>
      <c r="B32" s="37">
        <f>ROW()-13</f>
        <v>19</v>
      </c>
      <c r="C32" s="145" t="s">
        <v>346</v>
      </c>
      <c r="D32" s="80"/>
      <c r="E32" s="81"/>
      <c r="F32" s="146"/>
      <c r="G32" s="17"/>
      <c r="H32" s="18" t="s">
        <v>51</v>
      </c>
      <c r="I32" s="59"/>
      <c r="J32" s="19">
        <v>2</v>
      </c>
      <c r="K32" s="19"/>
      <c r="L32" s="50" t="s">
        <v>189</v>
      </c>
      <c r="M32" s="73" t="s">
        <v>21</v>
      </c>
      <c r="N32" s="54">
        <f t="shared" si="0"/>
        <v>2</v>
      </c>
      <c r="O32" s="170"/>
      <c r="P32" s="251" t="s">
        <v>347</v>
      </c>
      <c r="Q32" s="192"/>
      <c r="R32" s="192"/>
      <c r="S32" s="192"/>
      <c r="T32" s="192"/>
      <c r="U32" s="193"/>
    </row>
    <row r="33" spans="1:21" ht="27.5" customHeight="1">
      <c r="A33" s="85"/>
      <c r="B33" s="37">
        <f>ROW()-13</f>
        <v>20</v>
      </c>
      <c r="C33" s="145" t="s">
        <v>348</v>
      </c>
      <c r="D33" s="80"/>
      <c r="E33" s="81"/>
      <c r="F33" s="146"/>
      <c r="G33" s="17"/>
      <c r="H33" s="18" t="s">
        <v>49</v>
      </c>
      <c r="I33" s="59"/>
      <c r="J33" s="19">
        <v>1</v>
      </c>
      <c r="K33" s="19"/>
      <c r="L33" s="50"/>
      <c r="M33" s="73" t="s">
        <v>21</v>
      </c>
      <c r="N33" s="54">
        <f t="shared" si="0"/>
        <v>1</v>
      </c>
      <c r="O33" s="170"/>
      <c r="P33" s="251" t="s">
        <v>349</v>
      </c>
      <c r="Q33" s="192"/>
      <c r="R33" s="192"/>
      <c r="S33" s="192"/>
      <c r="T33" s="192"/>
      <c r="U33" s="193"/>
    </row>
    <row r="34" spans="1:21" ht="15.75" customHeight="1">
      <c r="A34" s="85"/>
      <c r="B34" s="37">
        <f>ROW()-13</f>
        <v>21</v>
      </c>
      <c r="C34" s="145" t="s">
        <v>350</v>
      </c>
      <c r="D34" s="80"/>
      <c r="E34" s="81"/>
      <c r="F34" s="146"/>
      <c r="G34" s="17"/>
      <c r="H34" s="18" t="s">
        <v>51</v>
      </c>
      <c r="I34" s="59"/>
      <c r="J34" s="19">
        <v>6</v>
      </c>
      <c r="K34" s="19"/>
      <c r="L34" s="50"/>
      <c r="M34" s="73" t="s">
        <v>21</v>
      </c>
      <c r="N34" s="54">
        <f t="shared" si="0"/>
        <v>6</v>
      </c>
      <c r="O34" s="170"/>
      <c r="P34" s="191" t="s">
        <v>172</v>
      </c>
      <c r="Q34" s="192"/>
      <c r="R34" s="192"/>
      <c r="S34" s="192"/>
      <c r="T34" s="192"/>
      <c r="U34" s="193"/>
    </row>
    <row r="35" spans="1:21" ht="15.5">
      <c r="A35" s="85"/>
      <c r="B35" s="37">
        <f t="shared" ref="B35:B41" si="1">ROW()-13</f>
        <v>22</v>
      </c>
      <c r="C35" s="107" t="s">
        <v>36</v>
      </c>
      <c r="D35" s="107"/>
      <c r="E35" s="108"/>
      <c r="F35" s="109" t="s">
        <v>78</v>
      </c>
      <c r="G35" s="110"/>
      <c r="H35" s="18" t="s">
        <v>51</v>
      </c>
      <c r="I35" s="59"/>
      <c r="J35" s="113">
        <v>12</v>
      </c>
      <c r="K35" s="113"/>
      <c r="L35" s="114"/>
      <c r="M35" s="115" t="s">
        <v>35</v>
      </c>
      <c r="N35" s="116">
        <f t="shared" si="0"/>
        <v>12</v>
      </c>
      <c r="O35" s="171"/>
      <c r="P35" s="197"/>
      <c r="Q35" s="198"/>
      <c r="R35" s="198"/>
      <c r="S35" s="198"/>
      <c r="T35" s="198"/>
      <c r="U35" s="199"/>
    </row>
    <row r="36" spans="1:21" ht="15.5">
      <c r="A36" s="85"/>
      <c r="B36" s="37">
        <f t="shared" si="1"/>
        <v>23</v>
      </c>
      <c r="C36" s="107" t="s">
        <v>37</v>
      </c>
      <c r="D36" s="107"/>
      <c r="E36" s="108"/>
      <c r="F36" s="109" t="s">
        <v>43</v>
      </c>
      <c r="G36" s="110"/>
      <c r="H36" s="18" t="s">
        <v>51</v>
      </c>
      <c r="I36" s="59"/>
      <c r="J36" s="113">
        <v>10</v>
      </c>
      <c r="K36" s="113"/>
      <c r="L36" s="114"/>
      <c r="M36" s="115" t="s">
        <v>21</v>
      </c>
      <c r="N36" s="116">
        <f t="shared" si="0"/>
        <v>10</v>
      </c>
      <c r="O36" s="171"/>
      <c r="P36" s="197"/>
      <c r="Q36" s="198"/>
      <c r="R36" s="198"/>
      <c r="S36" s="198"/>
      <c r="T36" s="198"/>
      <c r="U36" s="199"/>
    </row>
    <row r="37" spans="1:21" ht="15.5">
      <c r="A37" s="85"/>
      <c r="B37" s="37">
        <f t="shared" si="1"/>
        <v>24</v>
      </c>
      <c r="C37" s="107" t="s">
        <v>38</v>
      </c>
      <c r="D37" s="107"/>
      <c r="E37" s="108"/>
      <c r="F37" s="109" t="s">
        <v>80</v>
      </c>
      <c r="G37" s="110"/>
      <c r="H37" s="18" t="s">
        <v>86</v>
      </c>
      <c r="I37" s="59"/>
      <c r="J37" s="113"/>
      <c r="K37" s="113"/>
      <c r="L37" s="114"/>
      <c r="M37" s="115" t="s">
        <v>21</v>
      </c>
      <c r="N37" s="116">
        <f t="shared" si="0"/>
        <v>0</v>
      </c>
      <c r="O37" s="171"/>
      <c r="P37" s="197"/>
      <c r="Q37" s="198"/>
      <c r="R37" s="198"/>
      <c r="S37" s="198"/>
      <c r="T37" s="198"/>
      <c r="U37" s="199"/>
    </row>
    <row r="38" spans="1:21" ht="15.5">
      <c r="A38" s="85"/>
      <c r="B38" s="37">
        <f t="shared" si="1"/>
        <v>25</v>
      </c>
      <c r="C38" s="107" t="s">
        <v>39</v>
      </c>
      <c r="D38" s="107"/>
      <c r="E38" s="108"/>
      <c r="F38" s="109" t="s">
        <v>79</v>
      </c>
      <c r="G38" s="110"/>
      <c r="H38" s="18" t="s">
        <v>51</v>
      </c>
      <c r="I38" s="59"/>
      <c r="J38" s="113">
        <v>12</v>
      </c>
      <c r="K38" s="113"/>
      <c r="L38" s="114"/>
      <c r="M38" s="115" t="s">
        <v>35</v>
      </c>
      <c r="N38" s="116">
        <f t="shared" si="0"/>
        <v>12</v>
      </c>
      <c r="O38" s="171"/>
      <c r="P38" s="197"/>
      <c r="Q38" s="198"/>
      <c r="R38" s="198"/>
      <c r="S38" s="198"/>
      <c r="T38" s="198"/>
      <c r="U38" s="199"/>
    </row>
    <row r="39" spans="1:21" ht="15.5">
      <c r="A39" s="85"/>
      <c r="B39" s="37">
        <f t="shared" si="1"/>
        <v>26</v>
      </c>
      <c r="C39" s="107" t="s">
        <v>40</v>
      </c>
      <c r="D39" s="107"/>
      <c r="E39" s="108"/>
      <c r="F39" s="109" t="s">
        <v>44</v>
      </c>
      <c r="G39" s="110"/>
      <c r="H39" s="18" t="s">
        <v>51</v>
      </c>
      <c r="I39" s="59"/>
      <c r="J39" s="113">
        <v>10</v>
      </c>
      <c r="K39" s="113"/>
      <c r="L39" s="114"/>
      <c r="M39" s="115" t="s">
        <v>21</v>
      </c>
      <c r="N39" s="116">
        <f t="shared" si="0"/>
        <v>10</v>
      </c>
      <c r="O39" s="171"/>
      <c r="P39" s="197"/>
      <c r="Q39" s="198"/>
      <c r="R39" s="198"/>
      <c r="S39" s="198"/>
      <c r="T39" s="198"/>
      <c r="U39" s="199"/>
    </row>
    <row r="40" spans="1:21" ht="15.5">
      <c r="A40" s="85"/>
      <c r="B40" s="37">
        <f t="shared" si="1"/>
        <v>27</v>
      </c>
      <c r="C40" s="107" t="s">
        <v>41</v>
      </c>
      <c r="D40" s="107"/>
      <c r="E40" s="108"/>
      <c r="F40" s="109" t="s">
        <v>81</v>
      </c>
      <c r="G40" s="110"/>
      <c r="H40" s="18" t="s">
        <v>86</v>
      </c>
      <c r="I40" s="59"/>
      <c r="J40" s="113"/>
      <c r="K40" s="113"/>
      <c r="L40" s="114"/>
      <c r="M40" s="115" t="s">
        <v>21</v>
      </c>
      <c r="N40" s="116">
        <f t="shared" si="0"/>
        <v>0</v>
      </c>
      <c r="O40" s="171"/>
      <c r="P40" s="197"/>
      <c r="Q40" s="198"/>
      <c r="R40" s="198"/>
      <c r="S40" s="198"/>
      <c r="T40" s="198"/>
      <c r="U40" s="199"/>
    </row>
    <row r="41" spans="1:21" ht="15.5">
      <c r="A41" s="85"/>
      <c r="B41" s="37">
        <f t="shared" si="1"/>
        <v>28</v>
      </c>
      <c r="C41" s="80" t="s">
        <v>46</v>
      </c>
      <c r="D41" s="80"/>
      <c r="E41" s="81"/>
      <c r="F41" s="84" t="s">
        <v>71</v>
      </c>
      <c r="G41" s="17"/>
      <c r="H41" s="18" t="s">
        <v>62</v>
      </c>
      <c r="I41" s="59"/>
      <c r="J41" s="19">
        <v>8</v>
      </c>
      <c r="K41" s="19"/>
      <c r="L41" s="50" t="s">
        <v>47</v>
      </c>
      <c r="M41" s="73" t="s">
        <v>35</v>
      </c>
      <c r="N41" s="54">
        <f t="shared" si="0"/>
        <v>8</v>
      </c>
      <c r="O41" s="170">
        <v>0</v>
      </c>
      <c r="P41" s="191" t="s">
        <v>48</v>
      </c>
      <c r="Q41" s="192"/>
      <c r="R41" s="192"/>
      <c r="S41" s="192"/>
      <c r="T41" s="192"/>
      <c r="U41" s="193"/>
    </row>
    <row r="42" spans="1:21" ht="16" thickBot="1">
      <c r="A42" s="118"/>
      <c r="B42" s="119"/>
      <c r="C42" s="120"/>
      <c r="D42" s="120"/>
      <c r="E42" s="121"/>
      <c r="F42" s="129"/>
      <c r="G42" s="122"/>
      <c r="H42" s="147"/>
      <c r="I42" s="148"/>
      <c r="J42" s="125"/>
      <c r="K42" s="125"/>
      <c r="L42" s="126"/>
      <c r="M42" s="126"/>
      <c r="N42" s="127"/>
      <c r="O42" s="172"/>
      <c r="P42" s="194"/>
      <c r="Q42" s="195"/>
      <c r="R42" s="195"/>
      <c r="S42" s="195"/>
      <c r="T42" s="195"/>
      <c r="U42" s="196"/>
    </row>
  </sheetData>
  <mergeCells count="59">
    <mergeCell ref="P40:U40"/>
    <mergeCell ref="P41:U41"/>
    <mergeCell ref="P42:U42"/>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24578"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24579"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24580"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24581"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24582"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840D1858-5226-42BF-898A-88F3E9C49228}">
            <xm:f>(AND(H14&lt;&gt;"",ISERROR(VLOOKUP(H14,system!$E:$E,1,FALSE))))</xm:f>
            <x14:dxf>
              <fill>
                <patternFill patternType="solid">
                  <bgColor rgb="FFFF0000"/>
                </patternFill>
              </fill>
            </x14:dxf>
          </x14:cfRule>
          <xm:sqref>H14:H34</xm:sqref>
        </x14:conditionalFormatting>
        <x14:conditionalFormatting xmlns:xm="http://schemas.microsoft.com/office/excel/2006/main">
          <x14:cfRule type="expression" priority="3" id="{42097005-132D-4BFB-A706-A49411C86275}">
            <xm:f>(AND(H14&lt;&gt;"",ISERROR(VLOOKUP(H14,system!$E:$E,1,FALSE))))</xm:f>
            <x14:dxf>
              <fill>
                <patternFill>
                  <bgColor rgb="FFFF0000"/>
                </patternFill>
              </fill>
            </x14:dxf>
          </x14:cfRule>
          <xm:sqref>I14:I34</xm:sqref>
        </x14:conditionalFormatting>
        <x14:conditionalFormatting xmlns:xm="http://schemas.microsoft.com/office/excel/2006/main">
          <x14:cfRule type="expression" priority="2" id="{1EAAA465-11F7-4FFF-85C1-3FCAB0F305CE}">
            <xm:f>(AND(H35&lt;&gt;"",ISERROR(VLOOKUP(H35,system!$E:$E,1,FALSE))))</xm:f>
            <x14:dxf>
              <fill>
                <patternFill patternType="solid">
                  <bgColor rgb="FFFF0000"/>
                </patternFill>
              </fill>
            </x14:dxf>
          </x14:cfRule>
          <xm:sqref>H35:H42</xm:sqref>
        </x14:conditionalFormatting>
        <x14:conditionalFormatting xmlns:xm="http://schemas.microsoft.com/office/excel/2006/main">
          <x14:cfRule type="expression" priority="1" id="{D28805AA-A6CD-41DB-B446-BFC0F086FE75}">
            <xm:f>(AND(H35&lt;&gt;"",ISERROR(VLOOKUP(H35,system!$E:$E,1,FALSE))))</xm:f>
            <x14:dxf>
              <fill>
                <patternFill>
                  <bgColor rgb="FFFF0000"/>
                </patternFill>
              </fill>
            </x14:dxf>
          </x14:cfRule>
          <xm:sqref>I35:I42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04E69-68C4-47CB-B353-E2C14247F670}">
  <sheetPr codeName="Sheet24">
    <pageSetUpPr fitToPage="1"/>
  </sheetPr>
  <dimension ref="A1:U2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352</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139</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SUM(N14:N27)</f>
        <v>86</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25" si="0">IF(H14="NUMBER",IF(J14&gt;0,INT((J14+1)/2+0.9),0),IF(H14="DATE",7,IF(OR(H14="LONG",H14="LONG RAW"),100000,J14)))</f>
        <v>1</v>
      </c>
      <c r="O14" s="170"/>
      <c r="P14" s="191" t="s">
        <v>175</v>
      </c>
      <c r="Q14" s="192"/>
      <c r="R14" s="192"/>
      <c r="S14" s="192"/>
      <c r="T14" s="192"/>
      <c r="U14" s="193"/>
    </row>
    <row r="15" spans="1:21" ht="15.75" customHeight="1">
      <c r="A15" s="85" t="s">
        <v>190</v>
      </c>
      <c r="B15" s="37">
        <f>ROW()-13</f>
        <v>2</v>
      </c>
      <c r="C15" s="145" t="s">
        <v>293</v>
      </c>
      <c r="D15" s="80"/>
      <c r="E15" s="81"/>
      <c r="F15" s="146"/>
      <c r="G15" s="17"/>
      <c r="H15" s="18" t="s">
        <v>51</v>
      </c>
      <c r="I15" s="59"/>
      <c r="J15" s="19">
        <v>14</v>
      </c>
      <c r="K15" s="19"/>
      <c r="L15" s="50" t="s">
        <v>189</v>
      </c>
      <c r="M15" s="73" t="s">
        <v>21</v>
      </c>
      <c r="N15" s="54">
        <f t="shared" si="0"/>
        <v>14</v>
      </c>
      <c r="O15" s="170"/>
      <c r="P15" s="191" t="s">
        <v>353</v>
      </c>
      <c r="Q15" s="192"/>
      <c r="R15" s="192"/>
      <c r="S15" s="192"/>
      <c r="T15" s="192"/>
      <c r="U15" s="193"/>
    </row>
    <row r="16" spans="1:21" ht="39.25" customHeight="1">
      <c r="A16" s="85" t="s">
        <v>190</v>
      </c>
      <c r="B16" s="37">
        <f>ROW()-13</f>
        <v>3</v>
      </c>
      <c r="C16" s="145" t="s">
        <v>354</v>
      </c>
      <c r="D16" s="80"/>
      <c r="E16" s="81"/>
      <c r="F16" s="146"/>
      <c r="G16" s="17"/>
      <c r="H16" s="18" t="s">
        <v>49</v>
      </c>
      <c r="I16" s="59"/>
      <c r="J16" s="19">
        <v>1</v>
      </c>
      <c r="K16" s="19"/>
      <c r="L16" s="50" t="s">
        <v>189</v>
      </c>
      <c r="M16" s="73" t="s">
        <v>21</v>
      </c>
      <c r="N16" s="54">
        <f t="shared" si="0"/>
        <v>1</v>
      </c>
      <c r="O16" s="170"/>
      <c r="P16" s="251" t="s">
        <v>355</v>
      </c>
      <c r="Q16" s="192"/>
      <c r="R16" s="192"/>
      <c r="S16" s="192"/>
      <c r="T16" s="192"/>
      <c r="U16" s="193"/>
    </row>
    <row r="17" spans="1:21" ht="15.75" customHeight="1">
      <c r="A17" s="85"/>
      <c r="B17" s="37">
        <f>ROW()-13</f>
        <v>4</v>
      </c>
      <c r="C17" s="145" t="s">
        <v>344</v>
      </c>
      <c r="D17" s="80"/>
      <c r="E17" s="81"/>
      <c r="F17" s="146"/>
      <c r="G17" s="17"/>
      <c r="H17" s="18" t="s">
        <v>51</v>
      </c>
      <c r="I17" s="59"/>
      <c r="J17" s="19">
        <v>14</v>
      </c>
      <c r="K17" s="19"/>
      <c r="L17" s="50" t="s">
        <v>189</v>
      </c>
      <c r="M17" s="73" t="s">
        <v>21</v>
      </c>
      <c r="N17" s="54">
        <f t="shared" si="0"/>
        <v>14</v>
      </c>
      <c r="O17" s="170"/>
      <c r="P17" s="191" t="s">
        <v>356</v>
      </c>
      <c r="Q17" s="192"/>
      <c r="R17" s="192"/>
      <c r="S17" s="192"/>
      <c r="T17" s="192"/>
      <c r="U17" s="193"/>
    </row>
    <row r="18" spans="1:21" ht="27.5" customHeight="1">
      <c r="A18" s="85"/>
      <c r="B18" s="37">
        <f>ROW()-13</f>
        <v>5</v>
      </c>
      <c r="C18" s="145" t="s">
        <v>311</v>
      </c>
      <c r="D18" s="80"/>
      <c r="E18" s="81"/>
      <c r="F18" s="146"/>
      <c r="G18" s="17"/>
      <c r="H18" s="18" t="s">
        <v>51</v>
      </c>
      <c r="I18" s="59"/>
      <c r="J18" s="19">
        <v>4</v>
      </c>
      <c r="K18" s="19"/>
      <c r="L18" s="50" t="s">
        <v>189</v>
      </c>
      <c r="M18" s="73" t="s">
        <v>21</v>
      </c>
      <c r="N18" s="54">
        <f t="shared" si="0"/>
        <v>4</v>
      </c>
      <c r="O18" s="170"/>
      <c r="P18" s="251" t="s">
        <v>357</v>
      </c>
      <c r="Q18" s="192"/>
      <c r="R18" s="192"/>
      <c r="S18" s="192"/>
      <c r="T18" s="192"/>
      <c r="U18" s="193"/>
    </row>
    <row r="19" spans="1:21" ht="15.5">
      <c r="A19" s="85"/>
      <c r="B19" s="37">
        <f t="shared" ref="B19:B25" si="1">ROW()-13</f>
        <v>6</v>
      </c>
      <c r="C19" s="107" t="s">
        <v>36</v>
      </c>
      <c r="D19" s="107"/>
      <c r="E19" s="108"/>
      <c r="F19" s="109" t="s">
        <v>78</v>
      </c>
      <c r="G19" s="110"/>
      <c r="H19" s="18" t="s">
        <v>51</v>
      </c>
      <c r="I19" s="59"/>
      <c r="J19" s="113">
        <v>12</v>
      </c>
      <c r="K19" s="113"/>
      <c r="L19" s="114"/>
      <c r="M19" s="115" t="s">
        <v>35</v>
      </c>
      <c r="N19" s="116">
        <f t="shared" si="0"/>
        <v>12</v>
      </c>
      <c r="O19" s="171"/>
      <c r="P19" s="197"/>
      <c r="Q19" s="198"/>
      <c r="R19" s="198"/>
      <c r="S19" s="198"/>
      <c r="T19" s="198"/>
      <c r="U19" s="199"/>
    </row>
    <row r="20" spans="1:21" ht="15.5">
      <c r="A20" s="85"/>
      <c r="B20" s="37">
        <f t="shared" si="1"/>
        <v>7</v>
      </c>
      <c r="C20" s="107" t="s">
        <v>37</v>
      </c>
      <c r="D20" s="107"/>
      <c r="E20" s="108"/>
      <c r="F20" s="109" t="s">
        <v>43</v>
      </c>
      <c r="G20" s="110"/>
      <c r="H20" s="18" t="s">
        <v>51</v>
      </c>
      <c r="I20" s="59"/>
      <c r="J20" s="113">
        <v>10</v>
      </c>
      <c r="K20" s="113"/>
      <c r="L20" s="114"/>
      <c r="M20" s="115" t="s">
        <v>21</v>
      </c>
      <c r="N20" s="116">
        <f t="shared" si="0"/>
        <v>10</v>
      </c>
      <c r="O20" s="171"/>
      <c r="P20" s="197"/>
      <c r="Q20" s="198"/>
      <c r="R20" s="198"/>
      <c r="S20" s="198"/>
      <c r="T20" s="198"/>
      <c r="U20" s="199"/>
    </row>
    <row r="21" spans="1:21" ht="15.5">
      <c r="A21" s="85"/>
      <c r="B21" s="37">
        <f t="shared" si="1"/>
        <v>8</v>
      </c>
      <c r="C21" s="107" t="s">
        <v>38</v>
      </c>
      <c r="D21" s="107"/>
      <c r="E21" s="108"/>
      <c r="F21" s="109" t="s">
        <v>80</v>
      </c>
      <c r="G21" s="110"/>
      <c r="H21" s="18" t="s">
        <v>86</v>
      </c>
      <c r="I21" s="59"/>
      <c r="J21" s="113"/>
      <c r="K21" s="113"/>
      <c r="L21" s="114"/>
      <c r="M21" s="115" t="s">
        <v>21</v>
      </c>
      <c r="N21" s="116">
        <f t="shared" si="0"/>
        <v>0</v>
      </c>
      <c r="O21" s="171"/>
      <c r="P21" s="197"/>
      <c r="Q21" s="198"/>
      <c r="R21" s="198"/>
      <c r="S21" s="198"/>
      <c r="T21" s="198"/>
      <c r="U21" s="199"/>
    </row>
    <row r="22" spans="1:21" ht="15.5">
      <c r="A22" s="85"/>
      <c r="B22" s="37">
        <f t="shared" si="1"/>
        <v>9</v>
      </c>
      <c r="C22" s="107" t="s">
        <v>39</v>
      </c>
      <c r="D22" s="107"/>
      <c r="E22" s="108"/>
      <c r="F22" s="109" t="s">
        <v>79</v>
      </c>
      <c r="G22" s="110"/>
      <c r="H22" s="18" t="s">
        <v>51</v>
      </c>
      <c r="I22" s="59"/>
      <c r="J22" s="113">
        <v>12</v>
      </c>
      <c r="K22" s="113"/>
      <c r="L22" s="114"/>
      <c r="M22" s="115" t="s">
        <v>35</v>
      </c>
      <c r="N22" s="116">
        <f t="shared" si="0"/>
        <v>12</v>
      </c>
      <c r="O22" s="171"/>
      <c r="P22" s="197"/>
      <c r="Q22" s="198"/>
      <c r="R22" s="198"/>
      <c r="S22" s="198"/>
      <c r="T22" s="198"/>
      <c r="U22" s="199"/>
    </row>
    <row r="23" spans="1:21" ht="15.5">
      <c r="A23" s="85"/>
      <c r="B23" s="37">
        <f t="shared" si="1"/>
        <v>10</v>
      </c>
      <c r="C23" s="107" t="s">
        <v>40</v>
      </c>
      <c r="D23" s="107"/>
      <c r="E23" s="108"/>
      <c r="F23" s="109" t="s">
        <v>44</v>
      </c>
      <c r="G23" s="110"/>
      <c r="H23" s="18" t="s">
        <v>51</v>
      </c>
      <c r="I23" s="59"/>
      <c r="J23" s="113">
        <v>10</v>
      </c>
      <c r="K23" s="113"/>
      <c r="L23" s="114"/>
      <c r="M23" s="115" t="s">
        <v>21</v>
      </c>
      <c r="N23" s="116">
        <f t="shared" si="0"/>
        <v>10</v>
      </c>
      <c r="O23" s="171"/>
      <c r="P23" s="197"/>
      <c r="Q23" s="198"/>
      <c r="R23" s="198"/>
      <c r="S23" s="198"/>
      <c r="T23" s="198"/>
      <c r="U23" s="199"/>
    </row>
    <row r="24" spans="1:21" ht="15.5">
      <c r="A24" s="85"/>
      <c r="B24" s="37">
        <f t="shared" si="1"/>
        <v>11</v>
      </c>
      <c r="C24" s="107" t="s">
        <v>41</v>
      </c>
      <c r="D24" s="107"/>
      <c r="E24" s="108"/>
      <c r="F24" s="109" t="s">
        <v>81</v>
      </c>
      <c r="G24" s="110"/>
      <c r="H24" s="18" t="s">
        <v>86</v>
      </c>
      <c r="I24" s="59"/>
      <c r="J24" s="113"/>
      <c r="K24" s="113"/>
      <c r="L24" s="114"/>
      <c r="M24" s="115" t="s">
        <v>21</v>
      </c>
      <c r="N24" s="116">
        <f t="shared" si="0"/>
        <v>0</v>
      </c>
      <c r="O24" s="171"/>
      <c r="P24" s="197"/>
      <c r="Q24" s="198"/>
      <c r="R24" s="198"/>
      <c r="S24" s="198"/>
      <c r="T24" s="198"/>
      <c r="U24" s="199"/>
    </row>
    <row r="25" spans="1:21" ht="15.5">
      <c r="A25" s="85"/>
      <c r="B25" s="37">
        <f t="shared" si="1"/>
        <v>12</v>
      </c>
      <c r="C25" s="80" t="s">
        <v>46</v>
      </c>
      <c r="D25" s="80"/>
      <c r="E25" s="81"/>
      <c r="F25" s="84" t="s">
        <v>71</v>
      </c>
      <c r="G25" s="17"/>
      <c r="H25" s="18" t="s">
        <v>62</v>
      </c>
      <c r="I25" s="59"/>
      <c r="J25" s="19">
        <v>8</v>
      </c>
      <c r="K25" s="19"/>
      <c r="L25" s="50" t="s">
        <v>47</v>
      </c>
      <c r="M25" s="73" t="s">
        <v>35</v>
      </c>
      <c r="N25" s="54">
        <f t="shared" si="0"/>
        <v>8</v>
      </c>
      <c r="O25" s="170">
        <v>0</v>
      </c>
      <c r="P25" s="191" t="s">
        <v>48</v>
      </c>
      <c r="Q25" s="192"/>
      <c r="R25" s="192"/>
      <c r="S25" s="192"/>
      <c r="T25" s="192"/>
      <c r="U25" s="193"/>
    </row>
    <row r="26" spans="1:21" ht="16" thickBot="1">
      <c r="A26" s="118"/>
      <c r="B26" s="119"/>
      <c r="C26" s="120"/>
      <c r="D26" s="120"/>
      <c r="E26" s="121"/>
      <c r="F26" s="129"/>
      <c r="G26" s="122"/>
      <c r="H26" s="147"/>
      <c r="I26" s="148"/>
      <c r="J26" s="125"/>
      <c r="K26" s="125"/>
      <c r="L26" s="126"/>
      <c r="M26" s="126"/>
      <c r="N26" s="127"/>
      <c r="O26" s="172"/>
      <c r="P26" s="194"/>
      <c r="Q26" s="195"/>
      <c r="R26" s="195"/>
      <c r="S26" s="195"/>
      <c r="T26" s="195"/>
      <c r="U26" s="196"/>
    </row>
  </sheetData>
  <mergeCells count="43">
    <mergeCell ref="P22:U22"/>
    <mergeCell ref="P23:U23"/>
    <mergeCell ref="P24:U24"/>
    <mergeCell ref="P25:U25"/>
    <mergeCell ref="P26:U26"/>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25602"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25603"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25604"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25605"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25606"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3B23FFF-FB80-4AA6-964C-008D58A68BB0}">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9B520239-936D-47EE-A606-B6E49C9CD156}">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0FC7BE71-7C47-4EE4-8E3F-388015079AEA}">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6978D1F9-7535-44D3-A5A2-6BE673CDDEFF}">
            <xm:f>(AND(H19&lt;&gt;"",ISERROR(VLOOKUP(H19,system!$E:$E,1,FALSE))))</xm:f>
            <x14:dxf>
              <fill>
                <patternFill>
                  <bgColor rgb="FFFF0000"/>
                </patternFill>
              </fill>
            </x14:dxf>
          </x14:cfRule>
          <xm:sqref>I19:I26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97DB6-F36F-4731-B6A1-BF43F27DA1D8}">
  <sheetPr codeName="Sheet25">
    <pageSetUpPr fitToPage="1"/>
  </sheetPr>
  <dimension ref="A1:U44"/>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359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140</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SUM(N14:N45)</f>
        <v>207</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43" si="0">IF(H14="NUMBER",IF(J14&gt;0,INT((J14+1)/2+0.9),0),IF(H14="DATE",7,IF(OR(H14="LONG",H14="LONG RAW"),100000,J14)))</f>
        <v>1</v>
      </c>
      <c r="O14" s="170"/>
      <c r="P14" s="191" t="s">
        <v>175</v>
      </c>
      <c r="Q14" s="192"/>
      <c r="R14" s="192"/>
      <c r="S14" s="192"/>
      <c r="T14" s="192"/>
      <c r="U14" s="193"/>
    </row>
    <row r="15" spans="1:21" ht="15.75" customHeight="1">
      <c r="A15" s="85"/>
      <c r="B15" s="37">
        <f>ROW()-13</f>
        <v>2</v>
      </c>
      <c r="C15" s="145" t="s">
        <v>193</v>
      </c>
      <c r="D15" s="80"/>
      <c r="E15" s="81"/>
      <c r="F15" s="146"/>
      <c r="G15" s="17"/>
      <c r="H15" s="18" t="s">
        <v>49</v>
      </c>
      <c r="I15" s="59"/>
      <c r="J15" s="19">
        <v>3</v>
      </c>
      <c r="K15" s="19"/>
      <c r="L15" s="50" t="s">
        <v>189</v>
      </c>
      <c r="M15" s="73" t="s">
        <v>21</v>
      </c>
      <c r="N15" s="54">
        <f t="shared" si="0"/>
        <v>3</v>
      </c>
      <c r="O15" s="170"/>
      <c r="P15" s="191"/>
      <c r="Q15" s="192"/>
      <c r="R15" s="192"/>
      <c r="S15" s="192"/>
      <c r="T15" s="192"/>
      <c r="U15" s="193"/>
    </row>
    <row r="16" spans="1:21" ht="15.75" customHeight="1">
      <c r="A16" s="85" t="s">
        <v>190</v>
      </c>
      <c r="B16" s="37">
        <f>ROW()-13</f>
        <v>3</v>
      </c>
      <c r="C16" s="145" t="s">
        <v>360</v>
      </c>
      <c r="D16" s="80"/>
      <c r="E16" s="81"/>
      <c r="F16" s="146"/>
      <c r="G16" s="17"/>
      <c r="H16" s="18" t="s">
        <v>49</v>
      </c>
      <c r="I16" s="59"/>
      <c r="J16" s="19">
        <v>7</v>
      </c>
      <c r="K16" s="19"/>
      <c r="L16" s="50" t="s">
        <v>189</v>
      </c>
      <c r="M16" s="73" t="s">
        <v>21</v>
      </c>
      <c r="N16" s="54">
        <f t="shared" si="0"/>
        <v>7</v>
      </c>
      <c r="O16" s="170"/>
      <c r="P16" s="191"/>
      <c r="Q16" s="192"/>
      <c r="R16" s="192"/>
      <c r="S16" s="192"/>
      <c r="T16" s="192"/>
      <c r="U16" s="193"/>
    </row>
    <row r="17" spans="1:21" ht="15.75" customHeight="1">
      <c r="A17" s="85"/>
      <c r="B17" s="37">
        <f>ROW()-13</f>
        <v>4</v>
      </c>
      <c r="C17" s="145" t="s">
        <v>361</v>
      </c>
      <c r="D17" s="80"/>
      <c r="E17" s="81"/>
      <c r="F17" s="146"/>
      <c r="G17" s="17"/>
      <c r="H17" s="18" t="s">
        <v>49</v>
      </c>
      <c r="I17" s="59"/>
      <c r="J17" s="19">
        <v>1</v>
      </c>
      <c r="K17" s="19"/>
      <c r="L17" s="50"/>
      <c r="M17" s="73" t="s">
        <v>21</v>
      </c>
      <c r="N17" s="54">
        <f t="shared" si="0"/>
        <v>1</v>
      </c>
      <c r="O17" s="170"/>
      <c r="P17" s="191"/>
      <c r="Q17" s="192"/>
      <c r="R17" s="192"/>
      <c r="S17" s="192"/>
      <c r="T17" s="192"/>
      <c r="U17" s="193"/>
    </row>
    <row r="18" spans="1:21" ht="15.75" customHeight="1">
      <c r="A18" s="85"/>
      <c r="B18" s="37">
        <f>ROW()-13</f>
        <v>5</v>
      </c>
      <c r="C18" s="145" t="s">
        <v>195</v>
      </c>
      <c r="D18" s="80"/>
      <c r="E18" s="81"/>
      <c r="F18" s="146"/>
      <c r="G18" s="17"/>
      <c r="H18" s="18" t="s">
        <v>49</v>
      </c>
      <c r="I18" s="59"/>
      <c r="J18" s="19">
        <v>12</v>
      </c>
      <c r="K18" s="19"/>
      <c r="L18" s="50"/>
      <c r="M18" s="73" t="s">
        <v>21</v>
      </c>
      <c r="N18" s="54">
        <f t="shared" si="0"/>
        <v>12</v>
      </c>
      <c r="O18" s="170"/>
      <c r="P18" s="191"/>
      <c r="Q18" s="192"/>
      <c r="R18" s="192"/>
      <c r="S18" s="192"/>
      <c r="T18" s="192"/>
      <c r="U18" s="193"/>
    </row>
    <row r="19" spans="1:21" ht="15.75" customHeight="1">
      <c r="A19" s="85" t="s">
        <v>190</v>
      </c>
      <c r="B19" s="37">
        <f>ROW()-13</f>
        <v>6</v>
      </c>
      <c r="C19" s="145" t="s">
        <v>197</v>
      </c>
      <c r="D19" s="80"/>
      <c r="E19" s="81"/>
      <c r="F19" s="146"/>
      <c r="G19" s="17"/>
      <c r="H19" s="18" t="s">
        <v>49</v>
      </c>
      <c r="I19" s="59"/>
      <c r="J19" s="19">
        <v>1</v>
      </c>
      <c r="K19" s="19"/>
      <c r="L19" s="50" t="s">
        <v>189</v>
      </c>
      <c r="M19" s="73" t="s">
        <v>21</v>
      </c>
      <c r="N19" s="54">
        <f t="shared" si="0"/>
        <v>1</v>
      </c>
      <c r="O19" s="170"/>
      <c r="P19" s="191" t="s">
        <v>175</v>
      </c>
      <c r="Q19" s="192"/>
      <c r="R19" s="192"/>
      <c r="S19" s="192"/>
      <c r="T19" s="192"/>
      <c r="U19" s="193"/>
    </row>
    <row r="20" spans="1:21" ht="15.75" customHeight="1">
      <c r="A20" s="85" t="s">
        <v>190</v>
      </c>
      <c r="B20" s="37">
        <f>ROW()-13</f>
        <v>7</v>
      </c>
      <c r="C20" s="145" t="s">
        <v>199</v>
      </c>
      <c r="D20" s="80"/>
      <c r="E20" s="81"/>
      <c r="F20" s="146"/>
      <c r="G20" s="17"/>
      <c r="H20" s="18" t="s">
        <v>51</v>
      </c>
      <c r="I20" s="59"/>
      <c r="J20" s="19">
        <v>25</v>
      </c>
      <c r="K20" s="19"/>
      <c r="L20" s="50" t="s">
        <v>189</v>
      </c>
      <c r="M20" s="73" t="s">
        <v>21</v>
      </c>
      <c r="N20" s="54">
        <f t="shared" si="0"/>
        <v>25</v>
      </c>
      <c r="O20" s="170"/>
      <c r="P20" s="191"/>
      <c r="Q20" s="192"/>
      <c r="R20" s="192"/>
      <c r="S20" s="192"/>
      <c r="T20" s="192"/>
      <c r="U20" s="193"/>
    </row>
    <row r="21" spans="1:21" ht="15.75" customHeight="1">
      <c r="A21" s="85" t="s">
        <v>190</v>
      </c>
      <c r="B21" s="37">
        <f>ROW()-13</f>
        <v>8</v>
      </c>
      <c r="C21" s="145" t="s">
        <v>201</v>
      </c>
      <c r="D21" s="80"/>
      <c r="E21" s="81"/>
      <c r="F21" s="146"/>
      <c r="G21" s="17"/>
      <c r="H21" s="18" t="s">
        <v>51</v>
      </c>
      <c r="I21" s="59"/>
      <c r="J21" s="19">
        <v>4</v>
      </c>
      <c r="K21" s="19"/>
      <c r="L21" s="50" t="s">
        <v>189</v>
      </c>
      <c r="M21" s="73" t="s">
        <v>21</v>
      </c>
      <c r="N21" s="54">
        <f t="shared" si="0"/>
        <v>4</v>
      </c>
      <c r="O21" s="170"/>
      <c r="P21" s="191" t="s">
        <v>203</v>
      </c>
      <c r="Q21" s="192"/>
      <c r="R21" s="192"/>
      <c r="S21" s="192"/>
      <c r="T21" s="192"/>
      <c r="U21" s="193"/>
    </row>
    <row r="22" spans="1:21" ht="62.75" customHeight="1">
      <c r="A22" s="85" t="s">
        <v>190</v>
      </c>
      <c r="B22" s="37">
        <f>ROW()-13</f>
        <v>9</v>
      </c>
      <c r="C22" s="145" t="s">
        <v>204</v>
      </c>
      <c r="D22" s="80"/>
      <c r="E22" s="81"/>
      <c r="F22" s="146"/>
      <c r="G22" s="17"/>
      <c r="H22" s="18" t="s">
        <v>49</v>
      </c>
      <c r="I22" s="59"/>
      <c r="J22" s="19">
        <v>1</v>
      </c>
      <c r="K22" s="19"/>
      <c r="L22" s="50" t="s">
        <v>189</v>
      </c>
      <c r="M22" s="73" t="s">
        <v>21</v>
      </c>
      <c r="N22" s="54">
        <f t="shared" si="0"/>
        <v>1</v>
      </c>
      <c r="O22" s="170"/>
      <c r="P22" s="251" t="s">
        <v>265</v>
      </c>
      <c r="Q22" s="192"/>
      <c r="R22" s="192"/>
      <c r="S22" s="192"/>
      <c r="T22" s="192"/>
      <c r="U22" s="193"/>
    </row>
    <row r="23" spans="1:21" ht="27.5" customHeight="1">
      <c r="A23" s="85"/>
      <c r="B23" s="37">
        <f>ROW()-13</f>
        <v>10</v>
      </c>
      <c r="C23" s="145" t="s">
        <v>207</v>
      </c>
      <c r="D23" s="80"/>
      <c r="E23" s="81"/>
      <c r="F23" s="146"/>
      <c r="G23" s="17"/>
      <c r="H23" s="18" t="s">
        <v>49</v>
      </c>
      <c r="I23" s="59"/>
      <c r="J23" s="19">
        <v>1</v>
      </c>
      <c r="K23" s="19"/>
      <c r="L23" s="50" t="s">
        <v>189</v>
      </c>
      <c r="M23" s="73" t="s">
        <v>21</v>
      </c>
      <c r="N23" s="54">
        <f t="shared" si="0"/>
        <v>1</v>
      </c>
      <c r="O23" s="170"/>
      <c r="P23" s="251" t="s">
        <v>208</v>
      </c>
      <c r="Q23" s="192"/>
      <c r="R23" s="192"/>
      <c r="S23" s="192"/>
      <c r="T23" s="192"/>
      <c r="U23" s="193"/>
    </row>
    <row r="24" spans="1:21" ht="15.75" customHeight="1">
      <c r="A24" s="85"/>
      <c r="B24" s="37">
        <f>ROW()-13</f>
        <v>11</v>
      </c>
      <c r="C24" s="145" t="s">
        <v>362</v>
      </c>
      <c r="D24" s="80"/>
      <c r="E24" s="81"/>
      <c r="F24" s="146"/>
      <c r="G24" s="17"/>
      <c r="H24" s="18" t="s">
        <v>49</v>
      </c>
      <c r="I24" s="59"/>
      <c r="J24" s="19">
        <v>2</v>
      </c>
      <c r="K24" s="19"/>
      <c r="L24" s="50"/>
      <c r="M24" s="73" t="s">
        <v>21</v>
      </c>
      <c r="N24" s="54">
        <f t="shared" si="0"/>
        <v>2</v>
      </c>
      <c r="O24" s="170"/>
      <c r="P24" s="191"/>
      <c r="Q24" s="192"/>
      <c r="R24" s="192"/>
      <c r="S24" s="192"/>
      <c r="T24" s="192"/>
      <c r="U24" s="193"/>
    </row>
    <row r="25" spans="1:21" ht="15.75" customHeight="1">
      <c r="A25" s="85"/>
      <c r="B25" s="37">
        <f>ROW()-13</f>
        <v>12</v>
      </c>
      <c r="C25" s="145" t="s">
        <v>363</v>
      </c>
      <c r="D25" s="80"/>
      <c r="E25" s="81"/>
      <c r="F25" s="146"/>
      <c r="G25" s="17"/>
      <c r="H25" s="18" t="s">
        <v>54</v>
      </c>
      <c r="I25" s="59"/>
      <c r="J25" s="19"/>
      <c r="K25" s="19"/>
      <c r="L25" s="50"/>
      <c r="M25" s="73" t="s">
        <v>21</v>
      </c>
      <c r="N25" s="54">
        <f t="shared" si="0"/>
        <v>0</v>
      </c>
      <c r="O25" s="170"/>
      <c r="P25" s="191"/>
      <c r="Q25" s="192"/>
      <c r="R25" s="192"/>
      <c r="S25" s="192"/>
      <c r="T25" s="192"/>
      <c r="U25" s="193"/>
    </row>
    <row r="26" spans="1:21" ht="15.75" customHeight="1">
      <c r="A26" s="85"/>
      <c r="B26" s="37">
        <f>ROW()-13</f>
        <v>13</v>
      </c>
      <c r="C26" s="145" t="s">
        <v>364</v>
      </c>
      <c r="D26" s="80"/>
      <c r="E26" s="81"/>
      <c r="F26" s="146"/>
      <c r="G26" s="17"/>
      <c r="H26" s="18" t="s">
        <v>54</v>
      </c>
      <c r="I26" s="59"/>
      <c r="J26" s="19"/>
      <c r="K26" s="19"/>
      <c r="L26" s="50"/>
      <c r="M26" s="73" t="s">
        <v>21</v>
      </c>
      <c r="N26" s="54">
        <f t="shared" si="0"/>
        <v>0</v>
      </c>
      <c r="O26" s="170"/>
      <c r="P26" s="191"/>
      <c r="Q26" s="192"/>
      <c r="R26" s="192"/>
      <c r="S26" s="192"/>
      <c r="T26" s="192"/>
      <c r="U26" s="193"/>
    </row>
    <row r="27" spans="1:21" ht="15.75" customHeight="1">
      <c r="A27" s="85"/>
      <c r="B27" s="37">
        <f>ROW()-13</f>
        <v>14</v>
      </c>
      <c r="C27" s="145" t="s">
        <v>365</v>
      </c>
      <c r="D27" s="80"/>
      <c r="E27" s="81"/>
      <c r="F27" s="146"/>
      <c r="G27" s="17"/>
      <c r="H27" s="18" t="s">
        <v>24</v>
      </c>
      <c r="I27" s="59"/>
      <c r="J27" s="19"/>
      <c r="K27" s="19"/>
      <c r="L27" s="50"/>
      <c r="M27" s="73" t="s">
        <v>21</v>
      </c>
      <c r="N27" s="54">
        <f t="shared" si="0"/>
        <v>7</v>
      </c>
      <c r="O27" s="170"/>
      <c r="P27" s="191"/>
      <c r="Q27" s="192"/>
      <c r="R27" s="192"/>
      <c r="S27" s="192"/>
      <c r="T27" s="192"/>
      <c r="U27" s="193"/>
    </row>
    <row r="28" spans="1:21" ht="15.75" customHeight="1">
      <c r="A28" s="85"/>
      <c r="B28" s="37">
        <f>ROW()-13</f>
        <v>15</v>
      </c>
      <c r="C28" s="145" t="s">
        <v>366</v>
      </c>
      <c r="D28" s="80"/>
      <c r="E28" s="81"/>
      <c r="F28" s="146"/>
      <c r="G28" s="17"/>
      <c r="H28" s="18" t="s">
        <v>24</v>
      </c>
      <c r="I28" s="59"/>
      <c r="J28" s="19"/>
      <c r="K28" s="19"/>
      <c r="L28" s="50"/>
      <c r="M28" s="73" t="s">
        <v>21</v>
      </c>
      <c r="N28" s="54">
        <f t="shared" si="0"/>
        <v>7</v>
      </c>
      <c r="O28" s="170"/>
      <c r="P28" s="191"/>
      <c r="Q28" s="192"/>
      <c r="R28" s="192"/>
      <c r="S28" s="192"/>
      <c r="T28" s="192"/>
      <c r="U28" s="193"/>
    </row>
    <row r="29" spans="1:21" ht="15.75" customHeight="1">
      <c r="A29" s="85"/>
      <c r="B29" s="37">
        <f>ROW()-13</f>
        <v>16</v>
      </c>
      <c r="C29" s="145" t="s">
        <v>350</v>
      </c>
      <c r="D29" s="80"/>
      <c r="E29" s="81"/>
      <c r="F29" s="146"/>
      <c r="G29" s="17"/>
      <c r="H29" s="18" t="s">
        <v>51</v>
      </c>
      <c r="I29" s="59"/>
      <c r="J29" s="19">
        <v>6</v>
      </c>
      <c r="K29" s="19"/>
      <c r="L29" s="50"/>
      <c r="M29" s="73" t="s">
        <v>21</v>
      </c>
      <c r="N29" s="54">
        <f t="shared" si="0"/>
        <v>6</v>
      </c>
      <c r="O29" s="170"/>
      <c r="P29" s="191"/>
      <c r="Q29" s="192"/>
      <c r="R29" s="192"/>
      <c r="S29" s="192"/>
      <c r="T29" s="192"/>
      <c r="U29" s="193"/>
    </row>
    <row r="30" spans="1:21" ht="15.75" customHeight="1">
      <c r="A30" s="85"/>
      <c r="B30" s="37">
        <f>ROW()-13</f>
        <v>17</v>
      </c>
      <c r="C30" s="145" t="s">
        <v>367</v>
      </c>
      <c r="D30" s="80"/>
      <c r="E30" s="81"/>
      <c r="F30" s="146"/>
      <c r="G30" s="17"/>
      <c r="H30" s="18" t="s">
        <v>56</v>
      </c>
      <c r="I30" s="59"/>
      <c r="J30" s="19">
        <v>5</v>
      </c>
      <c r="K30" s="19">
        <v>2</v>
      </c>
      <c r="L30" s="50"/>
      <c r="M30" s="73" t="s">
        <v>21</v>
      </c>
      <c r="N30" s="54">
        <f t="shared" si="0"/>
        <v>5</v>
      </c>
      <c r="O30" s="170"/>
      <c r="P30" s="191"/>
      <c r="Q30" s="192"/>
      <c r="R30" s="192"/>
      <c r="S30" s="192"/>
      <c r="T30" s="192"/>
      <c r="U30" s="193"/>
    </row>
    <row r="31" spans="1:21" ht="15.75" customHeight="1">
      <c r="A31" s="85"/>
      <c r="B31" s="37">
        <f>ROW()-13</f>
        <v>18</v>
      </c>
      <c r="C31" s="145" t="s">
        <v>368</v>
      </c>
      <c r="D31" s="80"/>
      <c r="E31" s="81"/>
      <c r="F31" s="146"/>
      <c r="G31" s="17"/>
      <c r="H31" s="18" t="s">
        <v>24</v>
      </c>
      <c r="I31" s="59"/>
      <c r="J31" s="19"/>
      <c r="K31" s="19"/>
      <c r="L31" s="50"/>
      <c r="M31" s="73" t="s">
        <v>21</v>
      </c>
      <c r="N31" s="54">
        <f t="shared" si="0"/>
        <v>7</v>
      </c>
      <c r="O31" s="170"/>
      <c r="P31" s="191"/>
      <c r="Q31" s="192"/>
      <c r="R31" s="192"/>
      <c r="S31" s="192"/>
      <c r="T31" s="192"/>
      <c r="U31" s="193"/>
    </row>
    <row r="32" spans="1:21" ht="15.75" customHeight="1">
      <c r="A32" s="85"/>
      <c r="B32" s="37">
        <f>ROW()-13</f>
        <v>19</v>
      </c>
      <c r="C32" s="145" t="s">
        <v>369</v>
      </c>
      <c r="D32" s="80"/>
      <c r="E32" s="81"/>
      <c r="F32" s="146"/>
      <c r="G32" s="17"/>
      <c r="H32" s="18" t="s">
        <v>51</v>
      </c>
      <c r="I32" s="59"/>
      <c r="J32" s="19">
        <v>50</v>
      </c>
      <c r="K32" s="19"/>
      <c r="L32" s="50"/>
      <c r="M32" s="73" t="s">
        <v>21</v>
      </c>
      <c r="N32" s="54">
        <f t="shared" si="0"/>
        <v>50</v>
      </c>
      <c r="O32" s="170"/>
      <c r="P32" s="191"/>
      <c r="Q32" s="192"/>
      <c r="R32" s="192"/>
      <c r="S32" s="192"/>
      <c r="T32" s="192"/>
      <c r="U32" s="193"/>
    </row>
    <row r="33" spans="1:21" ht="27.5" customHeight="1">
      <c r="A33" s="85"/>
      <c r="B33" s="37">
        <f>ROW()-13</f>
        <v>20</v>
      </c>
      <c r="C33" s="145" t="s">
        <v>370</v>
      </c>
      <c r="D33" s="80"/>
      <c r="E33" s="81"/>
      <c r="F33" s="146"/>
      <c r="G33" s="17"/>
      <c r="H33" s="18" t="s">
        <v>49</v>
      </c>
      <c r="I33" s="59"/>
      <c r="J33" s="19">
        <v>1</v>
      </c>
      <c r="K33" s="19"/>
      <c r="L33" s="50"/>
      <c r="M33" s="73" t="s">
        <v>21</v>
      </c>
      <c r="N33" s="54">
        <f t="shared" si="0"/>
        <v>1</v>
      </c>
      <c r="O33" s="170">
        <v>0</v>
      </c>
      <c r="P33" s="251" t="s">
        <v>371</v>
      </c>
      <c r="Q33" s="192"/>
      <c r="R33" s="192"/>
      <c r="S33" s="192"/>
      <c r="T33" s="192"/>
      <c r="U33" s="193"/>
    </row>
    <row r="34" spans="1:21" ht="15.75" customHeight="1">
      <c r="A34" s="85"/>
      <c r="B34" s="37">
        <f>ROW()-13</f>
        <v>21</v>
      </c>
      <c r="C34" s="145" t="s">
        <v>372</v>
      </c>
      <c r="D34" s="80"/>
      <c r="E34" s="81"/>
      <c r="F34" s="146"/>
      <c r="G34" s="17"/>
      <c r="H34" s="18" t="s">
        <v>211</v>
      </c>
      <c r="I34" s="59"/>
      <c r="J34" s="19"/>
      <c r="K34" s="19"/>
      <c r="L34" s="50"/>
      <c r="M34" s="73" t="s">
        <v>21</v>
      </c>
      <c r="N34" s="54">
        <f t="shared" si="0"/>
        <v>0</v>
      </c>
      <c r="O34" s="170">
        <v>0</v>
      </c>
      <c r="P34" s="191"/>
      <c r="Q34" s="192"/>
      <c r="R34" s="192"/>
      <c r="S34" s="192"/>
      <c r="T34" s="192"/>
      <c r="U34" s="193"/>
    </row>
    <row r="35" spans="1:21" ht="15.75" customHeight="1">
      <c r="A35" s="85"/>
      <c r="B35" s="37">
        <f>ROW()-13</f>
        <v>22</v>
      </c>
      <c r="C35" s="145" t="s">
        <v>373</v>
      </c>
      <c r="D35" s="80"/>
      <c r="E35" s="81"/>
      <c r="F35" s="146"/>
      <c r="G35" s="17"/>
      <c r="H35" s="18" t="s">
        <v>56</v>
      </c>
      <c r="I35" s="59"/>
      <c r="J35" s="19">
        <v>10</v>
      </c>
      <c r="K35" s="19">
        <v>2</v>
      </c>
      <c r="L35" s="50"/>
      <c r="M35" s="73" t="s">
        <v>21</v>
      </c>
      <c r="N35" s="54">
        <f t="shared" si="0"/>
        <v>10</v>
      </c>
      <c r="O35" s="170">
        <v>0</v>
      </c>
      <c r="P35" s="191"/>
      <c r="Q35" s="192"/>
      <c r="R35" s="192"/>
      <c r="S35" s="192"/>
      <c r="T35" s="192"/>
      <c r="U35" s="193"/>
    </row>
    <row r="36" spans="1:21" ht="15.75" customHeight="1">
      <c r="A36" s="85"/>
      <c r="B36" s="37">
        <f>ROW()-13</f>
        <v>23</v>
      </c>
      <c r="C36" s="145" t="s">
        <v>212</v>
      </c>
      <c r="D36" s="80"/>
      <c r="E36" s="81"/>
      <c r="F36" s="146"/>
      <c r="G36" s="17"/>
      <c r="H36" s="18" t="s">
        <v>51</v>
      </c>
      <c r="I36" s="59"/>
      <c r="J36" s="19">
        <v>4</v>
      </c>
      <c r="K36" s="19"/>
      <c r="L36" s="50"/>
      <c r="M36" s="73" t="s">
        <v>21</v>
      </c>
      <c r="N36" s="54">
        <f t="shared" si="0"/>
        <v>4</v>
      </c>
      <c r="O36" s="170"/>
      <c r="P36" s="191"/>
      <c r="Q36" s="192"/>
      <c r="R36" s="192"/>
      <c r="S36" s="192"/>
      <c r="T36" s="192"/>
      <c r="U36" s="193"/>
    </row>
    <row r="37" spans="1:21" ht="15.5">
      <c r="A37" s="85"/>
      <c r="B37" s="37">
        <f t="shared" ref="B37:B43" si="1">ROW()-13</f>
        <v>24</v>
      </c>
      <c r="C37" s="107" t="s">
        <v>36</v>
      </c>
      <c r="D37" s="107"/>
      <c r="E37" s="108"/>
      <c r="F37" s="109" t="s">
        <v>78</v>
      </c>
      <c r="G37" s="110"/>
      <c r="H37" s="18" t="s">
        <v>51</v>
      </c>
      <c r="I37" s="59"/>
      <c r="J37" s="113">
        <v>12</v>
      </c>
      <c r="K37" s="113"/>
      <c r="L37" s="114"/>
      <c r="M37" s="115" t="s">
        <v>35</v>
      </c>
      <c r="N37" s="116">
        <f t="shared" si="0"/>
        <v>12</v>
      </c>
      <c r="O37" s="171"/>
      <c r="P37" s="197"/>
      <c r="Q37" s="198"/>
      <c r="R37" s="198"/>
      <c r="S37" s="198"/>
      <c r="T37" s="198"/>
      <c r="U37" s="199"/>
    </row>
    <row r="38" spans="1:21" ht="15.5">
      <c r="A38" s="85"/>
      <c r="B38" s="37">
        <f t="shared" si="1"/>
        <v>25</v>
      </c>
      <c r="C38" s="107" t="s">
        <v>37</v>
      </c>
      <c r="D38" s="107"/>
      <c r="E38" s="108"/>
      <c r="F38" s="109" t="s">
        <v>43</v>
      </c>
      <c r="G38" s="110"/>
      <c r="H38" s="18" t="s">
        <v>51</v>
      </c>
      <c r="I38" s="59"/>
      <c r="J38" s="113">
        <v>10</v>
      </c>
      <c r="K38" s="113"/>
      <c r="L38" s="114"/>
      <c r="M38" s="115" t="s">
        <v>21</v>
      </c>
      <c r="N38" s="116">
        <f t="shared" si="0"/>
        <v>10</v>
      </c>
      <c r="O38" s="171"/>
      <c r="P38" s="197"/>
      <c r="Q38" s="198"/>
      <c r="R38" s="198"/>
      <c r="S38" s="198"/>
      <c r="T38" s="198"/>
      <c r="U38" s="199"/>
    </row>
    <row r="39" spans="1:21" ht="15.5">
      <c r="A39" s="85"/>
      <c r="B39" s="37">
        <f t="shared" si="1"/>
        <v>26</v>
      </c>
      <c r="C39" s="107" t="s">
        <v>38</v>
      </c>
      <c r="D39" s="107"/>
      <c r="E39" s="108"/>
      <c r="F39" s="109" t="s">
        <v>80</v>
      </c>
      <c r="G39" s="110"/>
      <c r="H39" s="18" t="s">
        <v>86</v>
      </c>
      <c r="I39" s="59"/>
      <c r="J39" s="113"/>
      <c r="K39" s="113"/>
      <c r="L39" s="114"/>
      <c r="M39" s="115" t="s">
        <v>21</v>
      </c>
      <c r="N39" s="116">
        <f t="shared" si="0"/>
        <v>0</v>
      </c>
      <c r="O39" s="171"/>
      <c r="P39" s="197"/>
      <c r="Q39" s="198"/>
      <c r="R39" s="198"/>
      <c r="S39" s="198"/>
      <c r="T39" s="198"/>
      <c r="U39" s="199"/>
    </row>
    <row r="40" spans="1:21" ht="15.5">
      <c r="A40" s="85"/>
      <c r="B40" s="37">
        <f t="shared" si="1"/>
        <v>27</v>
      </c>
      <c r="C40" s="107" t="s">
        <v>39</v>
      </c>
      <c r="D40" s="107"/>
      <c r="E40" s="108"/>
      <c r="F40" s="109" t="s">
        <v>79</v>
      </c>
      <c r="G40" s="110"/>
      <c r="H40" s="18" t="s">
        <v>51</v>
      </c>
      <c r="I40" s="59"/>
      <c r="J40" s="113">
        <v>12</v>
      </c>
      <c r="K40" s="113"/>
      <c r="L40" s="114"/>
      <c r="M40" s="115" t="s">
        <v>35</v>
      </c>
      <c r="N40" s="116">
        <f t="shared" si="0"/>
        <v>12</v>
      </c>
      <c r="O40" s="171"/>
      <c r="P40" s="197"/>
      <c r="Q40" s="198"/>
      <c r="R40" s="198"/>
      <c r="S40" s="198"/>
      <c r="T40" s="198"/>
      <c r="U40" s="199"/>
    </row>
    <row r="41" spans="1:21" ht="15.5">
      <c r="A41" s="85"/>
      <c r="B41" s="37">
        <f t="shared" si="1"/>
        <v>28</v>
      </c>
      <c r="C41" s="107" t="s">
        <v>40</v>
      </c>
      <c r="D41" s="107"/>
      <c r="E41" s="108"/>
      <c r="F41" s="109" t="s">
        <v>44</v>
      </c>
      <c r="G41" s="110"/>
      <c r="H41" s="18" t="s">
        <v>51</v>
      </c>
      <c r="I41" s="59"/>
      <c r="J41" s="113">
        <v>10</v>
      </c>
      <c r="K41" s="113"/>
      <c r="L41" s="114"/>
      <c r="M41" s="115" t="s">
        <v>21</v>
      </c>
      <c r="N41" s="116">
        <f t="shared" si="0"/>
        <v>10</v>
      </c>
      <c r="O41" s="171"/>
      <c r="P41" s="197"/>
      <c r="Q41" s="198"/>
      <c r="R41" s="198"/>
      <c r="S41" s="198"/>
      <c r="T41" s="198"/>
      <c r="U41" s="199"/>
    </row>
    <row r="42" spans="1:21" ht="15.5">
      <c r="A42" s="85"/>
      <c r="B42" s="37">
        <f t="shared" si="1"/>
        <v>29</v>
      </c>
      <c r="C42" s="107" t="s">
        <v>41</v>
      </c>
      <c r="D42" s="107"/>
      <c r="E42" s="108"/>
      <c r="F42" s="109" t="s">
        <v>81</v>
      </c>
      <c r="G42" s="110"/>
      <c r="H42" s="18" t="s">
        <v>86</v>
      </c>
      <c r="I42" s="59"/>
      <c r="J42" s="113"/>
      <c r="K42" s="113"/>
      <c r="L42" s="114"/>
      <c r="M42" s="115" t="s">
        <v>21</v>
      </c>
      <c r="N42" s="116">
        <f t="shared" si="0"/>
        <v>0</v>
      </c>
      <c r="O42" s="171"/>
      <c r="P42" s="197"/>
      <c r="Q42" s="198"/>
      <c r="R42" s="198"/>
      <c r="S42" s="198"/>
      <c r="T42" s="198"/>
      <c r="U42" s="199"/>
    </row>
    <row r="43" spans="1:21" ht="15.5">
      <c r="A43" s="85"/>
      <c r="B43" s="37">
        <f t="shared" si="1"/>
        <v>30</v>
      </c>
      <c r="C43" s="80" t="s">
        <v>46</v>
      </c>
      <c r="D43" s="80"/>
      <c r="E43" s="81"/>
      <c r="F43" s="84" t="s">
        <v>71</v>
      </c>
      <c r="G43" s="17"/>
      <c r="H43" s="18" t="s">
        <v>62</v>
      </c>
      <c r="I43" s="59"/>
      <c r="J43" s="19">
        <v>8</v>
      </c>
      <c r="K43" s="19"/>
      <c r="L43" s="50" t="s">
        <v>47</v>
      </c>
      <c r="M43" s="73" t="s">
        <v>35</v>
      </c>
      <c r="N43" s="54">
        <f t="shared" si="0"/>
        <v>8</v>
      </c>
      <c r="O43" s="170">
        <v>0</v>
      </c>
      <c r="P43" s="191" t="s">
        <v>48</v>
      </c>
      <c r="Q43" s="192"/>
      <c r="R43" s="192"/>
      <c r="S43" s="192"/>
      <c r="T43" s="192"/>
      <c r="U43" s="193"/>
    </row>
    <row r="44" spans="1:21" ht="16" thickBot="1">
      <c r="A44" s="118"/>
      <c r="B44" s="119"/>
      <c r="C44" s="120"/>
      <c r="D44" s="120"/>
      <c r="E44" s="121"/>
      <c r="F44" s="129"/>
      <c r="G44" s="122"/>
      <c r="H44" s="147"/>
      <c r="I44" s="148"/>
      <c r="J44" s="125"/>
      <c r="K44" s="125"/>
      <c r="L44" s="126"/>
      <c r="M44" s="126"/>
      <c r="N44" s="127"/>
      <c r="O44" s="172"/>
      <c r="P44" s="194"/>
      <c r="Q44" s="195"/>
      <c r="R44" s="195"/>
      <c r="S44" s="195"/>
      <c r="T44" s="195"/>
      <c r="U44" s="196"/>
    </row>
  </sheetData>
  <mergeCells count="61">
    <mergeCell ref="P40:U40"/>
    <mergeCell ref="P41:U41"/>
    <mergeCell ref="P42:U42"/>
    <mergeCell ref="P43:U43"/>
    <mergeCell ref="P44:U44"/>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5"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26626"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26627"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26628"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26629"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26630"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CADEDA9-47AB-40F4-89B7-156F2A08D4C0}">
            <xm:f>(AND(H14&lt;&gt;"",ISERROR(VLOOKUP(H14,system!$E:$E,1,FALSE))))</xm:f>
            <x14:dxf>
              <fill>
                <patternFill patternType="solid">
                  <bgColor rgb="FFFF0000"/>
                </patternFill>
              </fill>
            </x14:dxf>
          </x14:cfRule>
          <xm:sqref>H14:H36</xm:sqref>
        </x14:conditionalFormatting>
        <x14:conditionalFormatting xmlns:xm="http://schemas.microsoft.com/office/excel/2006/main">
          <x14:cfRule type="expression" priority="3" id="{33782546-EC64-48C9-8CEC-BBA808F8FFFB}">
            <xm:f>(AND(H14&lt;&gt;"",ISERROR(VLOOKUP(H14,system!$E:$E,1,FALSE))))</xm:f>
            <x14:dxf>
              <fill>
                <patternFill>
                  <bgColor rgb="FFFF0000"/>
                </patternFill>
              </fill>
            </x14:dxf>
          </x14:cfRule>
          <xm:sqref>I14:I36</xm:sqref>
        </x14:conditionalFormatting>
        <x14:conditionalFormatting xmlns:xm="http://schemas.microsoft.com/office/excel/2006/main">
          <x14:cfRule type="expression" priority="2" id="{EC8A32BD-2B55-4E70-BE71-07ADDBA69382}">
            <xm:f>(AND(H37&lt;&gt;"",ISERROR(VLOOKUP(H37,system!$E:$E,1,FALSE))))</xm:f>
            <x14:dxf>
              <fill>
                <patternFill patternType="solid">
                  <bgColor rgb="FFFF0000"/>
                </patternFill>
              </fill>
            </x14:dxf>
          </x14:cfRule>
          <xm:sqref>H37:H44</xm:sqref>
        </x14:conditionalFormatting>
        <x14:conditionalFormatting xmlns:xm="http://schemas.microsoft.com/office/excel/2006/main">
          <x14:cfRule type="expression" priority="1" id="{85AB9A2B-0AA4-4CF6-91B2-B75BD32765B4}">
            <xm:f>(AND(H37&lt;&gt;"",ISERROR(VLOOKUP(H37,system!$E:$E,1,FALSE))))</xm:f>
            <x14:dxf>
              <fill>
                <patternFill>
                  <bgColor rgb="FFFF0000"/>
                </patternFill>
              </fill>
            </x14:dxf>
          </x14:cfRule>
          <xm:sqref>I37:I44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38540-261A-4981-979B-182DC3378105}">
  <sheetPr codeName="Sheet26">
    <pageSetUpPr fitToPage="1"/>
  </sheetPr>
  <dimension ref="A1:U2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375</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141</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SUM(N14:N26)</f>
        <v>58</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24" si="0">IF(H14="NUMBER",IF(J14&gt;0,INT((J14+1)/2+0.9),0),IF(H14="DATE",7,IF(OR(H14="LONG",H14="LONG RAW"),100000,J14)))</f>
        <v>1</v>
      </c>
      <c r="O14" s="170"/>
      <c r="P14" s="191" t="s">
        <v>175</v>
      </c>
      <c r="Q14" s="192"/>
      <c r="R14" s="192"/>
      <c r="S14" s="192"/>
      <c r="T14" s="192"/>
      <c r="U14" s="193"/>
    </row>
    <row r="15" spans="1:21" ht="15.75" customHeight="1">
      <c r="A15" s="85" t="s">
        <v>190</v>
      </c>
      <c r="B15" s="37">
        <f>ROW()-13</f>
        <v>2</v>
      </c>
      <c r="C15" s="145" t="s">
        <v>215</v>
      </c>
      <c r="D15" s="80"/>
      <c r="E15" s="81"/>
      <c r="F15" s="146"/>
      <c r="G15" s="17"/>
      <c r="H15" s="18" t="s">
        <v>49</v>
      </c>
      <c r="I15" s="59"/>
      <c r="J15" s="19">
        <v>1</v>
      </c>
      <c r="K15" s="19"/>
      <c r="L15" s="50" t="s">
        <v>189</v>
      </c>
      <c r="M15" s="73" t="s">
        <v>21</v>
      </c>
      <c r="N15" s="54">
        <f t="shared" si="0"/>
        <v>1</v>
      </c>
      <c r="O15" s="170"/>
      <c r="P15" s="191" t="s">
        <v>203</v>
      </c>
      <c r="Q15" s="192"/>
      <c r="R15" s="192"/>
      <c r="S15" s="192"/>
      <c r="T15" s="192"/>
      <c r="U15" s="193"/>
    </row>
    <row r="16" spans="1:21" ht="15.75" customHeight="1">
      <c r="A16" s="85"/>
      <c r="B16" s="37">
        <f>ROW()-13</f>
        <v>3</v>
      </c>
      <c r="C16" s="145" t="s">
        <v>376</v>
      </c>
      <c r="D16" s="80"/>
      <c r="E16" s="81"/>
      <c r="F16" s="146"/>
      <c r="G16" s="17"/>
      <c r="H16" s="18" t="s">
        <v>49</v>
      </c>
      <c r="I16" s="59"/>
      <c r="J16" s="19">
        <v>4</v>
      </c>
      <c r="K16" s="19"/>
      <c r="L16" s="50" t="s">
        <v>189</v>
      </c>
      <c r="M16" s="73" t="s">
        <v>21</v>
      </c>
      <c r="N16" s="54">
        <f t="shared" si="0"/>
        <v>4</v>
      </c>
      <c r="O16" s="170"/>
      <c r="P16" s="191" t="s">
        <v>160</v>
      </c>
      <c r="Q16" s="192"/>
      <c r="R16" s="192"/>
      <c r="S16" s="192"/>
      <c r="T16" s="192"/>
      <c r="U16" s="193"/>
    </row>
    <row r="17" spans="1:21" ht="15.75" customHeight="1">
      <c r="A17" s="85"/>
      <c r="B17" s="37">
        <f>ROW()-13</f>
        <v>4</v>
      </c>
      <c r="C17" s="145" t="s">
        <v>377</v>
      </c>
      <c r="D17" s="80"/>
      <c r="E17" s="81"/>
      <c r="F17" s="146"/>
      <c r="G17" s="17"/>
      <c r="H17" s="18" t="s">
        <v>211</v>
      </c>
      <c r="I17" s="59"/>
      <c r="J17" s="19"/>
      <c r="K17" s="19"/>
      <c r="L17" s="50" t="s">
        <v>189</v>
      </c>
      <c r="M17" s="73" t="s">
        <v>21</v>
      </c>
      <c r="N17" s="54">
        <f t="shared" si="0"/>
        <v>0</v>
      </c>
      <c r="O17" s="170"/>
      <c r="P17" s="191"/>
      <c r="Q17" s="192"/>
      <c r="R17" s="192"/>
      <c r="S17" s="192"/>
      <c r="T17" s="192"/>
      <c r="U17" s="193"/>
    </row>
    <row r="18" spans="1:21" ht="15.5">
      <c r="A18" s="85"/>
      <c r="B18" s="37">
        <f t="shared" ref="B18:B24" si="1">ROW()-13</f>
        <v>5</v>
      </c>
      <c r="C18" s="107" t="s">
        <v>36</v>
      </c>
      <c r="D18" s="107"/>
      <c r="E18" s="108"/>
      <c r="F18" s="109" t="s">
        <v>78</v>
      </c>
      <c r="G18" s="110"/>
      <c r="H18" s="18" t="s">
        <v>51</v>
      </c>
      <c r="I18" s="59"/>
      <c r="J18" s="113">
        <v>12</v>
      </c>
      <c r="K18" s="113"/>
      <c r="L18" s="114"/>
      <c r="M18" s="115" t="s">
        <v>35</v>
      </c>
      <c r="N18" s="116">
        <f t="shared" si="0"/>
        <v>12</v>
      </c>
      <c r="O18" s="171"/>
      <c r="P18" s="197"/>
      <c r="Q18" s="198"/>
      <c r="R18" s="198"/>
      <c r="S18" s="198"/>
      <c r="T18" s="198"/>
      <c r="U18" s="199"/>
    </row>
    <row r="19" spans="1:21" ht="15.5">
      <c r="A19" s="85"/>
      <c r="B19" s="37">
        <f t="shared" si="1"/>
        <v>6</v>
      </c>
      <c r="C19" s="107" t="s">
        <v>37</v>
      </c>
      <c r="D19" s="107"/>
      <c r="E19" s="108"/>
      <c r="F19" s="109" t="s">
        <v>43</v>
      </c>
      <c r="G19" s="110"/>
      <c r="H19" s="18" t="s">
        <v>51</v>
      </c>
      <c r="I19" s="59"/>
      <c r="J19" s="113">
        <v>10</v>
      </c>
      <c r="K19" s="113"/>
      <c r="L19" s="114"/>
      <c r="M19" s="115" t="s">
        <v>21</v>
      </c>
      <c r="N19" s="116">
        <f t="shared" si="0"/>
        <v>10</v>
      </c>
      <c r="O19" s="171"/>
      <c r="P19" s="197"/>
      <c r="Q19" s="198"/>
      <c r="R19" s="198"/>
      <c r="S19" s="198"/>
      <c r="T19" s="198"/>
      <c r="U19" s="199"/>
    </row>
    <row r="20" spans="1:21" ht="15.5">
      <c r="A20" s="85"/>
      <c r="B20" s="37">
        <f t="shared" si="1"/>
        <v>7</v>
      </c>
      <c r="C20" s="107" t="s">
        <v>38</v>
      </c>
      <c r="D20" s="107"/>
      <c r="E20" s="108"/>
      <c r="F20" s="109" t="s">
        <v>80</v>
      </c>
      <c r="G20" s="110"/>
      <c r="H20" s="18" t="s">
        <v>86</v>
      </c>
      <c r="I20" s="59"/>
      <c r="J20" s="113"/>
      <c r="K20" s="113"/>
      <c r="L20" s="114"/>
      <c r="M20" s="115" t="s">
        <v>21</v>
      </c>
      <c r="N20" s="116">
        <f t="shared" si="0"/>
        <v>0</v>
      </c>
      <c r="O20" s="171"/>
      <c r="P20" s="197"/>
      <c r="Q20" s="198"/>
      <c r="R20" s="198"/>
      <c r="S20" s="198"/>
      <c r="T20" s="198"/>
      <c r="U20" s="199"/>
    </row>
    <row r="21" spans="1:21" ht="15.5">
      <c r="A21" s="85"/>
      <c r="B21" s="37">
        <f t="shared" si="1"/>
        <v>8</v>
      </c>
      <c r="C21" s="107" t="s">
        <v>39</v>
      </c>
      <c r="D21" s="107"/>
      <c r="E21" s="108"/>
      <c r="F21" s="109" t="s">
        <v>79</v>
      </c>
      <c r="G21" s="110"/>
      <c r="H21" s="18" t="s">
        <v>51</v>
      </c>
      <c r="I21" s="59"/>
      <c r="J21" s="113">
        <v>12</v>
      </c>
      <c r="K21" s="113"/>
      <c r="L21" s="114"/>
      <c r="M21" s="115" t="s">
        <v>35</v>
      </c>
      <c r="N21" s="116">
        <f t="shared" si="0"/>
        <v>12</v>
      </c>
      <c r="O21" s="171"/>
      <c r="P21" s="197"/>
      <c r="Q21" s="198"/>
      <c r="R21" s="198"/>
      <c r="S21" s="198"/>
      <c r="T21" s="198"/>
      <c r="U21" s="199"/>
    </row>
    <row r="22" spans="1:21" ht="15.5">
      <c r="A22" s="85"/>
      <c r="B22" s="37">
        <f t="shared" si="1"/>
        <v>9</v>
      </c>
      <c r="C22" s="107" t="s">
        <v>40</v>
      </c>
      <c r="D22" s="107"/>
      <c r="E22" s="108"/>
      <c r="F22" s="109" t="s">
        <v>44</v>
      </c>
      <c r="G22" s="110"/>
      <c r="H22" s="18" t="s">
        <v>51</v>
      </c>
      <c r="I22" s="59"/>
      <c r="J22" s="113">
        <v>10</v>
      </c>
      <c r="K22" s="113"/>
      <c r="L22" s="114"/>
      <c r="M22" s="115" t="s">
        <v>21</v>
      </c>
      <c r="N22" s="116">
        <f t="shared" si="0"/>
        <v>10</v>
      </c>
      <c r="O22" s="171"/>
      <c r="P22" s="197"/>
      <c r="Q22" s="198"/>
      <c r="R22" s="198"/>
      <c r="S22" s="198"/>
      <c r="T22" s="198"/>
      <c r="U22" s="199"/>
    </row>
    <row r="23" spans="1:21" ht="15.5">
      <c r="A23" s="85"/>
      <c r="B23" s="37">
        <f t="shared" si="1"/>
        <v>10</v>
      </c>
      <c r="C23" s="107" t="s">
        <v>41</v>
      </c>
      <c r="D23" s="107"/>
      <c r="E23" s="108"/>
      <c r="F23" s="109" t="s">
        <v>81</v>
      </c>
      <c r="G23" s="110"/>
      <c r="H23" s="18" t="s">
        <v>86</v>
      </c>
      <c r="I23" s="59"/>
      <c r="J23" s="113"/>
      <c r="K23" s="113"/>
      <c r="L23" s="114"/>
      <c r="M23" s="115" t="s">
        <v>21</v>
      </c>
      <c r="N23" s="116">
        <f t="shared" si="0"/>
        <v>0</v>
      </c>
      <c r="O23" s="171"/>
      <c r="P23" s="197"/>
      <c r="Q23" s="198"/>
      <c r="R23" s="198"/>
      <c r="S23" s="198"/>
      <c r="T23" s="198"/>
      <c r="U23" s="199"/>
    </row>
    <row r="24" spans="1:21" ht="15.5">
      <c r="A24" s="85"/>
      <c r="B24" s="37">
        <f t="shared" si="1"/>
        <v>11</v>
      </c>
      <c r="C24" s="80" t="s">
        <v>46</v>
      </c>
      <c r="D24" s="80"/>
      <c r="E24" s="81"/>
      <c r="F24" s="84" t="s">
        <v>71</v>
      </c>
      <c r="G24" s="17"/>
      <c r="H24" s="18" t="s">
        <v>62</v>
      </c>
      <c r="I24" s="59"/>
      <c r="J24" s="19">
        <v>8</v>
      </c>
      <c r="K24" s="19"/>
      <c r="L24" s="50" t="s">
        <v>47</v>
      </c>
      <c r="M24" s="73" t="s">
        <v>35</v>
      </c>
      <c r="N24" s="54">
        <f t="shared" si="0"/>
        <v>8</v>
      </c>
      <c r="O24" s="170">
        <v>0</v>
      </c>
      <c r="P24" s="191" t="s">
        <v>48</v>
      </c>
      <c r="Q24" s="192"/>
      <c r="R24" s="192"/>
      <c r="S24" s="192"/>
      <c r="T24" s="192"/>
      <c r="U24" s="193"/>
    </row>
    <row r="25" spans="1:21" ht="16" thickBot="1">
      <c r="A25" s="118"/>
      <c r="B25" s="119"/>
      <c r="C25" s="120"/>
      <c r="D25" s="120"/>
      <c r="E25" s="121"/>
      <c r="F25" s="129"/>
      <c r="G25" s="122"/>
      <c r="H25" s="147"/>
      <c r="I25" s="148"/>
      <c r="J25" s="125"/>
      <c r="K25" s="125"/>
      <c r="L25" s="126"/>
      <c r="M25" s="126"/>
      <c r="N25" s="127"/>
      <c r="O25" s="172"/>
      <c r="P25" s="194"/>
      <c r="Q25" s="195"/>
      <c r="R25" s="195"/>
      <c r="S25" s="195"/>
      <c r="T25" s="195"/>
      <c r="U25" s="196"/>
    </row>
  </sheetData>
  <mergeCells count="42">
    <mergeCell ref="P22:U22"/>
    <mergeCell ref="P23:U23"/>
    <mergeCell ref="P24:U24"/>
    <mergeCell ref="P25:U25"/>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27650"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27651"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27652"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27653"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27654"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80EDE4F-3CBC-4E2D-B885-A818B26312A7}">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C9BB0880-1EE4-4C10-A763-242583C52C6D}">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79338823-29AC-40D9-AE1C-73E6DFCF58A5}">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1EBFA2CD-B6EA-4DC8-9993-F98A61F46CFD}">
            <xm:f>(AND(H18&lt;&gt;"",ISERROR(VLOOKUP(H18,system!$E:$E,1,FALSE))))</xm:f>
            <x14:dxf>
              <fill>
                <patternFill>
                  <bgColor rgb="FFFF0000"/>
                </patternFill>
              </fill>
            </x14:dxf>
          </x14:cfRule>
          <xm:sqref>I18:I25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951D5-1E20-48CB-A7BA-0509E4C4D0AC}">
  <sheetPr codeName="Sheet27">
    <pageSetUpPr fitToPage="1"/>
  </sheetPr>
  <dimension ref="A1:U4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380</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143</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SUM(N14:N47)</f>
        <v>165</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45" si="0">IF(H14="NUMBER",IF(J14&gt;0,INT((J14+1)/2+0.9),0),IF(H14="DATE",7,IF(OR(H14="LONG",H14="LONG RAW"),100000,J14)))</f>
        <v>1</v>
      </c>
      <c r="O14" s="170"/>
      <c r="P14" s="191" t="s">
        <v>175</v>
      </c>
      <c r="Q14" s="192"/>
      <c r="R14" s="192"/>
      <c r="S14" s="192"/>
      <c r="T14" s="192"/>
      <c r="U14" s="193"/>
    </row>
    <row r="15" spans="1:21" ht="15.75" customHeight="1">
      <c r="A15" s="85" t="s">
        <v>190</v>
      </c>
      <c r="B15" s="37">
        <f>ROW()-13</f>
        <v>2</v>
      </c>
      <c r="C15" s="145" t="s">
        <v>381</v>
      </c>
      <c r="D15" s="80"/>
      <c r="E15" s="81"/>
      <c r="F15" s="146"/>
      <c r="G15" s="17"/>
      <c r="H15" s="18" t="s">
        <v>49</v>
      </c>
      <c r="I15" s="59"/>
      <c r="J15" s="19">
        <v>7</v>
      </c>
      <c r="K15" s="19"/>
      <c r="L15" s="50" t="s">
        <v>189</v>
      </c>
      <c r="M15" s="73" t="s">
        <v>21</v>
      </c>
      <c r="N15" s="54">
        <f t="shared" si="0"/>
        <v>7</v>
      </c>
      <c r="O15" s="170"/>
      <c r="P15" s="191"/>
      <c r="Q15" s="192"/>
      <c r="R15" s="192"/>
      <c r="S15" s="192"/>
      <c r="T15" s="192"/>
      <c r="U15" s="193"/>
    </row>
    <row r="16" spans="1:21" ht="15.75" customHeight="1">
      <c r="A16" s="85"/>
      <c r="B16" s="37">
        <f>ROW()-13</f>
        <v>3</v>
      </c>
      <c r="C16" s="145" t="s">
        <v>195</v>
      </c>
      <c r="D16" s="80"/>
      <c r="E16" s="81"/>
      <c r="F16" s="146"/>
      <c r="G16" s="17"/>
      <c r="H16" s="18" t="s">
        <v>49</v>
      </c>
      <c r="I16" s="59"/>
      <c r="J16" s="19">
        <v>12</v>
      </c>
      <c r="K16" s="19"/>
      <c r="L16" s="50"/>
      <c r="M16" s="73" t="s">
        <v>21</v>
      </c>
      <c r="N16" s="54">
        <f t="shared" si="0"/>
        <v>12</v>
      </c>
      <c r="O16" s="170"/>
      <c r="P16" s="191"/>
      <c r="Q16" s="192"/>
      <c r="R16" s="192"/>
      <c r="S16" s="192"/>
      <c r="T16" s="192"/>
      <c r="U16" s="193"/>
    </row>
    <row r="17" spans="1:21" ht="15.75" customHeight="1">
      <c r="A17" s="85"/>
      <c r="B17" s="37">
        <f>ROW()-13</f>
        <v>4</v>
      </c>
      <c r="C17" s="145" t="s">
        <v>197</v>
      </c>
      <c r="D17" s="80"/>
      <c r="E17" s="81"/>
      <c r="F17" s="146"/>
      <c r="G17" s="17"/>
      <c r="H17" s="18" t="s">
        <v>49</v>
      </c>
      <c r="I17" s="59"/>
      <c r="J17" s="19">
        <v>1</v>
      </c>
      <c r="K17" s="19"/>
      <c r="L17" s="50" t="s">
        <v>189</v>
      </c>
      <c r="M17" s="73" t="s">
        <v>21</v>
      </c>
      <c r="N17" s="54">
        <f t="shared" si="0"/>
        <v>1</v>
      </c>
      <c r="O17" s="170"/>
      <c r="P17" s="191" t="s">
        <v>175</v>
      </c>
      <c r="Q17" s="192"/>
      <c r="R17" s="192"/>
      <c r="S17" s="192"/>
      <c r="T17" s="192"/>
      <c r="U17" s="193"/>
    </row>
    <row r="18" spans="1:21" ht="15.75" customHeight="1">
      <c r="A18" s="85"/>
      <c r="B18" s="37">
        <f>ROW()-13</f>
        <v>5</v>
      </c>
      <c r="C18" s="145" t="s">
        <v>199</v>
      </c>
      <c r="D18" s="80"/>
      <c r="E18" s="81"/>
      <c r="F18" s="146"/>
      <c r="G18" s="17"/>
      <c r="H18" s="18" t="s">
        <v>51</v>
      </c>
      <c r="I18" s="59"/>
      <c r="J18" s="19">
        <v>25</v>
      </c>
      <c r="K18" s="19"/>
      <c r="L18" s="50" t="s">
        <v>189</v>
      </c>
      <c r="M18" s="73" t="s">
        <v>21</v>
      </c>
      <c r="N18" s="54">
        <f t="shared" si="0"/>
        <v>25</v>
      </c>
      <c r="O18" s="170"/>
      <c r="P18" s="191"/>
      <c r="Q18" s="192"/>
      <c r="R18" s="192"/>
      <c r="S18" s="192"/>
      <c r="T18" s="192"/>
      <c r="U18" s="193"/>
    </row>
    <row r="19" spans="1:21" ht="15.75" customHeight="1">
      <c r="A19" s="85"/>
      <c r="B19" s="37">
        <f>ROW()-13</f>
        <v>6</v>
      </c>
      <c r="C19" s="145" t="s">
        <v>201</v>
      </c>
      <c r="D19" s="80"/>
      <c r="E19" s="81"/>
      <c r="F19" s="146"/>
      <c r="G19" s="17"/>
      <c r="H19" s="18" t="s">
        <v>51</v>
      </c>
      <c r="I19" s="59"/>
      <c r="J19" s="19">
        <v>4</v>
      </c>
      <c r="K19" s="19"/>
      <c r="L19" s="50" t="s">
        <v>189</v>
      </c>
      <c r="M19" s="73" t="s">
        <v>21</v>
      </c>
      <c r="N19" s="54">
        <f t="shared" si="0"/>
        <v>4</v>
      </c>
      <c r="O19" s="170"/>
      <c r="P19" s="191" t="s">
        <v>203</v>
      </c>
      <c r="Q19" s="192"/>
      <c r="R19" s="192"/>
      <c r="S19" s="192"/>
      <c r="T19" s="192"/>
      <c r="U19" s="193"/>
    </row>
    <row r="20" spans="1:21" ht="62.75" customHeight="1">
      <c r="A20" s="85"/>
      <c r="B20" s="37">
        <f>ROW()-13</f>
        <v>7</v>
      </c>
      <c r="C20" s="145" t="s">
        <v>204</v>
      </c>
      <c r="D20" s="80"/>
      <c r="E20" s="81"/>
      <c r="F20" s="146"/>
      <c r="G20" s="17"/>
      <c r="H20" s="18" t="s">
        <v>49</v>
      </c>
      <c r="I20" s="59"/>
      <c r="J20" s="19">
        <v>1</v>
      </c>
      <c r="K20" s="19"/>
      <c r="L20" s="50" t="s">
        <v>189</v>
      </c>
      <c r="M20" s="73" t="s">
        <v>21</v>
      </c>
      <c r="N20" s="54">
        <f t="shared" si="0"/>
        <v>1</v>
      </c>
      <c r="O20" s="170"/>
      <c r="P20" s="251" t="s">
        <v>265</v>
      </c>
      <c r="Q20" s="192"/>
      <c r="R20" s="192"/>
      <c r="S20" s="192"/>
      <c r="T20" s="192"/>
      <c r="U20" s="193"/>
    </row>
    <row r="21" spans="1:21" ht="27.5" customHeight="1">
      <c r="A21" s="85"/>
      <c r="B21" s="37">
        <f>ROW()-13</f>
        <v>8</v>
      </c>
      <c r="C21" s="145" t="s">
        <v>207</v>
      </c>
      <c r="D21" s="80"/>
      <c r="E21" s="81"/>
      <c r="F21" s="146"/>
      <c r="G21" s="17"/>
      <c r="H21" s="18" t="s">
        <v>49</v>
      </c>
      <c r="I21" s="59"/>
      <c r="J21" s="19">
        <v>1</v>
      </c>
      <c r="K21" s="19"/>
      <c r="L21" s="50" t="s">
        <v>189</v>
      </c>
      <c r="M21" s="73" t="s">
        <v>21</v>
      </c>
      <c r="N21" s="54">
        <f t="shared" si="0"/>
        <v>1</v>
      </c>
      <c r="O21" s="170"/>
      <c r="P21" s="251" t="s">
        <v>208</v>
      </c>
      <c r="Q21" s="192"/>
      <c r="R21" s="192"/>
      <c r="S21" s="192"/>
      <c r="T21" s="192"/>
      <c r="U21" s="193"/>
    </row>
    <row r="22" spans="1:21" ht="15.75" customHeight="1">
      <c r="A22" s="85"/>
      <c r="B22" s="37">
        <f>ROW()-13</f>
        <v>9</v>
      </c>
      <c r="C22" s="145" t="s">
        <v>382</v>
      </c>
      <c r="D22" s="80"/>
      <c r="E22" s="81"/>
      <c r="F22" s="146"/>
      <c r="G22" s="17"/>
      <c r="H22" s="18" t="s">
        <v>211</v>
      </c>
      <c r="I22" s="59"/>
      <c r="J22" s="19"/>
      <c r="K22" s="19"/>
      <c r="L22" s="50"/>
      <c r="M22" s="73" t="s">
        <v>21</v>
      </c>
      <c r="N22" s="54">
        <f t="shared" si="0"/>
        <v>0</v>
      </c>
      <c r="O22" s="170"/>
      <c r="P22" s="191"/>
      <c r="Q22" s="192"/>
      <c r="R22" s="192"/>
      <c r="S22" s="192"/>
      <c r="T22" s="192"/>
      <c r="U22" s="193"/>
    </row>
    <row r="23" spans="1:21" ht="15.75" customHeight="1">
      <c r="A23" s="85"/>
      <c r="B23" s="37">
        <f>ROW()-13</f>
        <v>10</v>
      </c>
      <c r="C23" s="145" t="s">
        <v>266</v>
      </c>
      <c r="D23" s="80"/>
      <c r="E23" s="81"/>
      <c r="F23" s="146"/>
      <c r="G23" s="17"/>
      <c r="H23" s="18" t="s">
        <v>24</v>
      </c>
      <c r="I23" s="59"/>
      <c r="J23" s="19"/>
      <c r="K23" s="19"/>
      <c r="L23" s="50"/>
      <c r="M23" s="73" t="s">
        <v>21</v>
      </c>
      <c r="N23" s="54">
        <f t="shared" si="0"/>
        <v>7</v>
      </c>
      <c r="O23" s="170"/>
      <c r="P23" s="191"/>
      <c r="Q23" s="192"/>
      <c r="R23" s="192"/>
      <c r="S23" s="192"/>
      <c r="T23" s="192"/>
      <c r="U23" s="193"/>
    </row>
    <row r="24" spans="1:21" ht="15.75" customHeight="1">
      <c r="A24" s="85"/>
      <c r="B24" s="37">
        <f>ROW()-13</f>
        <v>11</v>
      </c>
      <c r="C24" s="145" t="s">
        <v>267</v>
      </c>
      <c r="D24" s="80"/>
      <c r="E24" s="81"/>
      <c r="F24" s="146"/>
      <c r="G24" s="17"/>
      <c r="H24" s="18" t="s">
        <v>54</v>
      </c>
      <c r="I24" s="59"/>
      <c r="J24" s="19"/>
      <c r="K24" s="19"/>
      <c r="L24" s="50"/>
      <c r="M24" s="73" t="s">
        <v>21</v>
      </c>
      <c r="N24" s="54">
        <f t="shared" si="0"/>
        <v>0</v>
      </c>
      <c r="O24" s="170"/>
      <c r="P24" s="191"/>
      <c r="Q24" s="192"/>
      <c r="R24" s="192"/>
      <c r="S24" s="192"/>
      <c r="T24" s="192"/>
      <c r="U24" s="193"/>
    </row>
    <row r="25" spans="1:21" ht="15.75" customHeight="1">
      <c r="A25" s="85"/>
      <c r="B25" s="37">
        <f>ROW()-13</f>
        <v>12</v>
      </c>
      <c r="C25" s="145" t="s">
        <v>268</v>
      </c>
      <c r="D25" s="80"/>
      <c r="E25" s="81"/>
      <c r="F25" s="146"/>
      <c r="G25" s="17"/>
      <c r="H25" s="18" t="s">
        <v>49</v>
      </c>
      <c r="I25" s="59"/>
      <c r="J25" s="19">
        <v>1</v>
      </c>
      <c r="K25" s="19"/>
      <c r="L25" s="50"/>
      <c r="M25" s="73" t="s">
        <v>21</v>
      </c>
      <c r="N25" s="54">
        <f t="shared" si="0"/>
        <v>1</v>
      </c>
      <c r="O25" s="170"/>
      <c r="P25" s="191" t="s">
        <v>383</v>
      </c>
      <c r="Q25" s="192"/>
      <c r="R25" s="192"/>
      <c r="S25" s="192"/>
      <c r="T25" s="192"/>
      <c r="U25" s="193"/>
    </row>
    <row r="26" spans="1:21" ht="15.75" customHeight="1">
      <c r="A26" s="85"/>
      <c r="B26" s="37">
        <f>ROW()-13</f>
        <v>13</v>
      </c>
      <c r="C26" s="145" t="s">
        <v>273</v>
      </c>
      <c r="D26" s="80"/>
      <c r="E26" s="81"/>
      <c r="F26" s="146"/>
      <c r="G26" s="17"/>
      <c r="H26" s="18" t="s">
        <v>49</v>
      </c>
      <c r="I26" s="59"/>
      <c r="J26" s="19">
        <v>5</v>
      </c>
      <c r="K26" s="19"/>
      <c r="L26" s="50"/>
      <c r="M26" s="73" t="s">
        <v>21</v>
      </c>
      <c r="N26" s="54">
        <f t="shared" si="0"/>
        <v>5</v>
      </c>
      <c r="O26" s="170"/>
      <c r="P26" s="191"/>
      <c r="Q26" s="192"/>
      <c r="R26" s="192"/>
      <c r="S26" s="192"/>
      <c r="T26" s="192"/>
      <c r="U26" s="193"/>
    </row>
    <row r="27" spans="1:21" ht="15.75" customHeight="1">
      <c r="A27" s="85"/>
      <c r="B27" s="37">
        <f>ROW()-13</f>
        <v>14</v>
      </c>
      <c r="C27" s="145" t="s">
        <v>384</v>
      </c>
      <c r="D27" s="80"/>
      <c r="E27" s="81"/>
      <c r="F27" s="146"/>
      <c r="G27" s="17"/>
      <c r="H27" s="18" t="s">
        <v>49</v>
      </c>
      <c r="I27" s="59"/>
      <c r="J27" s="19">
        <v>3</v>
      </c>
      <c r="K27" s="19"/>
      <c r="L27" s="50"/>
      <c r="M27" s="73" t="s">
        <v>21</v>
      </c>
      <c r="N27" s="54">
        <f t="shared" si="0"/>
        <v>3</v>
      </c>
      <c r="O27" s="170"/>
      <c r="P27" s="191"/>
      <c r="Q27" s="192"/>
      <c r="R27" s="192"/>
      <c r="S27" s="192"/>
      <c r="T27" s="192"/>
      <c r="U27" s="193"/>
    </row>
    <row r="28" spans="1:21" ht="15.75" customHeight="1">
      <c r="A28" s="85"/>
      <c r="B28" s="37">
        <f>ROW()-13</f>
        <v>15</v>
      </c>
      <c r="C28" s="145" t="s">
        <v>271</v>
      </c>
      <c r="D28" s="80"/>
      <c r="E28" s="81"/>
      <c r="F28" s="146"/>
      <c r="G28" s="17"/>
      <c r="H28" s="18" t="s">
        <v>49</v>
      </c>
      <c r="I28" s="59"/>
      <c r="J28" s="19">
        <v>4</v>
      </c>
      <c r="K28" s="19"/>
      <c r="L28" s="50"/>
      <c r="M28" s="73" t="s">
        <v>21</v>
      </c>
      <c r="N28" s="54">
        <f t="shared" si="0"/>
        <v>4</v>
      </c>
      <c r="O28" s="170"/>
      <c r="P28" s="191"/>
      <c r="Q28" s="192"/>
      <c r="R28" s="192"/>
      <c r="S28" s="192"/>
      <c r="T28" s="192"/>
      <c r="U28" s="193"/>
    </row>
    <row r="29" spans="1:21" ht="15.75" customHeight="1">
      <c r="A29" s="85"/>
      <c r="B29" s="37">
        <f>ROW()-13</f>
        <v>16</v>
      </c>
      <c r="C29" s="145" t="s">
        <v>385</v>
      </c>
      <c r="D29" s="80"/>
      <c r="E29" s="81"/>
      <c r="F29" s="146"/>
      <c r="G29" s="17"/>
      <c r="H29" s="18" t="s">
        <v>49</v>
      </c>
      <c r="I29" s="59"/>
      <c r="J29" s="19">
        <v>10</v>
      </c>
      <c r="K29" s="19"/>
      <c r="L29" s="50"/>
      <c r="M29" s="73" t="s">
        <v>21</v>
      </c>
      <c r="N29" s="54">
        <f t="shared" si="0"/>
        <v>10</v>
      </c>
      <c r="O29" s="170"/>
      <c r="P29" s="191"/>
      <c r="Q29" s="192"/>
      <c r="R29" s="192"/>
      <c r="S29" s="192"/>
      <c r="T29" s="192"/>
      <c r="U29" s="193"/>
    </row>
    <row r="30" spans="1:21" ht="15.75" customHeight="1">
      <c r="A30" s="85"/>
      <c r="B30" s="37">
        <f>ROW()-13</f>
        <v>17</v>
      </c>
      <c r="C30" s="145" t="s">
        <v>272</v>
      </c>
      <c r="D30" s="80"/>
      <c r="E30" s="81"/>
      <c r="F30" s="146"/>
      <c r="G30" s="17"/>
      <c r="H30" s="18" t="s">
        <v>49</v>
      </c>
      <c r="I30" s="59"/>
      <c r="J30" s="19">
        <v>10</v>
      </c>
      <c r="K30" s="19"/>
      <c r="L30" s="50"/>
      <c r="M30" s="73" t="s">
        <v>21</v>
      </c>
      <c r="N30" s="54">
        <f t="shared" si="0"/>
        <v>10</v>
      </c>
      <c r="O30" s="170"/>
      <c r="P30" s="191"/>
      <c r="Q30" s="192"/>
      <c r="R30" s="192"/>
      <c r="S30" s="192"/>
      <c r="T30" s="192"/>
      <c r="U30" s="193"/>
    </row>
    <row r="31" spans="1:21" ht="15.75" customHeight="1">
      <c r="A31" s="85"/>
      <c r="B31" s="37">
        <f>ROW()-13</f>
        <v>18</v>
      </c>
      <c r="C31" s="145" t="s">
        <v>191</v>
      </c>
      <c r="D31" s="80"/>
      <c r="E31" s="81"/>
      <c r="F31" s="146"/>
      <c r="G31" s="17"/>
      <c r="H31" s="18" t="s">
        <v>49</v>
      </c>
      <c r="I31" s="59"/>
      <c r="J31" s="19">
        <v>7</v>
      </c>
      <c r="K31" s="19"/>
      <c r="L31" s="50"/>
      <c r="M31" s="73" t="s">
        <v>21</v>
      </c>
      <c r="N31" s="54">
        <f t="shared" si="0"/>
        <v>7</v>
      </c>
      <c r="O31" s="170"/>
      <c r="P31" s="191" t="s">
        <v>386</v>
      </c>
      <c r="Q31" s="192"/>
      <c r="R31" s="192"/>
      <c r="S31" s="192"/>
      <c r="T31" s="192"/>
      <c r="U31" s="193"/>
    </row>
    <row r="32" spans="1:21" ht="15.75" customHeight="1">
      <c r="A32" s="85"/>
      <c r="B32" s="37">
        <f>ROW()-13</f>
        <v>19</v>
      </c>
      <c r="C32" s="145" t="s">
        <v>387</v>
      </c>
      <c r="D32" s="80"/>
      <c r="E32" s="81"/>
      <c r="F32" s="146"/>
      <c r="G32" s="17"/>
      <c r="H32" s="18" t="s">
        <v>24</v>
      </c>
      <c r="I32" s="59"/>
      <c r="J32" s="19"/>
      <c r="K32" s="19"/>
      <c r="L32" s="50"/>
      <c r="M32" s="73" t="s">
        <v>21</v>
      </c>
      <c r="N32" s="54">
        <f t="shared" si="0"/>
        <v>7</v>
      </c>
      <c r="O32" s="170"/>
      <c r="P32" s="191"/>
      <c r="Q32" s="192"/>
      <c r="R32" s="192"/>
      <c r="S32" s="192"/>
      <c r="T32" s="192"/>
      <c r="U32" s="193"/>
    </row>
    <row r="33" spans="1:21" ht="15.75" customHeight="1">
      <c r="A33" s="85"/>
      <c r="B33" s="37">
        <f>ROW()-13</f>
        <v>20</v>
      </c>
      <c r="C33" s="145" t="s">
        <v>388</v>
      </c>
      <c r="D33" s="80"/>
      <c r="E33" s="81"/>
      <c r="F33" s="146"/>
      <c r="G33" s="17"/>
      <c r="H33" s="18" t="s">
        <v>54</v>
      </c>
      <c r="I33" s="59"/>
      <c r="J33" s="19"/>
      <c r="K33" s="19"/>
      <c r="L33" s="50"/>
      <c r="M33" s="73" t="s">
        <v>21</v>
      </c>
      <c r="N33" s="54">
        <f t="shared" si="0"/>
        <v>0</v>
      </c>
      <c r="O33" s="170"/>
      <c r="P33" s="191"/>
      <c r="Q33" s="192"/>
      <c r="R33" s="192"/>
      <c r="S33" s="192"/>
      <c r="T33" s="192"/>
      <c r="U33" s="193"/>
    </row>
    <row r="34" spans="1:21" ht="15.75" customHeight="1">
      <c r="A34" s="85"/>
      <c r="B34" s="37">
        <f>ROW()-13</f>
        <v>21</v>
      </c>
      <c r="C34" s="145" t="s">
        <v>389</v>
      </c>
      <c r="D34" s="80"/>
      <c r="E34" s="81"/>
      <c r="F34" s="146"/>
      <c r="G34" s="17"/>
      <c r="H34" s="18" t="s">
        <v>49</v>
      </c>
      <c r="I34" s="59"/>
      <c r="J34" s="19">
        <v>3</v>
      </c>
      <c r="K34" s="19"/>
      <c r="L34" s="50"/>
      <c r="M34" s="73" t="s">
        <v>21</v>
      </c>
      <c r="N34" s="54">
        <f t="shared" si="0"/>
        <v>3</v>
      </c>
      <c r="O34" s="170"/>
      <c r="P34" s="191"/>
      <c r="Q34" s="192"/>
      <c r="R34" s="192"/>
      <c r="S34" s="192"/>
      <c r="T34" s="192"/>
      <c r="U34" s="193"/>
    </row>
    <row r="35" spans="1:21" ht="15.75" customHeight="1">
      <c r="A35" s="85"/>
      <c r="B35" s="37">
        <f>ROW()-13</f>
        <v>22</v>
      </c>
      <c r="C35" s="145" t="s">
        <v>274</v>
      </c>
      <c r="D35" s="80"/>
      <c r="E35" s="81"/>
      <c r="F35" s="146"/>
      <c r="G35" s="17"/>
      <c r="H35" s="18" t="s">
        <v>56</v>
      </c>
      <c r="I35" s="59"/>
      <c r="J35" s="19">
        <v>1</v>
      </c>
      <c r="K35" s="19">
        <v>0</v>
      </c>
      <c r="L35" s="50"/>
      <c r="M35" s="73" t="s">
        <v>21</v>
      </c>
      <c r="N35" s="54">
        <f t="shared" si="0"/>
        <v>1</v>
      </c>
      <c r="O35" s="170">
        <v>0</v>
      </c>
      <c r="P35" s="191"/>
      <c r="Q35" s="192"/>
      <c r="R35" s="192"/>
      <c r="S35" s="192"/>
      <c r="T35" s="192"/>
      <c r="U35" s="193"/>
    </row>
    <row r="36" spans="1:21" ht="15.75" customHeight="1">
      <c r="A36" s="85"/>
      <c r="B36" s="37">
        <f>ROW()-13</f>
        <v>23</v>
      </c>
      <c r="C36" s="145" t="s">
        <v>275</v>
      </c>
      <c r="D36" s="80"/>
      <c r="E36" s="81"/>
      <c r="F36" s="146"/>
      <c r="G36" s="17"/>
      <c r="H36" s="18" t="s">
        <v>49</v>
      </c>
      <c r="I36" s="59"/>
      <c r="J36" s="19">
        <v>1</v>
      </c>
      <c r="K36" s="19"/>
      <c r="L36" s="50"/>
      <c r="M36" s="73" t="s">
        <v>21</v>
      </c>
      <c r="N36" s="54">
        <f t="shared" si="0"/>
        <v>1</v>
      </c>
      <c r="O36" s="170"/>
      <c r="P36" s="191" t="s">
        <v>171</v>
      </c>
      <c r="Q36" s="192"/>
      <c r="R36" s="192"/>
      <c r="S36" s="192"/>
      <c r="T36" s="192"/>
      <c r="U36" s="193"/>
    </row>
    <row r="37" spans="1:21" ht="27.5" customHeight="1">
      <c r="A37" s="85"/>
      <c r="B37" s="37">
        <f>ROW()-13</f>
        <v>24</v>
      </c>
      <c r="C37" s="145" t="s">
        <v>227</v>
      </c>
      <c r="D37" s="80"/>
      <c r="E37" s="81"/>
      <c r="F37" s="146"/>
      <c r="G37" s="17"/>
      <c r="H37" s="18" t="s">
        <v>49</v>
      </c>
      <c r="I37" s="59"/>
      <c r="J37" s="19">
        <v>1</v>
      </c>
      <c r="K37" s="19"/>
      <c r="L37" s="50" t="s">
        <v>189</v>
      </c>
      <c r="M37" s="73" t="s">
        <v>21</v>
      </c>
      <c r="N37" s="54">
        <f t="shared" si="0"/>
        <v>1</v>
      </c>
      <c r="O37" s="170"/>
      <c r="P37" s="251" t="s">
        <v>269</v>
      </c>
      <c r="Q37" s="192"/>
      <c r="R37" s="192"/>
      <c r="S37" s="192"/>
      <c r="T37" s="192"/>
      <c r="U37" s="193"/>
    </row>
    <row r="38" spans="1:21" ht="27.5" customHeight="1">
      <c r="A38" s="85"/>
      <c r="B38" s="37">
        <f>ROW()-13</f>
        <v>25</v>
      </c>
      <c r="C38" s="145" t="s">
        <v>390</v>
      </c>
      <c r="D38" s="80"/>
      <c r="E38" s="81"/>
      <c r="F38" s="146"/>
      <c r="G38" s="17"/>
      <c r="H38" s="18" t="s">
        <v>49</v>
      </c>
      <c r="I38" s="59"/>
      <c r="J38" s="19">
        <v>1</v>
      </c>
      <c r="K38" s="19"/>
      <c r="L38" s="50"/>
      <c r="M38" s="73" t="s">
        <v>21</v>
      </c>
      <c r="N38" s="54">
        <f t="shared" si="0"/>
        <v>1</v>
      </c>
      <c r="O38" s="170"/>
      <c r="P38" s="251" t="s">
        <v>391</v>
      </c>
      <c r="Q38" s="192"/>
      <c r="R38" s="192"/>
      <c r="S38" s="192"/>
      <c r="T38" s="192"/>
      <c r="U38" s="193"/>
    </row>
    <row r="39" spans="1:21" ht="15.5">
      <c r="A39" s="85"/>
      <c r="B39" s="37">
        <f t="shared" ref="B39:B45" si="1">ROW()-13</f>
        <v>26</v>
      </c>
      <c r="C39" s="107" t="s">
        <v>36</v>
      </c>
      <c r="D39" s="107"/>
      <c r="E39" s="108"/>
      <c r="F39" s="109" t="s">
        <v>78</v>
      </c>
      <c r="G39" s="110"/>
      <c r="H39" s="18" t="s">
        <v>51</v>
      </c>
      <c r="I39" s="59"/>
      <c r="J39" s="113">
        <v>12</v>
      </c>
      <c r="K39" s="113"/>
      <c r="L39" s="114"/>
      <c r="M39" s="115" t="s">
        <v>35</v>
      </c>
      <c r="N39" s="116">
        <f t="shared" si="0"/>
        <v>12</v>
      </c>
      <c r="O39" s="171"/>
      <c r="P39" s="197"/>
      <c r="Q39" s="198"/>
      <c r="R39" s="198"/>
      <c r="S39" s="198"/>
      <c r="T39" s="198"/>
      <c r="U39" s="199"/>
    </row>
    <row r="40" spans="1:21" ht="15.5">
      <c r="A40" s="85"/>
      <c r="B40" s="37">
        <f t="shared" si="1"/>
        <v>27</v>
      </c>
      <c r="C40" s="107" t="s">
        <v>37</v>
      </c>
      <c r="D40" s="107"/>
      <c r="E40" s="108"/>
      <c r="F40" s="109" t="s">
        <v>43</v>
      </c>
      <c r="G40" s="110"/>
      <c r="H40" s="18" t="s">
        <v>51</v>
      </c>
      <c r="I40" s="59"/>
      <c r="J40" s="113">
        <v>10</v>
      </c>
      <c r="K40" s="113"/>
      <c r="L40" s="114"/>
      <c r="M40" s="115" t="s">
        <v>21</v>
      </c>
      <c r="N40" s="116">
        <f t="shared" si="0"/>
        <v>10</v>
      </c>
      <c r="O40" s="171"/>
      <c r="P40" s="197"/>
      <c r="Q40" s="198"/>
      <c r="R40" s="198"/>
      <c r="S40" s="198"/>
      <c r="T40" s="198"/>
      <c r="U40" s="199"/>
    </row>
    <row r="41" spans="1:21" ht="15.5">
      <c r="A41" s="85"/>
      <c r="B41" s="37">
        <f t="shared" si="1"/>
        <v>28</v>
      </c>
      <c r="C41" s="107" t="s">
        <v>38</v>
      </c>
      <c r="D41" s="107"/>
      <c r="E41" s="108"/>
      <c r="F41" s="109" t="s">
        <v>80</v>
      </c>
      <c r="G41" s="110"/>
      <c r="H41" s="18" t="s">
        <v>86</v>
      </c>
      <c r="I41" s="59"/>
      <c r="J41" s="113"/>
      <c r="K41" s="113"/>
      <c r="L41" s="114"/>
      <c r="M41" s="115" t="s">
        <v>21</v>
      </c>
      <c r="N41" s="116">
        <f t="shared" si="0"/>
        <v>0</v>
      </c>
      <c r="O41" s="171"/>
      <c r="P41" s="197"/>
      <c r="Q41" s="198"/>
      <c r="R41" s="198"/>
      <c r="S41" s="198"/>
      <c r="T41" s="198"/>
      <c r="U41" s="199"/>
    </row>
    <row r="42" spans="1:21" ht="15.5">
      <c r="A42" s="85"/>
      <c r="B42" s="37">
        <f t="shared" si="1"/>
        <v>29</v>
      </c>
      <c r="C42" s="107" t="s">
        <v>39</v>
      </c>
      <c r="D42" s="107"/>
      <c r="E42" s="108"/>
      <c r="F42" s="109" t="s">
        <v>79</v>
      </c>
      <c r="G42" s="110"/>
      <c r="H42" s="18" t="s">
        <v>51</v>
      </c>
      <c r="I42" s="59"/>
      <c r="J42" s="113">
        <v>12</v>
      </c>
      <c r="K42" s="113"/>
      <c r="L42" s="114"/>
      <c r="M42" s="115" t="s">
        <v>35</v>
      </c>
      <c r="N42" s="116">
        <f t="shared" si="0"/>
        <v>12</v>
      </c>
      <c r="O42" s="171"/>
      <c r="P42" s="197"/>
      <c r="Q42" s="198"/>
      <c r="R42" s="198"/>
      <c r="S42" s="198"/>
      <c r="T42" s="198"/>
      <c r="U42" s="199"/>
    </row>
    <row r="43" spans="1:21" ht="15.5">
      <c r="A43" s="85"/>
      <c r="B43" s="37">
        <f t="shared" si="1"/>
        <v>30</v>
      </c>
      <c r="C43" s="107" t="s">
        <v>40</v>
      </c>
      <c r="D43" s="107"/>
      <c r="E43" s="108"/>
      <c r="F43" s="109" t="s">
        <v>44</v>
      </c>
      <c r="G43" s="110"/>
      <c r="H43" s="18" t="s">
        <v>51</v>
      </c>
      <c r="I43" s="59"/>
      <c r="J43" s="113">
        <v>10</v>
      </c>
      <c r="K43" s="113"/>
      <c r="L43" s="114"/>
      <c r="M43" s="115" t="s">
        <v>21</v>
      </c>
      <c r="N43" s="116">
        <f t="shared" si="0"/>
        <v>10</v>
      </c>
      <c r="O43" s="171"/>
      <c r="P43" s="197"/>
      <c r="Q43" s="198"/>
      <c r="R43" s="198"/>
      <c r="S43" s="198"/>
      <c r="T43" s="198"/>
      <c r="U43" s="199"/>
    </row>
    <row r="44" spans="1:21" ht="15.5">
      <c r="A44" s="85"/>
      <c r="B44" s="37">
        <f t="shared" si="1"/>
        <v>31</v>
      </c>
      <c r="C44" s="107" t="s">
        <v>41</v>
      </c>
      <c r="D44" s="107"/>
      <c r="E44" s="108"/>
      <c r="F44" s="109" t="s">
        <v>81</v>
      </c>
      <c r="G44" s="110"/>
      <c r="H44" s="18" t="s">
        <v>86</v>
      </c>
      <c r="I44" s="59"/>
      <c r="J44" s="113"/>
      <c r="K44" s="113"/>
      <c r="L44" s="114"/>
      <c r="M44" s="115" t="s">
        <v>21</v>
      </c>
      <c r="N44" s="116">
        <f t="shared" si="0"/>
        <v>0</v>
      </c>
      <c r="O44" s="171"/>
      <c r="P44" s="197"/>
      <c r="Q44" s="198"/>
      <c r="R44" s="198"/>
      <c r="S44" s="198"/>
      <c r="T44" s="198"/>
      <c r="U44" s="199"/>
    </row>
    <row r="45" spans="1:21" ht="15.5">
      <c r="A45" s="85"/>
      <c r="B45" s="37">
        <f t="shared" si="1"/>
        <v>32</v>
      </c>
      <c r="C45" s="80" t="s">
        <v>46</v>
      </c>
      <c r="D45" s="80"/>
      <c r="E45" s="81"/>
      <c r="F45" s="84" t="s">
        <v>71</v>
      </c>
      <c r="G45" s="17"/>
      <c r="H45" s="18" t="s">
        <v>62</v>
      </c>
      <c r="I45" s="59"/>
      <c r="J45" s="19">
        <v>8</v>
      </c>
      <c r="K45" s="19"/>
      <c r="L45" s="50" t="s">
        <v>47</v>
      </c>
      <c r="M45" s="73" t="s">
        <v>35</v>
      </c>
      <c r="N45" s="54">
        <f t="shared" si="0"/>
        <v>8</v>
      </c>
      <c r="O45" s="170">
        <v>0</v>
      </c>
      <c r="P45" s="191" t="s">
        <v>48</v>
      </c>
      <c r="Q45" s="192"/>
      <c r="R45" s="192"/>
      <c r="S45" s="192"/>
      <c r="T45" s="192"/>
      <c r="U45" s="193"/>
    </row>
    <row r="46" spans="1:21" ht="16" thickBot="1">
      <c r="A46" s="118"/>
      <c r="B46" s="119"/>
      <c r="C46" s="120"/>
      <c r="D46" s="120"/>
      <c r="E46" s="121"/>
      <c r="F46" s="129"/>
      <c r="G46" s="122"/>
      <c r="H46" s="147"/>
      <c r="I46" s="148"/>
      <c r="J46" s="125"/>
      <c r="K46" s="125"/>
      <c r="L46" s="126"/>
      <c r="M46" s="126"/>
      <c r="N46" s="127"/>
      <c r="O46" s="172"/>
      <c r="P46" s="194"/>
      <c r="Q46" s="195"/>
      <c r="R46" s="195"/>
      <c r="S46" s="195"/>
      <c r="T46" s="195"/>
      <c r="U46" s="196"/>
    </row>
  </sheetData>
  <mergeCells count="63">
    <mergeCell ref="P46:U46"/>
    <mergeCell ref="P40:U40"/>
    <mergeCell ref="P41:U41"/>
    <mergeCell ref="P42:U42"/>
    <mergeCell ref="P43:U43"/>
    <mergeCell ref="P44:U44"/>
    <mergeCell ref="P45:U45"/>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673"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28674"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28675"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28676"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28677"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28678"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E208E1EE-B6F1-4FE4-B143-7E95D4E987F7}">
            <xm:f>(AND(H14&lt;&gt;"",ISERROR(VLOOKUP(H14,system!$E:$E,1,FALSE))))</xm:f>
            <x14:dxf>
              <fill>
                <patternFill patternType="solid">
                  <bgColor rgb="FFFF0000"/>
                </patternFill>
              </fill>
            </x14:dxf>
          </x14:cfRule>
          <xm:sqref>H14:H38</xm:sqref>
        </x14:conditionalFormatting>
        <x14:conditionalFormatting xmlns:xm="http://schemas.microsoft.com/office/excel/2006/main">
          <x14:cfRule type="expression" priority="3" id="{2DEE5418-40D4-441A-8DA6-625C45352CDD}">
            <xm:f>(AND(H14&lt;&gt;"",ISERROR(VLOOKUP(H14,system!$E:$E,1,FALSE))))</xm:f>
            <x14:dxf>
              <fill>
                <patternFill>
                  <bgColor rgb="FFFF0000"/>
                </patternFill>
              </fill>
            </x14:dxf>
          </x14:cfRule>
          <xm:sqref>I14:I38</xm:sqref>
        </x14:conditionalFormatting>
        <x14:conditionalFormatting xmlns:xm="http://schemas.microsoft.com/office/excel/2006/main">
          <x14:cfRule type="expression" priority="2" id="{1E84D324-1B6B-4CA6-83B5-0EDBBFEFA41D}">
            <xm:f>(AND(H39&lt;&gt;"",ISERROR(VLOOKUP(H39,system!$E:$E,1,FALSE))))</xm:f>
            <x14:dxf>
              <fill>
                <patternFill patternType="solid">
                  <bgColor rgb="FFFF0000"/>
                </patternFill>
              </fill>
            </x14:dxf>
          </x14:cfRule>
          <xm:sqref>H39:H46</xm:sqref>
        </x14:conditionalFormatting>
        <x14:conditionalFormatting xmlns:xm="http://schemas.microsoft.com/office/excel/2006/main">
          <x14:cfRule type="expression" priority="1" id="{764AF3A3-ABC2-4851-8AA5-34758E47326C}">
            <xm:f>(AND(H39&lt;&gt;"",ISERROR(VLOOKUP(H39,system!$E:$E,1,FALSE))))</xm:f>
            <x14:dxf>
              <fill>
                <patternFill>
                  <bgColor rgb="FFFF0000"/>
                </patternFill>
              </fill>
            </x14:dxf>
          </x14:cfRule>
          <xm:sqref>I39:I46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FA692-09EF-48E5-8D5E-896D000CAA68}">
  <sheetPr codeName="Sheet28">
    <pageSetUpPr fitToPage="1"/>
  </sheetPr>
  <dimension ref="A1:U3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393</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144</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SUM(N14:N38)</f>
        <v>130</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36" si="0">IF(H14="NUMBER",IF(J14&gt;0,INT((J14+1)/2+0.9),0),IF(H14="DATE",7,IF(OR(H14="LONG",H14="LONG RAW"),100000,J14)))</f>
        <v>1</v>
      </c>
      <c r="O14" s="170"/>
      <c r="P14" s="191" t="s">
        <v>175</v>
      </c>
      <c r="Q14" s="192"/>
      <c r="R14" s="192"/>
      <c r="S14" s="192"/>
      <c r="T14" s="192"/>
      <c r="U14" s="193"/>
    </row>
    <row r="15" spans="1:21" ht="15.75" customHeight="1">
      <c r="A15" s="85"/>
      <c r="B15" s="37">
        <f>ROW()-13</f>
        <v>2</v>
      </c>
      <c r="C15" s="145" t="s">
        <v>381</v>
      </c>
      <c r="D15" s="80"/>
      <c r="E15" s="81"/>
      <c r="F15" s="146"/>
      <c r="G15" s="17"/>
      <c r="H15" s="18" t="s">
        <v>49</v>
      </c>
      <c r="I15" s="59"/>
      <c r="J15" s="19">
        <v>7</v>
      </c>
      <c r="K15" s="19"/>
      <c r="L15" s="50" t="s">
        <v>189</v>
      </c>
      <c r="M15" s="73" t="s">
        <v>21</v>
      </c>
      <c r="N15" s="54">
        <f t="shared" si="0"/>
        <v>7</v>
      </c>
      <c r="O15" s="170"/>
      <c r="P15" s="191"/>
      <c r="Q15" s="192"/>
      <c r="R15" s="192"/>
      <c r="S15" s="192"/>
      <c r="T15" s="192"/>
      <c r="U15" s="193"/>
    </row>
    <row r="16" spans="1:21" ht="15.75" customHeight="1">
      <c r="A16" s="85"/>
      <c r="B16" s="37">
        <f>ROW()-13</f>
        <v>3</v>
      </c>
      <c r="C16" s="145" t="s">
        <v>195</v>
      </c>
      <c r="D16" s="80"/>
      <c r="E16" s="81"/>
      <c r="F16" s="146"/>
      <c r="G16" s="17"/>
      <c r="H16" s="18" t="s">
        <v>49</v>
      </c>
      <c r="I16" s="59"/>
      <c r="J16" s="19">
        <v>12</v>
      </c>
      <c r="K16" s="19"/>
      <c r="L16" s="50"/>
      <c r="M16" s="73" t="s">
        <v>21</v>
      </c>
      <c r="N16" s="54">
        <f t="shared" si="0"/>
        <v>12</v>
      </c>
      <c r="O16" s="170"/>
      <c r="P16" s="191"/>
      <c r="Q16" s="192"/>
      <c r="R16" s="192"/>
      <c r="S16" s="192"/>
      <c r="T16" s="192"/>
      <c r="U16" s="193"/>
    </row>
    <row r="17" spans="1:21" ht="15.75" customHeight="1">
      <c r="A17" s="85"/>
      <c r="B17" s="37">
        <f>ROW()-13</f>
        <v>4</v>
      </c>
      <c r="C17" s="145" t="s">
        <v>197</v>
      </c>
      <c r="D17" s="80"/>
      <c r="E17" s="81"/>
      <c r="F17" s="146"/>
      <c r="G17" s="17"/>
      <c r="H17" s="18" t="s">
        <v>49</v>
      </c>
      <c r="I17" s="59"/>
      <c r="J17" s="19">
        <v>1</v>
      </c>
      <c r="K17" s="19"/>
      <c r="L17" s="50" t="s">
        <v>189</v>
      </c>
      <c r="M17" s="73" t="s">
        <v>21</v>
      </c>
      <c r="N17" s="54">
        <f t="shared" si="0"/>
        <v>1</v>
      </c>
      <c r="O17" s="170"/>
      <c r="P17" s="191" t="s">
        <v>175</v>
      </c>
      <c r="Q17" s="192"/>
      <c r="R17" s="192"/>
      <c r="S17" s="192"/>
      <c r="T17" s="192"/>
      <c r="U17" s="193"/>
    </row>
    <row r="18" spans="1:21" ht="15.75" customHeight="1">
      <c r="A18" s="85"/>
      <c r="B18" s="37">
        <f>ROW()-13</f>
        <v>5</v>
      </c>
      <c r="C18" s="145" t="s">
        <v>199</v>
      </c>
      <c r="D18" s="80"/>
      <c r="E18" s="81"/>
      <c r="F18" s="146"/>
      <c r="G18" s="17"/>
      <c r="H18" s="18" t="s">
        <v>51</v>
      </c>
      <c r="I18" s="59"/>
      <c r="J18" s="19">
        <v>25</v>
      </c>
      <c r="K18" s="19"/>
      <c r="L18" s="50" t="s">
        <v>189</v>
      </c>
      <c r="M18" s="73" t="s">
        <v>21</v>
      </c>
      <c r="N18" s="54">
        <f t="shared" si="0"/>
        <v>25</v>
      </c>
      <c r="O18" s="170"/>
      <c r="P18" s="191"/>
      <c r="Q18" s="192"/>
      <c r="R18" s="192"/>
      <c r="S18" s="192"/>
      <c r="T18" s="192"/>
      <c r="U18" s="193"/>
    </row>
    <row r="19" spans="1:21" ht="15.75" customHeight="1">
      <c r="A19" s="85"/>
      <c r="B19" s="37">
        <f>ROW()-13</f>
        <v>6</v>
      </c>
      <c r="C19" s="145" t="s">
        <v>201</v>
      </c>
      <c r="D19" s="80"/>
      <c r="E19" s="81"/>
      <c r="F19" s="146"/>
      <c r="G19" s="17"/>
      <c r="H19" s="18" t="s">
        <v>51</v>
      </c>
      <c r="I19" s="59"/>
      <c r="J19" s="19">
        <v>4</v>
      </c>
      <c r="K19" s="19"/>
      <c r="L19" s="50" t="s">
        <v>189</v>
      </c>
      <c r="M19" s="73" t="s">
        <v>21</v>
      </c>
      <c r="N19" s="54">
        <f t="shared" si="0"/>
        <v>4</v>
      </c>
      <c r="O19" s="170"/>
      <c r="P19" s="191" t="s">
        <v>203</v>
      </c>
      <c r="Q19" s="192"/>
      <c r="R19" s="192"/>
      <c r="S19" s="192"/>
      <c r="T19" s="192"/>
      <c r="U19" s="193"/>
    </row>
    <row r="20" spans="1:21" ht="62.75" customHeight="1">
      <c r="A20" s="85"/>
      <c r="B20" s="37">
        <f>ROW()-13</f>
        <v>7</v>
      </c>
      <c r="C20" s="145" t="s">
        <v>204</v>
      </c>
      <c r="D20" s="80"/>
      <c r="E20" s="81"/>
      <c r="F20" s="146"/>
      <c r="G20" s="17"/>
      <c r="H20" s="18" t="s">
        <v>49</v>
      </c>
      <c r="I20" s="59"/>
      <c r="J20" s="19">
        <v>1</v>
      </c>
      <c r="K20" s="19"/>
      <c r="L20" s="50" t="s">
        <v>189</v>
      </c>
      <c r="M20" s="73" t="s">
        <v>21</v>
      </c>
      <c r="N20" s="54">
        <f t="shared" si="0"/>
        <v>1</v>
      </c>
      <c r="O20" s="170"/>
      <c r="P20" s="251" t="s">
        <v>265</v>
      </c>
      <c r="Q20" s="192"/>
      <c r="R20" s="192"/>
      <c r="S20" s="192"/>
      <c r="T20" s="192"/>
      <c r="U20" s="193"/>
    </row>
    <row r="21" spans="1:21" ht="27.5" customHeight="1">
      <c r="A21" s="85"/>
      <c r="B21" s="37">
        <f>ROW()-13</f>
        <v>8</v>
      </c>
      <c r="C21" s="145" t="s">
        <v>207</v>
      </c>
      <c r="D21" s="80"/>
      <c r="E21" s="81"/>
      <c r="F21" s="146"/>
      <c r="G21" s="17"/>
      <c r="H21" s="18" t="s">
        <v>49</v>
      </c>
      <c r="I21" s="59"/>
      <c r="J21" s="19">
        <v>1</v>
      </c>
      <c r="K21" s="19"/>
      <c r="L21" s="50" t="s">
        <v>189</v>
      </c>
      <c r="M21" s="73" t="s">
        <v>21</v>
      </c>
      <c r="N21" s="54">
        <f t="shared" si="0"/>
        <v>1</v>
      </c>
      <c r="O21" s="170"/>
      <c r="P21" s="251" t="s">
        <v>208</v>
      </c>
      <c r="Q21" s="192"/>
      <c r="R21" s="192"/>
      <c r="S21" s="192"/>
      <c r="T21" s="192"/>
      <c r="U21" s="193"/>
    </row>
    <row r="22" spans="1:21" ht="15.75" customHeight="1">
      <c r="A22" s="85"/>
      <c r="B22" s="37">
        <f>ROW()-13</f>
        <v>9</v>
      </c>
      <c r="C22" s="145" t="s">
        <v>394</v>
      </c>
      <c r="D22" s="80"/>
      <c r="E22" s="81"/>
      <c r="F22" s="146"/>
      <c r="G22" s="17"/>
      <c r="H22" s="18" t="s">
        <v>211</v>
      </c>
      <c r="I22" s="59"/>
      <c r="J22" s="19"/>
      <c r="K22" s="19"/>
      <c r="L22" s="50"/>
      <c r="M22" s="73" t="s">
        <v>21</v>
      </c>
      <c r="N22" s="54">
        <f t="shared" si="0"/>
        <v>0</v>
      </c>
      <c r="O22" s="170"/>
      <c r="P22" s="191"/>
      <c r="Q22" s="192"/>
      <c r="R22" s="192"/>
      <c r="S22" s="192"/>
      <c r="T22" s="192"/>
      <c r="U22" s="193"/>
    </row>
    <row r="23" spans="1:21" ht="15.75" customHeight="1">
      <c r="A23" s="85"/>
      <c r="B23" s="37">
        <f>ROW()-13</f>
        <v>10</v>
      </c>
      <c r="C23" s="145" t="s">
        <v>266</v>
      </c>
      <c r="D23" s="80"/>
      <c r="E23" s="81"/>
      <c r="F23" s="146"/>
      <c r="G23" s="17"/>
      <c r="H23" s="18" t="s">
        <v>24</v>
      </c>
      <c r="I23" s="59"/>
      <c r="J23" s="19"/>
      <c r="K23" s="19"/>
      <c r="L23" s="50"/>
      <c r="M23" s="73" t="s">
        <v>21</v>
      </c>
      <c r="N23" s="54">
        <f t="shared" si="0"/>
        <v>7</v>
      </c>
      <c r="O23" s="170"/>
      <c r="P23" s="191"/>
      <c r="Q23" s="192"/>
      <c r="R23" s="192"/>
      <c r="S23" s="192"/>
      <c r="T23" s="192"/>
      <c r="U23" s="193"/>
    </row>
    <row r="24" spans="1:21" ht="15.75" customHeight="1">
      <c r="A24" s="85"/>
      <c r="B24" s="37">
        <f>ROW()-13</f>
        <v>11</v>
      </c>
      <c r="C24" s="145" t="s">
        <v>267</v>
      </c>
      <c r="D24" s="80"/>
      <c r="E24" s="81"/>
      <c r="F24" s="146"/>
      <c r="G24" s="17"/>
      <c r="H24" s="18" t="s">
        <v>54</v>
      </c>
      <c r="I24" s="59"/>
      <c r="J24" s="19"/>
      <c r="K24" s="19"/>
      <c r="L24" s="50"/>
      <c r="M24" s="73" t="s">
        <v>21</v>
      </c>
      <c r="N24" s="54">
        <f t="shared" si="0"/>
        <v>0</v>
      </c>
      <c r="O24" s="170"/>
      <c r="P24" s="191"/>
      <c r="Q24" s="192"/>
      <c r="R24" s="192"/>
      <c r="S24" s="192"/>
      <c r="T24" s="192"/>
      <c r="U24" s="193"/>
    </row>
    <row r="25" spans="1:21" ht="15.75" customHeight="1">
      <c r="A25" s="85"/>
      <c r="B25" s="37">
        <f>ROW()-13</f>
        <v>12</v>
      </c>
      <c r="C25" s="145" t="s">
        <v>273</v>
      </c>
      <c r="D25" s="80"/>
      <c r="E25" s="81"/>
      <c r="F25" s="146"/>
      <c r="G25" s="17"/>
      <c r="H25" s="18" t="s">
        <v>49</v>
      </c>
      <c r="I25" s="59"/>
      <c r="J25" s="19">
        <v>5</v>
      </c>
      <c r="K25" s="19"/>
      <c r="L25" s="50"/>
      <c r="M25" s="73" t="s">
        <v>21</v>
      </c>
      <c r="N25" s="54">
        <f t="shared" si="0"/>
        <v>5</v>
      </c>
      <c r="O25" s="170"/>
      <c r="P25" s="191"/>
      <c r="Q25" s="192"/>
      <c r="R25" s="192"/>
      <c r="S25" s="192"/>
      <c r="T25" s="192"/>
      <c r="U25" s="193"/>
    </row>
    <row r="26" spans="1:21" ht="15.75" customHeight="1">
      <c r="A26" s="85"/>
      <c r="B26" s="37">
        <f>ROW()-13</f>
        <v>13</v>
      </c>
      <c r="C26" s="145" t="s">
        <v>384</v>
      </c>
      <c r="D26" s="80"/>
      <c r="E26" s="81"/>
      <c r="F26" s="146"/>
      <c r="G26" s="17"/>
      <c r="H26" s="18" t="s">
        <v>49</v>
      </c>
      <c r="I26" s="59"/>
      <c r="J26" s="19">
        <v>3</v>
      </c>
      <c r="K26" s="19"/>
      <c r="L26" s="50"/>
      <c r="M26" s="73" t="s">
        <v>21</v>
      </c>
      <c r="N26" s="54">
        <f t="shared" si="0"/>
        <v>3</v>
      </c>
      <c r="O26" s="170"/>
      <c r="P26" s="191"/>
      <c r="Q26" s="192"/>
      <c r="R26" s="192"/>
      <c r="S26" s="192"/>
      <c r="T26" s="192"/>
      <c r="U26" s="193"/>
    </row>
    <row r="27" spans="1:21" ht="15.75" customHeight="1">
      <c r="A27" s="85"/>
      <c r="B27" s="37">
        <f>ROW()-13</f>
        <v>14</v>
      </c>
      <c r="C27" s="145" t="s">
        <v>271</v>
      </c>
      <c r="D27" s="80"/>
      <c r="E27" s="81"/>
      <c r="F27" s="146"/>
      <c r="G27" s="17"/>
      <c r="H27" s="18" t="s">
        <v>49</v>
      </c>
      <c r="I27" s="59"/>
      <c r="J27" s="19">
        <v>4</v>
      </c>
      <c r="K27" s="19"/>
      <c r="L27" s="50"/>
      <c r="M27" s="73" t="s">
        <v>21</v>
      </c>
      <c r="N27" s="54">
        <f t="shared" si="0"/>
        <v>4</v>
      </c>
      <c r="O27" s="170"/>
      <c r="P27" s="191"/>
      <c r="Q27" s="192"/>
      <c r="R27" s="192"/>
      <c r="S27" s="192"/>
      <c r="T27" s="192"/>
      <c r="U27" s="193"/>
    </row>
    <row r="28" spans="1:21" ht="15.75" customHeight="1">
      <c r="A28" s="85"/>
      <c r="B28" s="37">
        <f>ROW()-13</f>
        <v>15</v>
      </c>
      <c r="C28" s="145" t="s">
        <v>387</v>
      </c>
      <c r="D28" s="80"/>
      <c r="E28" s="81"/>
      <c r="F28" s="146"/>
      <c r="G28" s="17"/>
      <c r="H28" s="18" t="s">
        <v>24</v>
      </c>
      <c r="I28" s="59"/>
      <c r="J28" s="19"/>
      <c r="K28" s="19"/>
      <c r="L28" s="50"/>
      <c r="M28" s="73" t="s">
        <v>21</v>
      </c>
      <c r="N28" s="54">
        <f t="shared" si="0"/>
        <v>7</v>
      </c>
      <c r="O28" s="170"/>
      <c r="P28" s="191"/>
      <c r="Q28" s="192"/>
      <c r="R28" s="192"/>
      <c r="S28" s="192"/>
      <c r="T28" s="192"/>
      <c r="U28" s="193"/>
    </row>
    <row r="29" spans="1:21" ht="15.75" customHeight="1">
      <c r="A29" s="85"/>
      <c r="B29" s="37">
        <f>ROW()-13</f>
        <v>16</v>
      </c>
      <c r="C29" s="145" t="s">
        <v>388</v>
      </c>
      <c r="D29" s="80"/>
      <c r="E29" s="81"/>
      <c r="F29" s="146"/>
      <c r="G29" s="17"/>
      <c r="H29" s="18" t="s">
        <v>54</v>
      </c>
      <c r="I29" s="59"/>
      <c r="J29" s="19"/>
      <c r="K29" s="19"/>
      <c r="L29" s="50"/>
      <c r="M29" s="73" t="s">
        <v>21</v>
      </c>
      <c r="N29" s="54">
        <f t="shared" si="0"/>
        <v>0</v>
      </c>
      <c r="O29" s="170"/>
      <c r="P29" s="191"/>
      <c r="Q29" s="192"/>
      <c r="R29" s="192"/>
      <c r="S29" s="192"/>
      <c r="T29" s="192"/>
      <c r="U29" s="193"/>
    </row>
    <row r="30" spans="1:21" ht="15.5">
      <c r="A30" s="85"/>
      <c r="B30" s="37">
        <f t="shared" ref="B30:B36" si="1">ROW()-13</f>
        <v>17</v>
      </c>
      <c r="C30" s="107" t="s">
        <v>36</v>
      </c>
      <c r="D30" s="107"/>
      <c r="E30" s="108"/>
      <c r="F30" s="109" t="s">
        <v>78</v>
      </c>
      <c r="G30" s="110"/>
      <c r="H30" s="18" t="s">
        <v>51</v>
      </c>
      <c r="I30" s="59"/>
      <c r="J30" s="113">
        <v>12</v>
      </c>
      <c r="K30" s="113"/>
      <c r="L30" s="114"/>
      <c r="M30" s="115" t="s">
        <v>35</v>
      </c>
      <c r="N30" s="116">
        <f t="shared" si="0"/>
        <v>12</v>
      </c>
      <c r="O30" s="171"/>
      <c r="P30" s="197"/>
      <c r="Q30" s="198"/>
      <c r="R30" s="198"/>
      <c r="S30" s="198"/>
      <c r="T30" s="198"/>
      <c r="U30" s="199"/>
    </row>
    <row r="31" spans="1:21" ht="15.5">
      <c r="A31" s="85"/>
      <c r="B31" s="37">
        <f t="shared" si="1"/>
        <v>18</v>
      </c>
      <c r="C31" s="107" t="s">
        <v>37</v>
      </c>
      <c r="D31" s="107"/>
      <c r="E31" s="108"/>
      <c r="F31" s="109" t="s">
        <v>43</v>
      </c>
      <c r="G31" s="110"/>
      <c r="H31" s="18" t="s">
        <v>51</v>
      </c>
      <c r="I31" s="59"/>
      <c r="J31" s="113">
        <v>10</v>
      </c>
      <c r="K31" s="113"/>
      <c r="L31" s="114"/>
      <c r="M31" s="115" t="s">
        <v>21</v>
      </c>
      <c r="N31" s="116">
        <f t="shared" si="0"/>
        <v>10</v>
      </c>
      <c r="O31" s="171"/>
      <c r="P31" s="197"/>
      <c r="Q31" s="198"/>
      <c r="R31" s="198"/>
      <c r="S31" s="198"/>
      <c r="T31" s="198"/>
      <c r="U31" s="199"/>
    </row>
    <row r="32" spans="1:21" ht="15.5">
      <c r="A32" s="85"/>
      <c r="B32" s="37">
        <f t="shared" si="1"/>
        <v>19</v>
      </c>
      <c r="C32" s="107" t="s">
        <v>38</v>
      </c>
      <c r="D32" s="107"/>
      <c r="E32" s="108"/>
      <c r="F32" s="109" t="s">
        <v>80</v>
      </c>
      <c r="G32" s="110"/>
      <c r="H32" s="18" t="s">
        <v>86</v>
      </c>
      <c r="I32" s="59"/>
      <c r="J32" s="113"/>
      <c r="K32" s="113"/>
      <c r="L32" s="114"/>
      <c r="M32" s="115" t="s">
        <v>21</v>
      </c>
      <c r="N32" s="116">
        <f t="shared" si="0"/>
        <v>0</v>
      </c>
      <c r="O32" s="171"/>
      <c r="P32" s="197"/>
      <c r="Q32" s="198"/>
      <c r="R32" s="198"/>
      <c r="S32" s="198"/>
      <c r="T32" s="198"/>
      <c r="U32" s="199"/>
    </row>
    <row r="33" spans="1:21" ht="15.5">
      <c r="A33" s="85"/>
      <c r="B33" s="37">
        <f t="shared" si="1"/>
        <v>20</v>
      </c>
      <c r="C33" s="107" t="s">
        <v>39</v>
      </c>
      <c r="D33" s="107"/>
      <c r="E33" s="108"/>
      <c r="F33" s="109" t="s">
        <v>79</v>
      </c>
      <c r="G33" s="110"/>
      <c r="H33" s="18" t="s">
        <v>51</v>
      </c>
      <c r="I33" s="59"/>
      <c r="J33" s="113">
        <v>12</v>
      </c>
      <c r="K33" s="113"/>
      <c r="L33" s="114"/>
      <c r="M33" s="115" t="s">
        <v>35</v>
      </c>
      <c r="N33" s="116">
        <f t="shared" si="0"/>
        <v>12</v>
      </c>
      <c r="O33" s="171"/>
      <c r="P33" s="197"/>
      <c r="Q33" s="198"/>
      <c r="R33" s="198"/>
      <c r="S33" s="198"/>
      <c r="T33" s="198"/>
      <c r="U33" s="199"/>
    </row>
    <row r="34" spans="1:21" ht="15.5">
      <c r="A34" s="85"/>
      <c r="B34" s="37">
        <f t="shared" si="1"/>
        <v>21</v>
      </c>
      <c r="C34" s="107" t="s">
        <v>40</v>
      </c>
      <c r="D34" s="107"/>
      <c r="E34" s="108"/>
      <c r="F34" s="109" t="s">
        <v>44</v>
      </c>
      <c r="G34" s="110"/>
      <c r="H34" s="18" t="s">
        <v>51</v>
      </c>
      <c r="I34" s="59"/>
      <c r="J34" s="113">
        <v>10</v>
      </c>
      <c r="K34" s="113"/>
      <c r="L34" s="114"/>
      <c r="M34" s="115" t="s">
        <v>21</v>
      </c>
      <c r="N34" s="116">
        <f t="shared" si="0"/>
        <v>10</v>
      </c>
      <c r="O34" s="171"/>
      <c r="P34" s="197"/>
      <c r="Q34" s="198"/>
      <c r="R34" s="198"/>
      <c r="S34" s="198"/>
      <c r="T34" s="198"/>
      <c r="U34" s="199"/>
    </row>
    <row r="35" spans="1:21" ht="15.5">
      <c r="A35" s="85"/>
      <c r="B35" s="37">
        <f t="shared" si="1"/>
        <v>22</v>
      </c>
      <c r="C35" s="107" t="s">
        <v>41</v>
      </c>
      <c r="D35" s="107"/>
      <c r="E35" s="108"/>
      <c r="F35" s="109" t="s">
        <v>81</v>
      </c>
      <c r="G35" s="110"/>
      <c r="H35" s="18" t="s">
        <v>86</v>
      </c>
      <c r="I35" s="59"/>
      <c r="J35" s="113"/>
      <c r="K35" s="113"/>
      <c r="L35" s="114"/>
      <c r="M35" s="115" t="s">
        <v>21</v>
      </c>
      <c r="N35" s="116">
        <f t="shared" si="0"/>
        <v>0</v>
      </c>
      <c r="O35" s="171"/>
      <c r="P35" s="197"/>
      <c r="Q35" s="198"/>
      <c r="R35" s="198"/>
      <c r="S35" s="198"/>
      <c r="T35" s="198"/>
      <c r="U35" s="199"/>
    </row>
    <row r="36" spans="1:21" ht="15.5">
      <c r="A36" s="85"/>
      <c r="B36" s="37">
        <f t="shared" si="1"/>
        <v>23</v>
      </c>
      <c r="C36" s="80" t="s">
        <v>46</v>
      </c>
      <c r="D36" s="80"/>
      <c r="E36" s="81"/>
      <c r="F36" s="84" t="s">
        <v>71</v>
      </c>
      <c r="G36" s="17"/>
      <c r="H36" s="18" t="s">
        <v>62</v>
      </c>
      <c r="I36" s="59"/>
      <c r="J36" s="19">
        <v>8</v>
      </c>
      <c r="K36" s="19"/>
      <c r="L36" s="50" t="s">
        <v>47</v>
      </c>
      <c r="M36" s="73" t="s">
        <v>35</v>
      </c>
      <c r="N36" s="54">
        <f t="shared" si="0"/>
        <v>8</v>
      </c>
      <c r="O36" s="170">
        <v>0</v>
      </c>
      <c r="P36" s="191" t="s">
        <v>48</v>
      </c>
      <c r="Q36" s="192"/>
      <c r="R36" s="192"/>
      <c r="S36" s="192"/>
      <c r="T36" s="192"/>
      <c r="U36" s="193"/>
    </row>
    <row r="37" spans="1:21" ht="16" thickBot="1">
      <c r="A37" s="118"/>
      <c r="B37" s="119"/>
      <c r="C37" s="120"/>
      <c r="D37" s="120"/>
      <c r="E37" s="121"/>
      <c r="F37" s="129"/>
      <c r="G37" s="122"/>
      <c r="H37" s="147"/>
      <c r="I37" s="148"/>
      <c r="J37" s="125"/>
      <c r="K37" s="125"/>
      <c r="L37" s="126"/>
      <c r="M37" s="126"/>
      <c r="N37" s="127"/>
      <c r="O37" s="172"/>
      <c r="P37" s="194"/>
      <c r="Q37" s="195"/>
      <c r="R37" s="195"/>
      <c r="S37" s="195"/>
      <c r="T37" s="195"/>
      <c r="U37" s="196"/>
    </row>
  </sheetData>
  <mergeCells count="54">
    <mergeCell ref="P34:U34"/>
    <mergeCell ref="P35:U35"/>
    <mergeCell ref="P36:U36"/>
    <mergeCell ref="P37:U37"/>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29698"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29699"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29700"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29701"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29702"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9916DDC-4B92-4B0C-88F1-57C893A705E8}">
            <xm:f>(AND(H14&lt;&gt;"",ISERROR(VLOOKUP(H14,system!$E:$E,1,FALSE))))</xm:f>
            <x14:dxf>
              <fill>
                <patternFill patternType="solid">
                  <bgColor rgb="FFFF0000"/>
                </patternFill>
              </fill>
            </x14:dxf>
          </x14:cfRule>
          <xm:sqref>H14:H29</xm:sqref>
        </x14:conditionalFormatting>
        <x14:conditionalFormatting xmlns:xm="http://schemas.microsoft.com/office/excel/2006/main">
          <x14:cfRule type="expression" priority="3" id="{5FF9700D-A934-4122-8F17-CA87355E93DD}">
            <xm:f>(AND(H14&lt;&gt;"",ISERROR(VLOOKUP(H14,system!$E:$E,1,FALSE))))</xm:f>
            <x14:dxf>
              <fill>
                <patternFill>
                  <bgColor rgb="FFFF0000"/>
                </patternFill>
              </fill>
            </x14:dxf>
          </x14:cfRule>
          <xm:sqref>I14:I29</xm:sqref>
        </x14:conditionalFormatting>
        <x14:conditionalFormatting xmlns:xm="http://schemas.microsoft.com/office/excel/2006/main">
          <x14:cfRule type="expression" priority="2" id="{61C13452-1AAD-4ADF-9AEF-BAAFD6D3FEF3}">
            <xm:f>(AND(H30&lt;&gt;"",ISERROR(VLOOKUP(H30,system!$E:$E,1,FALSE))))</xm:f>
            <x14:dxf>
              <fill>
                <patternFill patternType="solid">
                  <bgColor rgb="FFFF0000"/>
                </patternFill>
              </fill>
            </x14:dxf>
          </x14:cfRule>
          <xm:sqref>H30:H37</xm:sqref>
        </x14:conditionalFormatting>
        <x14:conditionalFormatting xmlns:xm="http://schemas.microsoft.com/office/excel/2006/main">
          <x14:cfRule type="expression" priority="1" id="{8587DD06-D086-42D2-A47E-E5464A415668}">
            <xm:f>(AND(H30&lt;&gt;"",ISERROR(VLOOKUP(H30,system!$E:$E,1,FALSE))))</xm:f>
            <x14:dxf>
              <fill>
                <patternFill>
                  <bgColor rgb="FFFF0000"/>
                </patternFill>
              </fill>
            </x14:dxf>
          </x14:cfRule>
          <xm:sqref>I30:I37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923D3-CF02-4D33-AAD0-7268A518EFC8}">
  <sheetPr codeName="Sheet29">
    <pageSetUpPr fitToPage="1"/>
  </sheetPr>
  <dimension ref="A1:U3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397</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145</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SUM(N14:N36)</f>
        <v>99</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398</v>
      </c>
      <c r="D14" s="80"/>
      <c r="E14" s="81"/>
      <c r="F14" s="146"/>
      <c r="G14" s="17"/>
      <c r="H14" s="18" t="s">
        <v>49</v>
      </c>
      <c r="I14" s="59"/>
      <c r="J14" s="19">
        <v>1</v>
      </c>
      <c r="K14" s="19"/>
      <c r="L14" s="50" t="s">
        <v>189</v>
      </c>
      <c r="M14" s="73" t="s">
        <v>21</v>
      </c>
      <c r="N14" s="54">
        <f t="shared" ref="N14:N34" si="0">IF(H14="NUMBER",IF(J14&gt;0,INT((J14+1)/2+0.9),0),IF(H14="DATE",7,IF(OR(H14="LONG",H14="LONG RAW"),100000,J14)))</f>
        <v>1</v>
      </c>
      <c r="O14" s="170"/>
      <c r="P14" s="191" t="s">
        <v>175</v>
      </c>
      <c r="Q14" s="192"/>
      <c r="R14" s="192"/>
      <c r="S14" s="192"/>
      <c r="T14" s="192"/>
      <c r="U14" s="193"/>
    </row>
    <row r="15" spans="1:21" ht="15.75" customHeight="1">
      <c r="A15" s="85"/>
      <c r="B15" s="37">
        <f>ROW()-13</f>
        <v>2</v>
      </c>
      <c r="C15" s="145" t="s">
        <v>195</v>
      </c>
      <c r="D15" s="80"/>
      <c r="E15" s="81"/>
      <c r="F15" s="146"/>
      <c r="G15" s="17"/>
      <c r="H15" s="18" t="s">
        <v>49</v>
      </c>
      <c r="I15" s="59"/>
      <c r="J15" s="19">
        <v>12</v>
      </c>
      <c r="K15" s="19"/>
      <c r="L15" s="50"/>
      <c r="M15" s="73" t="s">
        <v>21</v>
      </c>
      <c r="N15" s="54">
        <f t="shared" si="0"/>
        <v>12</v>
      </c>
      <c r="O15" s="170"/>
      <c r="P15" s="191"/>
      <c r="Q15" s="192"/>
      <c r="R15" s="192"/>
      <c r="S15" s="192"/>
      <c r="T15" s="192"/>
      <c r="U15" s="193"/>
    </row>
    <row r="16" spans="1:21" ht="15.75" customHeight="1">
      <c r="A16" s="85" t="s">
        <v>190</v>
      </c>
      <c r="B16" s="37">
        <f>ROW()-13</f>
        <v>3</v>
      </c>
      <c r="C16" s="145" t="s">
        <v>197</v>
      </c>
      <c r="D16" s="80"/>
      <c r="E16" s="81"/>
      <c r="F16" s="146"/>
      <c r="G16" s="17"/>
      <c r="H16" s="18" t="s">
        <v>49</v>
      </c>
      <c r="I16" s="59"/>
      <c r="J16" s="19">
        <v>1</v>
      </c>
      <c r="K16" s="19"/>
      <c r="L16" s="50" t="s">
        <v>189</v>
      </c>
      <c r="M16" s="73" t="s">
        <v>21</v>
      </c>
      <c r="N16" s="54">
        <f t="shared" si="0"/>
        <v>1</v>
      </c>
      <c r="O16" s="170"/>
      <c r="P16" s="191" t="s">
        <v>175</v>
      </c>
      <c r="Q16" s="192"/>
      <c r="R16" s="192"/>
      <c r="S16" s="192"/>
      <c r="T16" s="192"/>
      <c r="U16" s="193"/>
    </row>
    <row r="17" spans="1:21" ht="15.75" customHeight="1">
      <c r="A17" s="85" t="s">
        <v>190</v>
      </c>
      <c r="B17" s="37">
        <f>ROW()-13</f>
        <v>4</v>
      </c>
      <c r="C17" s="145" t="s">
        <v>199</v>
      </c>
      <c r="D17" s="80"/>
      <c r="E17" s="81"/>
      <c r="F17" s="146"/>
      <c r="G17" s="17"/>
      <c r="H17" s="18" t="s">
        <v>51</v>
      </c>
      <c r="I17" s="59"/>
      <c r="J17" s="19">
        <v>25</v>
      </c>
      <c r="K17" s="19"/>
      <c r="L17" s="50" t="s">
        <v>189</v>
      </c>
      <c r="M17" s="73" t="s">
        <v>21</v>
      </c>
      <c r="N17" s="54">
        <f t="shared" si="0"/>
        <v>25</v>
      </c>
      <c r="O17" s="170"/>
      <c r="P17" s="191"/>
      <c r="Q17" s="192"/>
      <c r="R17" s="192"/>
      <c r="S17" s="192"/>
      <c r="T17" s="192"/>
      <c r="U17" s="193"/>
    </row>
    <row r="18" spans="1:21" ht="15.75" customHeight="1">
      <c r="A18" s="85" t="s">
        <v>190</v>
      </c>
      <c r="B18" s="37">
        <f>ROW()-13</f>
        <v>5</v>
      </c>
      <c r="C18" s="145" t="s">
        <v>201</v>
      </c>
      <c r="D18" s="80"/>
      <c r="E18" s="81"/>
      <c r="F18" s="146"/>
      <c r="G18" s="17"/>
      <c r="H18" s="18" t="s">
        <v>51</v>
      </c>
      <c r="I18" s="59"/>
      <c r="J18" s="19">
        <v>4</v>
      </c>
      <c r="K18" s="19"/>
      <c r="L18" s="50" t="s">
        <v>189</v>
      </c>
      <c r="M18" s="73" t="s">
        <v>21</v>
      </c>
      <c r="N18" s="54">
        <f t="shared" si="0"/>
        <v>4</v>
      </c>
      <c r="O18" s="170"/>
      <c r="P18" s="191" t="s">
        <v>203</v>
      </c>
      <c r="Q18" s="192"/>
      <c r="R18" s="192"/>
      <c r="S18" s="192"/>
      <c r="T18" s="192"/>
      <c r="U18" s="193"/>
    </row>
    <row r="19" spans="1:21" ht="62.75" customHeight="1">
      <c r="A19" s="85" t="s">
        <v>190</v>
      </c>
      <c r="B19" s="37">
        <f>ROW()-13</f>
        <v>6</v>
      </c>
      <c r="C19" s="145" t="s">
        <v>204</v>
      </c>
      <c r="D19" s="80"/>
      <c r="E19" s="81"/>
      <c r="F19" s="146"/>
      <c r="G19" s="17"/>
      <c r="H19" s="18" t="s">
        <v>49</v>
      </c>
      <c r="I19" s="59"/>
      <c r="J19" s="19">
        <v>1</v>
      </c>
      <c r="K19" s="19"/>
      <c r="L19" s="50" t="s">
        <v>189</v>
      </c>
      <c r="M19" s="73" t="s">
        <v>21</v>
      </c>
      <c r="N19" s="54">
        <f t="shared" si="0"/>
        <v>1</v>
      </c>
      <c r="O19" s="170"/>
      <c r="P19" s="251" t="s">
        <v>265</v>
      </c>
      <c r="Q19" s="192"/>
      <c r="R19" s="192"/>
      <c r="S19" s="192"/>
      <c r="T19" s="192"/>
      <c r="U19" s="193"/>
    </row>
    <row r="20" spans="1:21" ht="27.5" customHeight="1">
      <c r="A20" s="85" t="s">
        <v>190</v>
      </c>
      <c r="B20" s="37">
        <f>ROW()-13</f>
        <v>7</v>
      </c>
      <c r="C20" s="145" t="s">
        <v>207</v>
      </c>
      <c r="D20" s="80"/>
      <c r="E20" s="81"/>
      <c r="F20" s="146"/>
      <c r="G20" s="17"/>
      <c r="H20" s="18" t="s">
        <v>49</v>
      </c>
      <c r="I20" s="59"/>
      <c r="J20" s="19">
        <v>1</v>
      </c>
      <c r="K20" s="19"/>
      <c r="L20" s="50" t="s">
        <v>189</v>
      </c>
      <c r="M20" s="73" t="s">
        <v>21</v>
      </c>
      <c r="N20" s="54">
        <f t="shared" si="0"/>
        <v>1</v>
      </c>
      <c r="O20" s="170"/>
      <c r="P20" s="251" t="s">
        <v>208</v>
      </c>
      <c r="Q20" s="192"/>
      <c r="R20" s="192"/>
      <c r="S20" s="192"/>
      <c r="T20" s="192"/>
      <c r="U20" s="193"/>
    </row>
    <row r="21" spans="1:21" ht="15.75" customHeight="1">
      <c r="A21" s="85"/>
      <c r="B21" s="37">
        <f>ROW()-13</f>
        <v>8</v>
      </c>
      <c r="C21" s="145" t="s">
        <v>193</v>
      </c>
      <c r="D21" s="80"/>
      <c r="E21" s="81"/>
      <c r="F21" s="146"/>
      <c r="G21" s="17"/>
      <c r="H21" s="18" t="s">
        <v>49</v>
      </c>
      <c r="I21" s="59"/>
      <c r="J21" s="19">
        <v>2</v>
      </c>
      <c r="K21" s="19"/>
      <c r="L21" s="50"/>
      <c r="M21" s="73" t="s">
        <v>21</v>
      </c>
      <c r="N21" s="54">
        <f t="shared" si="0"/>
        <v>2</v>
      </c>
      <c r="O21" s="170"/>
      <c r="P21" s="191" t="s">
        <v>162</v>
      </c>
      <c r="Q21" s="192"/>
      <c r="R21" s="192"/>
      <c r="S21" s="192"/>
      <c r="T21" s="192"/>
      <c r="U21" s="193"/>
    </row>
    <row r="22" spans="1:21" ht="15.75" customHeight="1">
      <c r="A22" s="85"/>
      <c r="B22" s="37">
        <f>ROW()-13</f>
        <v>9</v>
      </c>
      <c r="C22" s="145" t="s">
        <v>399</v>
      </c>
      <c r="D22" s="80"/>
      <c r="E22" s="81"/>
      <c r="F22" s="146"/>
      <c r="G22" s="17"/>
      <c r="H22" s="18" t="s">
        <v>211</v>
      </c>
      <c r="I22" s="59"/>
      <c r="J22" s="19"/>
      <c r="K22" s="19"/>
      <c r="L22" s="50"/>
      <c r="M22" s="73" t="s">
        <v>21</v>
      </c>
      <c r="N22" s="54">
        <f t="shared" si="0"/>
        <v>0</v>
      </c>
      <c r="O22" s="170"/>
      <c r="P22" s="191"/>
      <c r="Q22" s="192"/>
      <c r="R22" s="192"/>
      <c r="S22" s="192"/>
      <c r="T22" s="192"/>
      <c r="U22" s="193"/>
    </row>
    <row r="23" spans="1:21" ht="15.75" customHeight="1">
      <c r="A23" s="85"/>
      <c r="B23" s="37">
        <f>ROW()-13</f>
        <v>10</v>
      </c>
      <c r="C23" s="145" t="s">
        <v>400</v>
      </c>
      <c r="D23" s="80"/>
      <c r="E23" s="81"/>
      <c r="F23" s="146"/>
      <c r="G23" s="17"/>
      <c r="H23" s="18" t="s">
        <v>211</v>
      </c>
      <c r="I23" s="59"/>
      <c r="J23" s="19"/>
      <c r="K23" s="19"/>
      <c r="L23" s="50"/>
      <c r="M23" s="73" t="s">
        <v>21</v>
      </c>
      <c r="N23" s="54">
        <f t="shared" si="0"/>
        <v>0</v>
      </c>
      <c r="O23" s="170"/>
      <c r="P23" s="191"/>
      <c r="Q23" s="192"/>
      <c r="R23" s="192"/>
      <c r="S23" s="192"/>
      <c r="T23" s="192"/>
      <c r="U23" s="193"/>
    </row>
    <row r="24" spans="1:21" ht="15.75" customHeight="1">
      <c r="A24" s="85"/>
      <c r="B24" s="37">
        <f>ROW()-13</f>
        <v>11</v>
      </c>
      <c r="C24" s="145" t="s">
        <v>401</v>
      </c>
      <c r="D24" s="80"/>
      <c r="E24" s="81"/>
      <c r="F24" s="146"/>
      <c r="G24" s="17"/>
      <c r="H24" s="18" t="s">
        <v>211</v>
      </c>
      <c r="I24" s="59"/>
      <c r="J24" s="19"/>
      <c r="K24" s="19"/>
      <c r="L24" s="50"/>
      <c r="M24" s="73" t="s">
        <v>21</v>
      </c>
      <c r="N24" s="54">
        <f t="shared" si="0"/>
        <v>0</v>
      </c>
      <c r="O24" s="170"/>
      <c r="P24" s="191"/>
      <c r="Q24" s="192"/>
      <c r="R24" s="192"/>
      <c r="S24" s="192"/>
      <c r="T24" s="192"/>
      <c r="U24" s="193"/>
    </row>
    <row r="25" spans="1:21" ht="15.75" customHeight="1">
      <c r="A25" s="85"/>
      <c r="B25" s="37">
        <f>ROW()-13</f>
        <v>12</v>
      </c>
      <c r="C25" s="145" t="s">
        <v>402</v>
      </c>
      <c r="D25" s="80"/>
      <c r="E25" s="81"/>
      <c r="F25" s="146"/>
      <c r="G25" s="17"/>
      <c r="H25" s="18" t="s">
        <v>211</v>
      </c>
      <c r="I25" s="59"/>
      <c r="J25" s="19"/>
      <c r="K25" s="19"/>
      <c r="L25" s="50"/>
      <c r="M25" s="73" t="s">
        <v>21</v>
      </c>
      <c r="N25" s="54">
        <f t="shared" si="0"/>
        <v>0</v>
      </c>
      <c r="O25" s="170"/>
      <c r="P25" s="191"/>
      <c r="Q25" s="192"/>
      <c r="R25" s="192"/>
      <c r="S25" s="192"/>
      <c r="T25" s="192"/>
      <c r="U25" s="193"/>
    </row>
    <row r="26" spans="1:21" ht="15.75" customHeight="1">
      <c r="A26" s="85"/>
      <c r="B26" s="37">
        <f>ROW()-13</f>
        <v>13</v>
      </c>
      <c r="C26" s="145" t="s">
        <v>403</v>
      </c>
      <c r="D26" s="80"/>
      <c r="E26" s="81"/>
      <c r="F26" s="146"/>
      <c r="G26" s="17"/>
      <c r="H26" s="18" t="s">
        <v>211</v>
      </c>
      <c r="I26" s="59"/>
      <c r="J26" s="19"/>
      <c r="K26" s="19"/>
      <c r="L26" s="50"/>
      <c r="M26" s="73" t="s">
        <v>21</v>
      </c>
      <c r="N26" s="54">
        <f t="shared" si="0"/>
        <v>0</v>
      </c>
      <c r="O26" s="170"/>
      <c r="P26" s="191" t="s">
        <v>404</v>
      </c>
      <c r="Q26" s="192"/>
      <c r="R26" s="192"/>
      <c r="S26" s="192"/>
      <c r="T26" s="192"/>
      <c r="U26" s="193"/>
    </row>
    <row r="27" spans="1:21" ht="15.75" customHeight="1">
      <c r="A27" s="85"/>
      <c r="B27" s="37">
        <f>ROW()-13</f>
        <v>14</v>
      </c>
      <c r="C27" s="145" t="s">
        <v>405</v>
      </c>
      <c r="D27" s="80"/>
      <c r="E27" s="81"/>
      <c r="F27" s="146"/>
      <c r="G27" s="17"/>
      <c r="H27" s="18" t="s">
        <v>211</v>
      </c>
      <c r="I27" s="59"/>
      <c r="J27" s="19"/>
      <c r="K27" s="19"/>
      <c r="L27" s="50"/>
      <c r="M27" s="73" t="s">
        <v>21</v>
      </c>
      <c r="N27" s="54">
        <f t="shared" si="0"/>
        <v>0</v>
      </c>
      <c r="O27" s="170"/>
      <c r="P27" s="191"/>
      <c r="Q27" s="192"/>
      <c r="R27" s="192"/>
      <c r="S27" s="192"/>
      <c r="T27" s="192"/>
      <c r="U27" s="193"/>
    </row>
    <row r="28" spans="1:21" ht="15.5">
      <c r="A28" s="85"/>
      <c r="B28" s="37">
        <f t="shared" ref="B28:B34" si="1">ROW()-13</f>
        <v>15</v>
      </c>
      <c r="C28" s="107" t="s">
        <v>36</v>
      </c>
      <c r="D28" s="107"/>
      <c r="E28" s="108"/>
      <c r="F28" s="109" t="s">
        <v>78</v>
      </c>
      <c r="G28" s="110"/>
      <c r="H28" s="18" t="s">
        <v>51</v>
      </c>
      <c r="I28" s="59"/>
      <c r="J28" s="113">
        <v>12</v>
      </c>
      <c r="K28" s="113"/>
      <c r="L28" s="114"/>
      <c r="M28" s="115" t="s">
        <v>35</v>
      </c>
      <c r="N28" s="116">
        <f t="shared" si="0"/>
        <v>12</v>
      </c>
      <c r="O28" s="171"/>
      <c r="P28" s="197"/>
      <c r="Q28" s="198"/>
      <c r="R28" s="198"/>
      <c r="S28" s="198"/>
      <c r="T28" s="198"/>
      <c r="U28" s="199"/>
    </row>
    <row r="29" spans="1:21" ht="15.5">
      <c r="A29" s="85"/>
      <c r="B29" s="37">
        <f t="shared" si="1"/>
        <v>16</v>
      </c>
      <c r="C29" s="107" t="s">
        <v>37</v>
      </c>
      <c r="D29" s="107"/>
      <c r="E29" s="108"/>
      <c r="F29" s="109" t="s">
        <v>43</v>
      </c>
      <c r="G29" s="110"/>
      <c r="H29" s="18" t="s">
        <v>51</v>
      </c>
      <c r="I29" s="59"/>
      <c r="J29" s="113">
        <v>10</v>
      </c>
      <c r="K29" s="113"/>
      <c r="L29" s="114"/>
      <c r="M29" s="115" t="s">
        <v>21</v>
      </c>
      <c r="N29" s="116">
        <f t="shared" si="0"/>
        <v>10</v>
      </c>
      <c r="O29" s="171"/>
      <c r="P29" s="197"/>
      <c r="Q29" s="198"/>
      <c r="R29" s="198"/>
      <c r="S29" s="198"/>
      <c r="T29" s="198"/>
      <c r="U29" s="199"/>
    </row>
    <row r="30" spans="1:21" ht="15.5">
      <c r="A30" s="85"/>
      <c r="B30" s="37">
        <f t="shared" si="1"/>
        <v>17</v>
      </c>
      <c r="C30" s="107" t="s">
        <v>38</v>
      </c>
      <c r="D30" s="107"/>
      <c r="E30" s="108"/>
      <c r="F30" s="109" t="s">
        <v>80</v>
      </c>
      <c r="G30" s="110"/>
      <c r="H30" s="18" t="s">
        <v>86</v>
      </c>
      <c r="I30" s="59"/>
      <c r="J30" s="113"/>
      <c r="K30" s="113"/>
      <c r="L30" s="114"/>
      <c r="M30" s="115" t="s">
        <v>21</v>
      </c>
      <c r="N30" s="116">
        <f t="shared" si="0"/>
        <v>0</v>
      </c>
      <c r="O30" s="171"/>
      <c r="P30" s="197"/>
      <c r="Q30" s="198"/>
      <c r="R30" s="198"/>
      <c r="S30" s="198"/>
      <c r="T30" s="198"/>
      <c r="U30" s="199"/>
    </row>
    <row r="31" spans="1:21" ht="15.5">
      <c r="A31" s="85"/>
      <c r="B31" s="37">
        <f t="shared" si="1"/>
        <v>18</v>
      </c>
      <c r="C31" s="107" t="s">
        <v>39</v>
      </c>
      <c r="D31" s="107"/>
      <c r="E31" s="108"/>
      <c r="F31" s="109" t="s">
        <v>79</v>
      </c>
      <c r="G31" s="110"/>
      <c r="H31" s="18" t="s">
        <v>51</v>
      </c>
      <c r="I31" s="59"/>
      <c r="J31" s="113">
        <v>12</v>
      </c>
      <c r="K31" s="113"/>
      <c r="L31" s="114"/>
      <c r="M31" s="115" t="s">
        <v>35</v>
      </c>
      <c r="N31" s="116">
        <f t="shared" si="0"/>
        <v>12</v>
      </c>
      <c r="O31" s="171"/>
      <c r="P31" s="197"/>
      <c r="Q31" s="198"/>
      <c r="R31" s="198"/>
      <c r="S31" s="198"/>
      <c r="T31" s="198"/>
      <c r="U31" s="199"/>
    </row>
    <row r="32" spans="1:21" ht="15.5">
      <c r="A32" s="85"/>
      <c r="B32" s="37">
        <f t="shared" si="1"/>
        <v>19</v>
      </c>
      <c r="C32" s="107" t="s">
        <v>40</v>
      </c>
      <c r="D32" s="107"/>
      <c r="E32" s="108"/>
      <c r="F32" s="109" t="s">
        <v>44</v>
      </c>
      <c r="G32" s="110"/>
      <c r="H32" s="18" t="s">
        <v>51</v>
      </c>
      <c r="I32" s="59"/>
      <c r="J32" s="113">
        <v>10</v>
      </c>
      <c r="K32" s="113"/>
      <c r="L32" s="114"/>
      <c r="M32" s="115" t="s">
        <v>21</v>
      </c>
      <c r="N32" s="116">
        <f t="shared" si="0"/>
        <v>10</v>
      </c>
      <c r="O32" s="171"/>
      <c r="P32" s="197"/>
      <c r="Q32" s="198"/>
      <c r="R32" s="198"/>
      <c r="S32" s="198"/>
      <c r="T32" s="198"/>
      <c r="U32" s="199"/>
    </row>
    <row r="33" spans="1:21" ht="15.5">
      <c r="A33" s="85"/>
      <c r="B33" s="37">
        <f t="shared" si="1"/>
        <v>20</v>
      </c>
      <c r="C33" s="107" t="s">
        <v>41</v>
      </c>
      <c r="D33" s="107"/>
      <c r="E33" s="108"/>
      <c r="F33" s="109" t="s">
        <v>81</v>
      </c>
      <c r="G33" s="110"/>
      <c r="H33" s="18" t="s">
        <v>86</v>
      </c>
      <c r="I33" s="59"/>
      <c r="J33" s="113"/>
      <c r="K33" s="113"/>
      <c r="L33" s="114"/>
      <c r="M33" s="115" t="s">
        <v>21</v>
      </c>
      <c r="N33" s="116">
        <f t="shared" si="0"/>
        <v>0</v>
      </c>
      <c r="O33" s="171"/>
      <c r="P33" s="197"/>
      <c r="Q33" s="198"/>
      <c r="R33" s="198"/>
      <c r="S33" s="198"/>
      <c r="T33" s="198"/>
      <c r="U33" s="199"/>
    </row>
    <row r="34" spans="1:21" ht="15.5">
      <c r="A34" s="85"/>
      <c r="B34" s="37">
        <f t="shared" si="1"/>
        <v>21</v>
      </c>
      <c r="C34" s="80" t="s">
        <v>46</v>
      </c>
      <c r="D34" s="80"/>
      <c r="E34" s="81"/>
      <c r="F34" s="84" t="s">
        <v>71</v>
      </c>
      <c r="G34" s="17"/>
      <c r="H34" s="18" t="s">
        <v>62</v>
      </c>
      <c r="I34" s="59"/>
      <c r="J34" s="19">
        <v>8</v>
      </c>
      <c r="K34" s="19"/>
      <c r="L34" s="50" t="s">
        <v>47</v>
      </c>
      <c r="M34" s="73" t="s">
        <v>35</v>
      </c>
      <c r="N34" s="54">
        <f t="shared" si="0"/>
        <v>8</v>
      </c>
      <c r="O34" s="170">
        <v>0</v>
      </c>
      <c r="P34" s="191" t="s">
        <v>48</v>
      </c>
      <c r="Q34" s="192"/>
      <c r="R34" s="192"/>
      <c r="S34" s="192"/>
      <c r="T34" s="192"/>
      <c r="U34" s="193"/>
    </row>
    <row r="35" spans="1:21" ht="16" thickBot="1">
      <c r="A35" s="118"/>
      <c r="B35" s="119"/>
      <c r="C35" s="120"/>
      <c r="D35" s="120"/>
      <c r="E35" s="121"/>
      <c r="F35" s="129"/>
      <c r="G35" s="122"/>
      <c r="H35" s="147"/>
      <c r="I35" s="148"/>
      <c r="J35" s="125"/>
      <c r="K35" s="125"/>
      <c r="L35" s="126"/>
      <c r="M35" s="126"/>
      <c r="N35" s="127"/>
      <c r="O35" s="172"/>
      <c r="P35" s="194"/>
      <c r="Q35" s="195"/>
      <c r="R35" s="195"/>
      <c r="S35" s="195"/>
      <c r="T35" s="195"/>
      <c r="U35" s="196"/>
    </row>
  </sheetData>
  <mergeCells count="52">
    <mergeCell ref="P34:U34"/>
    <mergeCell ref="P35:U35"/>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21"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30722"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30723"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30724"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30725"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30726"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A2E07A7-5914-4DCF-99BA-9A7A21B06B52}">
            <xm:f>(AND(H14&lt;&gt;"",ISERROR(VLOOKUP(H14,system!$E:$E,1,FALSE))))</xm:f>
            <x14:dxf>
              <fill>
                <patternFill patternType="solid">
                  <bgColor rgb="FFFF0000"/>
                </patternFill>
              </fill>
            </x14:dxf>
          </x14:cfRule>
          <xm:sqref>H14:H27</xm:sqref>
        </x14:conditionalFormatting>
        <x14:conditionalFormatting xmlns:xm="http://schemas.microsoft.com/office/excel/2006/main">
          <x14:cfRule type="expression" priority="3" id="{2A219357-64C8-4842-AF49-ED78C91925F4}">
            <xm:f>(AND(H14&lt;&gt;"",ISERROR(VLOOKUP(H14,system!$E:$E,1,FALSE))))</xm:f>
            <x14:dxf>
              <fill>
                <patternFill>
                  <bgColor rgb="FFFF0000"/>
                </patternFill>
              </fill>
            </x14:dxf>
          </x14:cfRule>
          <xm:sqref>I14:I27</xm:sqref>
        </x14:conditionalFormatting>
        <x14:conditionalFormatting xmlns:xm="http://schemas.microsoft.com/office/excel/2006/main">
          <x14:cfRule type="expression" priority="2" id="{BB09C197-41F1-4452-8F60-3687ACD94335}">
            <xm:f>(AND(H28&lt;&gt;"",ISERROR(VLOOKUP(H28,system!$E:$E,1,FALSE))))</xm:f>
            <x14:dxf>
              <fill>
                <patternFill patternType="solid">
                  <bgColor rgb="FFFF0000"/>
                </patternFill>
              </fill>
            </x14:dxf>
          </x14:cfRule>
          <xm:sqref>H28:H35</xm:sqref>
        </x14:conditionalFormatting>
        <x14:conditionalFormatting xmlns:xm="http://schemas.microsoft.com/office/excel/2006/main">
          <x14:cfRule type="expression" priority="1" id="{828CEC82-D49A-4A52-897D-060E3DF0C645}">
            <xm:f>(AND(H28&lt;&gt;"",ISERROR(VLOOKUP(H28,system!$E:$E,1,FALSE))))</xm:f>
            <x14:dxf>
              <fill>
                <patternFill>
                  <bgColor rgb="FFFF0000"/>
                </patternFill>
              </fill>
            </x14:dxf>
          </x14:cfRule>
          <xm:sqref>I28:I35</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6CF78-0B05-4FF2-891D-1B6399D80D99}">
  <sheetPr codeName="Sheet30">
    <pageSetUpPr fitToPage="1"/>
  </sheetPr>
  <dimension ref="A1:U3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407</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146</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SUM(N14:N36)</f>
        <v>222</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408</v>
      </c>
      <c r="D14" s="80"/>
      <c r="E14" s="81"/>
      <c r="F14" s="146"/>
      <c r="G14" s="17"/>
      <c r="H14" s="18" t="s">
        <v>211</v>
      </c>
      <c r="I14" s="59"/>
      <c r="J14" s="19"/>
      <c r="K14" s="19"/>
      <c r="L14" s="50"/>
      <c r="M14" s="73" t="s">
        <v>21</v>
      </c>
      <c r="N14" s="54">
        <f t="shared" ref="N14:N34" si="0">IF(H14="NUMBER",IF(J14&gt;0,INT((J14+1)/2+0.9),0),IF(H14="DATE",7,IF(OR(H14="LONG",H14="LONG RAW"),100000,J14)))</f>
        <v>0</v>
      </c>
      <c r="O14" s="170"/>
      <c r="P14" s="191" t="s">
        <v>409</v>
      </c>
      <c r="Q14" s="192"/>
      <c r="R14" s="192"/>
      <c r="S14" s="192"/>
      <c r="T14" s="192"/>
      <c r="U14" s="193"/>
    </row>
    <row r="15" spans="1:21" ht="15.75" customHeight="1">
      <c r="A15" s="85"/>
      <c r="B15" s="37">
        <f>ROW()-13</f>
        <v>2</v>
      </c>
      <c r="C15" s="145" t="s">
        <v>187</v>
      </c>
      <c r="D15" s="80"/>
      <c r="E15" s="81"/>
      <c r="F15" s="146"/>
      <c r="G15" s="17"/>
      <c r="H15" s="18" t="s">
        <v>49</v>
      </c>
      <c r="I15" s="59"/>
      <c r="J15" s="19">
        <v>1</v>
      </c>
      <c r="K15" s="19"/>
      <c r="L15" s="50" t="s">
        <v>189</v>
      </c>
      <c r="M15" s="73" t="s">
        <v>21</v>
      </c>
      <c r="N15" s="54">
        <f t="shared" si="0"/>
        <v>1</v>
      </c>
      <c r="O15" s="170"/>
      <c r="P15" s="191"/>
      <c r="Q15" s="192"/>
      <c r="R15" s="192"/>
      <c r="S15" s="192"/>
      <c r="T15" s="192"/>
      <c r="U15" s="193"/>
    </row>
    <row r="16" spans="1:21" ht="15.75" customHeight="1">
      <c r="A16" s="85"/>
      <c r="B16" s="37">
        <f>ROW()-13</f>
        <v>3</v>
      </c>
      <c r="C16" s="145" t="s">
        <v>410</v>
      </c>
      <c r="D16" s="80"/>
      <c r="E16" s="81"/>
      <c r="F16" s="146"/>
      <c r="G16" s="17"/>
      <c r="H16" s="18" t="s">
        <v>51</v>
      </c>
      <c r="I16" s="59"/>
      <c r="J16" s="19">
        <v>14</v>
      </c>
      <c r="K16" s="19"/>
      <c r="L16" s="50" t="s">
        <v>189</v>
      </c>
      <c r="M16" s="73" t="s">
        <v>21</v>
      </c>
      <c r="N16" s="54">
        <f t="shared" si="0"/>
        <v>14</v>
      </c>
      <c r="O16" s="170"/>
      <c r="P16" s="191"/>
      <c r="Q16" s="192"/>
      <c r="R16" s="192"/>
      <c r="S16" s="192"/>
      <c r="T16" s="192"/>
      <c r="U16" s="193"/>
    </row>
    <row r="17" spans="1:21" ht="15.75" customHeight="1">
      <c r="A17" s="85"/>
      <c r="B17" s="37">
        <f>ROW()-13</f>
        <v>4</v>
      </c>
      <c r="C17" s="145" t="s">
        <v>195</v>
      </c>
      <c r="D17" s="80"/>
      <c r="E17" s="81"/>
      <c r="F17" s="146"/>
      <c r="G17" s="17"/>
      <c r="H17" s="18" t="s">
        <v>49</v>
      </c>
      <c r="I17" s="59"/>
      <c r="J17" s="19">
        <v>12</v>
      </c>
      <c r="K17" s="19"/>
      <c r="L17" s="50"/>
      <c r="M17" s="73" t="s">
        <v>21</v>
      </c>
      <c r="N17" s="54">
        <f t="shared" si="0"/>
        <v>12</v>
      </c>
      <c r="O17" s="170"/>
      <c r="P17" s="191"/>
      <c r="Q17" s="192"/>
      <c r="R17" s="192"/>
      <c r="S17" s="192"/>
      <c r="T17" s="192"/>
      <c r="U17" s="193"/>
    </row>
    <row r="18" spans="1:21" ht="15.75" customHeight="1">
      <c r="A18" s="85"/>
      <c r="B18" s="37">
        <f>ROW()-13</f>
        <v>5</v>
      </c>
      <c r="C18" s="145" t="s">
        <v>197</v>
      </c>
      <c r="D18" s="80"/>
      <c r="E18" s="81"/>
      <c r="F18" s="146"/>
      <c r="G18" s="17"/>
      <c r="H18" s="18" t="s">
        <v>49</v>
      </c>
      <c r="I18" s="59"/>
      <c r="J18" s="19">
        <v>1</v>
      </c>
      <c r="K18" s="19"/>
      <c r="L18" s="50" t="s">
        <v>189</v>
      </c>
      <c r="M18" s="73" t="s">
        <v>21</v>
      </c>
      <c r="N18" s="54">
        <f t="shared" si="0"/>
        <v>1</v>
      </c>
      <c r="O18" s="170"/>
      <c r="P18" s="191" t="s">
        <v>175</v>
      </c>
      <c r="Q18" s="192"/>
      <c r="R18" s="192"/>
      <c r="S18" s="192"/>
      <c r="T18" s="192"/>
      <c r="U18" s="193"/>
    </row>
    <row r="19" spans="1:21" ht="15.75" customHeight="1">
      <c r="A19" s="85"/>
      <c r="B19" s="37">
        <f>ROW()-13</f>
        <v>6</v>
      </c>
      <c r="C19" s="145" t="s">
        <v>199</v>
      </c>
      <c r="D19" s="80"/>
      <c r="E19" s="81"/>
      <c r="F19" s="146"/>
      <c r="G19" s="17"/>
      <c r="H19" s="18" t="s">
        <v>51</v>
      </c>
      <c r="I19" s="59"/>
      <c r="J19" s="19">
        <v>25</v>
      </c>
      <c r="K19" s="19"/>
      <c r="L19" s="50" t="s">
        <v>189</v>
      </c>
      <c r="M19" s="73" t="s">
        <v>21</v>
      </c>
      <c r="N19" s="54">
        <f t="shared" si="0"/>
        <v>25</v>
      </c>
      <c r="O19" s="170"/>
      <c r="P19" s="191"/>
      <c r="Q19" s="192"/>
      <c r="R19" s="192"/>
      <c r="S19" s="192"/>
      <c r="T19" s="192"/>
      <c r="U19" s="193"/>
    </row>
    <row r="20" spans="1:21" ht="15.75" customHeight="1">
      <c r="A20" s="85"/>
      <c r="B20" s="37">
        <f>ROW()-13</f>
        <v>7</v>
      </c>
      <c r="C20" s="145" t="s">
        <v>201</v>
      </c>
      <c r="D20" s="80"/>
      <c r="E20" s="81"/>
      <c r="F20" s="146"/>
      <c r="G20" s="17"/>
      <c r="H20" s="18" t="s">
        <v>51</v>
      </c>
      <c r="I20" s="59"/>
      <c r="J20" s="19">
        <v>4</v>
      </c>
      <c r="K20" s="19"/>
      <c r="L20" s="50" t="s">
        <v>189</v>
      </c>
      <c r="M20" s="73" t="s">
        <v>21</v>
      </c>
      <c r="N20" s="54">
        <f t="shared" si="0"/>
        <v>4</v>
      </c>
      <c r="O20" s="170"/>
      <c r="P20" s="191" t="s">
        <v>203</v>
      </c>
      <c r="Q20" s="192"/>
      <c r="R20" s="192"/>
      <c r="S20" s="192"/>
      <c r="T20" s="192"/>
      <c r="U20" s="193"/>
    </row>
    <row r="21" spans="1:21" ht="62.75" customHeight="1">
      <c r="A21" s="85"/>
      <c r="B21" s="37">
        <f>ROW()-13</f>
        <v>8</v>
      </c>
      <c r="C21" s="145" t="s">
        <v>204</v>
      </c>
      <c r="D21" s="80"/>
      <c r="E21" s="81"/>
      <c r="F21" s="146"/>
      <c r="G21" s="17"/>
      <c r="H21" s="18" t="s">
        <v>49</v>
      </c>
      <c r="I21" s="59"/>
      <c r="J21" s="19">
        <v>1</v>
      </c>
      <c r="K21" s="19"/>
      <c r="L21" s="50" t="s">
        <v>189</v>
      </c>
      <c r="M21" s="73" t="s">
        <v>21</v>
      </c>
      <c r="N21" s="54">
        <f t="shared" si="0"/>
        <v>1</v>
      </c>
      <c r="O21" s="170"/>
      <c r="P21" s="251" t="s">
        <v>265</v>
      </c>
      <c r="Q21" s="192"/>
      <c r="R21" s="192"/>
      <c r="S21" s="192"/>
      <c r="T21" s="192"/>
      <c r="U21" s="193"/>
    </row>
    <row r="22" spans="1:21" ht="27.5" customHeight="1">
      <c r="A22" s="85"/>
      <c r="B22" s="37">
        <f>ROW()-13</f>
        <v>9</v>
      </c>
      <c r="C22" s="145" t="s">
        <v>207</v>
      </c>
      <c r="D22" s="80"/>
      <c r="E22" s="81"/>
      <c r="F22" s="146"/>
      <c r="G22" s="17"/>
      <c r="H22" s="18" t="s">
        <v>49</v>
      </c>
      <c r="I22" s="59"/>
      <c r="J22" s="19">
        <v>1</v>
      </c>
      <c r="K22" s="19"/>
      <c r="L22" s="50" t="s">
        <v>189</v>
      </c>
      <c r="M22" s="73" t="s">
        <v>21</v>
      </c>
      <c r="N22" s="54">
        <f t="shared" si="0"/>
        <v>1</v>
      </c>
      <c r="O22" s="170"/>
      <c r="P22" s="251" t="s">
        <v>208</v>
      </c>
      <c r="Q22" s="192"/>
      <c r="R22" s="192"/>
      <c r="S22" s="192"/>
      <c r="T22" s="192"/>
      <c r="U22" s="193"/>
    </row>
    <row r="23" spans="1:21" ht="15.75" customHeight="1">
      <c r="A23" s="85"/>
      <c r="B23" s="37">
        <f>ROW()-13</f>
        <v>10</v>
      </c>
      <c r="C23" s="145" t="s">
        <v>193</v>
      </c>
      <c r="D23" s="80"/>
      <c r="E23" s="81"/>
      <c r="F23" s="146"/>
      <c r="G23" s="17"/>
      <c r="H23" s="18" t="s">
        <v>49</v>
      </c>
      <c r="I23" s="59"/>
      <c r="J23" s="19">
        <v>2</v>
      </c>
      <c r="K23" s="19"/>
      <c r="L23" s="50"/>
      <c r="M23" s="73" t="s">
        <v>21</v>
      </c>
      <c r="N23" s="54">
        <f t="shared" si="0"/>
        <v>2</v>
      </c>
      <c r="O23" s="170"/>
      <c r="P23" s="191" t="s">
        <v>162</v>
      </c>
      <c r="Q23" s="192"/>
      <c r="R23" s="192"/>
      <c r="S23" s="192"/>
      <c r="T23" s="192"/>
      <c r="U23" s="193"/>
    </row>
    <row r="24" spans="1:21" ht="15.75" customHeight="1">
      <c r="A24" s="85"/>
      <c r="B24" s="37">
        <f>ROW()-13</f>
        <v>11</v>
      </c>
      <c r="C24" s="145" t="s">
        <v>411</v>
      </c>
      <c r="D24" s="80"/>
      <c r="E24" s="81"/>
      <c r="F24" s="146"/>
      <c r="G24" s="17"/>
      <c r="H24" s="18" t="s">
        <v>24</v>
      </c>
      <c r="I24" s="59"/>
      <c r="J24" s="19"/>
      <c r="K24" s="19"/>
      <c r="L24" s="50"/>
      <c r="M24" s="73" t="s">
        <v>21</v>
      </c>
      <c r="N24" s="54">
        <f t="shared" si="0"/>
        <v>7</v>
      </c>
      <c r="O24" s="170"/>
      <c r="P24" s="191"/>
      <c r="Q24" s="192"/>
      <c r="R24" s="192"/>
      <c r="S24" s="192"/>
      <c r="T24" s="192"/>
      <c r="U24" s="193"/>
    </row>
    <row r="25" spans="1:21" ht="74.5" customHeight="1">
      <c r="A25" s="85"/>
      <c r="B25" s="37">
        <f>ROW()-13</f>
        <v>12</v>
      </c>
      <c r="C25" s="145" t="s">
        <v>412</v>
      </c>
      <c r="D25" s="80"/>
      <c r="E25" s="81"/>
      <c r="F25" s="146"/>
      <c r="G25" s="17"/>
      <c r="H25" s="18" t="s">
        <v>49</v>
      </c>
      <c r="I25" s="59"/>
      <c r="J25" s="19">
        <v>1</v>
      </c>
      <c r="K25" s="19"/>
      <c r="L25" s="50"/>
      <c r="M25" s="73" t="s">
        <v>21</v>
      </c>
      <c r="N25" s="54">
        <f t="shared" si="0"/>
        <v>1</v>
      </c>
      <c r="O25" s="170"/>
      <c r="P25" s="251" t="s">
        <v>413</v>
      </c>
      <c r="Q25" s="192"/>
      <c r="R25" s="192"/>
      <c r="S25" s="192"/>
      <c r="T25" s="192"/>
      <c r="U25" s="193"/>
    </row>
    <row r="26" spans="1:21" ht="15.75" customHeight="1">
      <c r="A26" s="85"/>
      <c r="B26" s="37">
        <f>ROW()-13</f>
        <v>13</v>
      </c>
      <c r="C26" s="145" t="s">
        <v>414</v>
      </c>
      <c r="D26" s="80"/>
      <c r="E26" s="81"/>
      <c r="F26" s="146"/>
      <c r="G26" s="17"/>
      <c r="H26" s="18" t="s">
        <v>49</v>
      </c>
      <c r="I26" s="59"/>
      <c r="J26" s="19">
        <v>1</v>
      </c>
      <c r="K26" s="19"/>
      <c r="L26" s="50"/>
      <c r="M26" s="73" t="s">
        <v>21</v>
      </c>
      <c r="N26" s="54">
        <f t="shared" si="0"/>
        <v>1</v>
      </c>
      <c r="O26" s="170"/>
      <c r="P26" s="191" t="s">
        <v>415</v>
      </c>
      <c r="Q26" s="192"/>
      <c r="R26" s="192"/>
      <c r="S26" s="192"/>
      <c r="T26" s="192"/>
      <c r="U26" s="193"/>
    </row>
    <row r="27" spans="1:21" ht="15.75" customHeight="1">
      <c r="A27" s="85"/>
      <c r="B27" s="37">
        <f>ROW()-13</f>
        <v>14</v>
      </c>
      <c r="C27" s="145" t="s">
        <v>276</v>
      </c>
      <c r="D27" s="80"/>
      <c r="E27" s="81"/>
      <c r="F27" s="146"/>
      <c r="G27" s="17"/>
      <c r="H27" s="18" t="s">
        <v>51</v>
      </c>
      <c r="I27" s="59"/>
      <c r="J27" s="19">
        <v>100</v>
      </c>
      <c r="K27" s="19"/>
      <c r="L27" s="50"/>
      <c r="M27" s="73" t="s">
        <v>21</v>
      </c>
      <c r="N27" s="54">
        <f t="shared" si="0"/>
        <v>100</v>
      </c>
      <c r="O27" s="170"/>
      <c r="P27" s="191" t="s">
        <v>416</v>
      </c>
      <c r="Q27" s="192"/>
      <c r="R27" s="192"/>
      <c r="S27" s="192"/>
      <c r="T27" s="192"/>
      <c r="U27" s="193"/>
    </row>
    <row r="28" spans="1:21" ht="15.5">
      <c r="A28" s="85"/>
      <c r="B28" s="37">
        <f t="shared" ref="B28:B34" si="1">ROW()-13</f>
        <v>15</v>
      </c>
      <c r="C28" s="107" t="s">
        <v>36</v>
      </c>
      <c r="D28" s="107"/>
      <c r="E28" s="108"/>
      <c r="F28" s="109" t="s">
        <v>78</v>
      </c>
      <c r="G28" s="110"/>
      <c r="H28" s="18" t="s">
        <v>51</v>
      </c>
      <c r="I28" s="59"/>
      <c r="J28" s="113">
        <v>12</v>
      </c>
      <c r="K28" s="113"/>
      <c r="L28" s="114"/>
      <c r="M28" s="115" t="s">
        <v>35</v>
      </c>
      <c r="N28" s="116">
        <f t="shared" si="0"/>
        <v>12</v>
      </c>
      <c r="O28" s="171"/>
      <c r="P28" s="197"/>
      <c r="Q28" s="198"/>
      <c r="R28" s="198"/>
      <c r="S28" s="198"/>
      <c r="T28" s="198"/>
      <c r="U28" s="199"/>
    </row>
    <row r="29" spans="1:21" ht="15.5">
      <c r="A29" s="85"/>
      <c r="B29" s="37">
        <f t="shared" si="1"/>
        <v>16</v>
      </c>
      <c r="C29" s="107" t="s">
        <v>37</v>
      </c>
      <c r="D29" s="107"/>
      <c r="E29" s="108"/>
      <c r="F29" s="109" t="s">
        <v>43</v>
      </c>
      <c r="G29" s="110"/>
      <c r="H29" s="18" t="s">
        <v>51</v>
      </c>
      <c r="I29" s="59"/>
      <c r="J29" s="113">
        <v>10</v>
      </c>
      <c r="K29" s="113"/>
      <c r="L29" s="114"/>
      <c r="M29" s="115" t="s">
        <v>21</v>
      </c>
      <c r="N29" s="116">
        <f t="shared" si="0"/>
        <v>10</v>
      </c>
      <c r="O29" s="171"/>
      <c r="P29" s="197"/>
      <c r="Q29" s="198"/>
      <c r="R29" s="198"/>
      <c r="S29" s="198"/>
      <c r="T29" s="198"/>
      <c r="U29" s="199"/>
    </row>
    <row r="30" spans="1:21" ht="15.5">
      <c r="A30" s="85"/>
      <c r="B30" s="37">
        <f t="shared" si="1"/>
        <v>17</v>
      </c>
      <c r="C30" s="107" t="s">
        <v>38</v>
      </c>
      <c r="D30" s="107"/>
      <c r="E30" s="108"/>
      <c r="F30" s="109" t="s">
        <v>80</v>
      </c>
      <c r="G30" s="110"/>
      <c r="H30" s="18" t="s">
        <v>86</v>
      </c>
      <c r="I30" s="59"/>
      <c r="J30" s="113"/>
      <c r="K30" s="113"/>
      <c r="L30" s="114"/>
      <c r="M30" s="115" t="s">
        <v>21</v>
      </c>
      <c r="N30" s="116">
        <f t="shared" si="0"/>
        <v>0</v>
      </c>
      <c r="O30" s="171"/>
      <c r="P30" s="197"/>
      <c r="Q30" s="198"/>
      <c r="R30" s="198"/>
      <c r="S30" s="198"/>
      <c r="T30" s="198"/>
      <c r="U30" s="199"/>
    </row>
    <row r="31" spans="1:21" ht="15.5">
      <c r="A31" s="85"/>
      <c r="B31" s="37">
        <f t="shared" si="1"/>
        <v>18</v>
      </c>
      <c r="C31" s="107" t="s">
        <v>39</v>
      </c>
      <c r="D31" s="107"/>
      <c r="E31" s="108"/>
      <c r="F31" s="109" t="s">
        <v>79</v>
      </c>
      <c r="G31" s="110"/>
      <c r="H31" s="18" t="s">
        <v>51</v>
      </c>
      <c r="I31" s="59"/>
      <c r="J31" s="113">
        <v>12</v>
      </c>
      <c r="K31" s="113"/>
      <c r="L31" s="114"/>
      <c r="M31" s="115" t="s">
        <v>35</v>
      </c>
      <c r="N31" s="116">
        <f t="shared" si="0"/>
        <v>12</v>
      </c>
      <c r="O31" s="171"/>
      <c r="P31" s="197"/>
      <c r="Q31" s="198"/>
      <c r="R31" s="198"/>
      <c r="S31" s="198"/>
      <c r="T31" s="198"/>
      <c r="U31" s="199"/>
    </row>
    <row r="32" spans="1:21" ht="15.5">
      <c r="A32" s="85"/>
      <c r="B32" s="37">
        <f t="shared" si="1"/>
        <v>19</v>
      </c>
      <c r="C32" s="107" t="s">
        <v>40</v>
      </c>
      <c r="D32" s="107"/>
      <c r="E32" s="108"/>
      <c r="F32" s="109" t="s">
        <v>44</v>
      </c>
      <c r="G32" s="110"/>
      <c r="H32" s="18" t="s">
        <v>51</v>
      </c>
      <c r="I32" s="59"/>
      <c r="J32" s="113">
        <v>10</v>
      </c>
      <c r="K32" s="113"/>
      <c r="L32" s="114"/>
      <c r="M32" s="115" t="s">
        <v>21</v>
      </c>
      <c r="N32" s="116">
        <f t="shared" si="0"/>
        <v>10</v>
      </c>
      <c r="O32" s="171"/>
      <c r="P32" s="197"/>
      <c r="Q32" s="198"/>
      <c r="R32" s="198"/>
      <c r="S32" s="198"/>
      <c r="T32" s="198"/>
      <c r="U32" s="199"/>
    </row>
    <row r="33" spans="1:21" ht="15.5">
      <c r="A33" s="85"/>
      <c r="B33" s="37">
        <f t="shared" si="1"/>
        <v>20</v>
      </c>
      <c r="C33" s="107" t="s">
        <v>41</v>
      </c>
      <c r="D33" s="107"/>
      <c r="E33" s="108"/>
      <c r="F33" s="109" t="s">
        <v>81</v>
      </c>
      <c r="G33" s="110"/>
      <c r="H33" s="18" t="s">
        <v>86</v>
      </c>
      <c r="I33" s="59"/>
      <c r="J33" s="113"/>
      <c r="K33" s="113"/>
      <c r="L33" s="114"/>
      <c r="M33" s="115" t="s">
        <v>21</v>
      </c>
      <c r="N33" s="116">
        <f t="shared" si="0"/>
        <v>0</v>
      </c>
      <c r="O33" s="171"/>
      <c r="P33" s="197"/>
      <c r="Q33" s="198"/>
      <c r="R33" s="198"/>
      <c r="S33" s="198"/>
      <c r="T33" s="198"/>
      <c r="U33" s="199"/>
    </row>
    <row r="34" spans="1:21" ht="15.5">
      <c r="A34" s="85"/>
      <c r="B34" s="37">
        <f t="shared" si="1"/>
        <v>21</v>
      </c>
      <c r="C34" s="80" t="s">
        <v>46</v>
      </c>
      <c r="D34" s="80"/>
      <c r="E34" s="81"/>
      <c r="F34" s="84" t="s">
        <v>71</v>
      </c>
      <c r="G34" s="17"/>
      <c r="H34" s="18" t="s">
        <v>62</v>
      </c>
      <c r="I34" s="59"/>
      <c r="J34" s="19">
        <v>8</v>
      </c>
      <c r="K34" s="19"/>
      <c r="L34" s="50" t="s">
        <v>47</v>
      </c>
      <c r="M34" s="73" t="s">
        <v>35</v>
      </c>
      <c r="N34" s="54">
        <f t="shared" si="0"/>
        <v>8</v>
      </c>
      <c r="O34" s="170">
        <v>0</v>
      </c>
      <c r="P34" s="191" t="s">
        <v>48</v>
      </c>
      <c r="Q34" s="192"/>
      <c r="R34" s="192"/>
      <c r="S34" s="192"/>
      <c r="T34" s="192"/>
      <c r="U34" s="193"/>
    </row>
    <row r="35" spans="1:21" ht="16" thickBot="1">
      <c r="A35" s="118"/>
      <c r="B35" s="119"/>
      <c r="C35" s="120"/>
      <c r="D35" s="120"/>
      <c r="E35" s="121"/>
      <c r="F35" s="129"/>
      <c r="G35" s="122"/>
      <c r="H35" s="147"/>
      <c r="I35" s="148"/>
      <c r="J35" s="125"/>
      <c r="K35" s="125"/>
      <c r="L35" s="126"/>
      <c r="M35" s="126"/>
      <c r="N35" s="127"/>
      <c r="O35" s="172"/>
      <c r="P35" s="194"/>
      <c r="Q35" s="195"/>
      <c r="R35" s="195"/>
      <c r="S35" s="195"/>
      <c r="T35" s="195"/>
      <c r="U35" s="196"/>
    </row>
  </sheetData>
  <mergeCells count="52">
    <mergeCell ref="P34:U34"/>
    <mergeCell ref="P35:U35"/>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5"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31746"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31747"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31748"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31749"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31750"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76DFF37-7D3C-4B77-83C0-4A7D1DFD61AE}">
            <xm:f>(AND(H14&lt;&gt;"",ISERROR(VLOOKUP(H14,system!$E:$E,1,FALSE))))</xm:f>
            <x14:dxf>
              <fill>
                <patternFill patternType="solid">
                  <bgColor rgb="FFFF0000"/>
                </patternFill>
              </fill>
            </x14:dxf>
          </x14:cfRule>
          <xm:sqref>H14:H27</xm:sqref>
        </x14:conditionalFormatting>
        <x14:conditionalFormatting xmlns:xm="http://schemas.microsoft.com/office/excel/2006/main">
          <x14:cfRule type="expression" priority="3" id="{C30E4EB9-D227-4833-8D80-477A73450602}">
            <xm:f>(AND(H14&lt;&gt;"",ISERROR(VLOOKUP(H14,system!$E:$E,1,FALSE))))</xm:f>
            <x14:dxf>
              <fill>
                <patternFill>
                  <bgColor rgb="FFFF0000"/>
                </patternFill>
              </fill>
            </x14:dxf>
          </x14:cfRule>
          <xm:sqref>I14:I27</xm:sqref>
        </x14:conditionalFormatting>
        <x14:conditionalFormatting xmlns:xm="http://schemas.microsoft.com/office/excel/2006/main">
          <x14:cfRule type="expression" priority="2" id="{6040C941-578F-4052-A7E3-D36704FCCA3F}">
            <xm:f>(AND(H28&lt;&gt;"",ISERROR(VLOOKUP(H28,system!$E:$E,1,FALSE))))</xm:f>
            <x14:dxf>
              <fill>
                <patternFill patternType="solid">
                  <bgColor rgb="FFFF0000"/>
                </patternFill>
              </fill>
            </x14:dxf>
          </x14:cfRule>
          <xm:sqref>H28:H35</xm:sqref>
        </x14:conditionalFormatting>
        <x14:conditionalFormatting xmlns:xm="http://schemas.microsoft.com/office/excel/2006/main">
          <x14:cfRule type="expression" priority="1" id="{5E10DB13-B9A7-46CF-BEDA-8BF7ECA619E0}">
            <xm:f>(AND(H28&lt;&gt;"",ISERROR(VLOOKUP(H28,system!$E:$E,1,FALSE))))</xm:f>
            <x14:dxf>
              <fill>
                <patternFill>
                  <bgColor rgb="FFFF0000"/>
                </patternFill>
              </fill>
            </x14:dxf>
          </x14:cfRule>
          <xm:sqref>I28:I35</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3ADB9-16B3-48BA-BA6F-539C1D89839E}">
  <sheetPr codeName="Sheet31">
    <pageSetUpPr fitToPage="1"/>
  </sheetPr>
  <dimension ref="A1:U40"/>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419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147</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SUM(N14:N41)</f>
        <v>153</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39" si="0">IF(H14="NUMBER",IF(J14&gt;0,INT((J14+1)/2+0.9),0),IF(H14="DATE",7,IF(OR(H14="LONG",H14="LONG RAW"),100000,J14)))</f>
        <v>1</v>
      </c>
      <c r="O14" s="170"/>
      <c r="P14" s="191" t="s">
        <v>175</v>
      </c>
      <c r="Q14" s="192"/>
      <c r="R14" s="192"/>
      <c r="S14" s="192"/>
      <c r="T14" s="192"/>
      <c r="U14" s="193"/>
    </row>
    <row r="15" spans="1:21" ht="15.75" customHeight="1">
      <c r="A15" s="85" t="s">
        <v>190</v>
      </c>
      <c r="B15" s="37">
        <f>ROW()-13</f>
        <v>2</v>
      </c>
      <c r="C15" s="145" t="s">
        <v>385</v>
      </c>
      <c r="D15" s="80"/>
      <c r="E15" s="81"/>
      <c r="F15" s="146"/>
      <c r="G15" s="17"/>
      <c r="H15" s="18" t="s">
        <v>49</v>
      </c>
      <c r="I15" s="59"/>
      <c r="J15" s="19">
        <v>10</v>
      </c>
      <c r="K15" s="19"/>
      <c r="L15" s="50" t="s">
        <v>189</v>
      </c>
      <c r="M15" s="73" t="s">
        <v>21</v>
      </c>
      <c r="N15" s="54">
        <f t="shared" si="0"/>
        <v>10</v>
      </c>
      <c r="O15" s="170"/>
      <c r="P15" s="191"/>
      <c r="Q15" s="192"/>
      <c r="R15" s="192"/>
      <c r="S15" s="192"/>
      <c r="T15" s="192"/>
      <c r="U15" s="193"/>
    </row>
    <row r="16" spans="1:21" ht="15.75" customHeight="1">
      <c r="A16" s="85"/>
      <c r="B16" s="37">
        <f>ROW()-13</f>
        <v>3</v>
      </c>
      <c r="C16" s="145" t="s">
        <v>272</v>
      </c>
      <c r="D16" s="80"/>
      <c r="E16" s="81"/>
      <c r="F16" s="146"/>
      <c r="G16" s="17"/>
      <c r="H16" s="18" t="s">
        <v>49</v>
      </c>
      <c r="I16" s="59"/>
      <c r="J16" s="19">
        <v>10</v>
      </c>
      <c r="K16" s="19"/>
      <c r="L16" s="50"/>
      <c r="M16" s="73" t="s">
        <v>21</v>
      </c>
      <c r="N16" s="54">
        <f t="shared" si="0"/>
        <v>10</v>
      </c>
      <c r="O16" s="170"/>
      <c r="P16" s="191"/>
      <c r="Q16" s="192"/>
      <c r="R16" s="192"/>
      <c r="S16" s="192"/>
      <c r="T16" s="192"/>
      <c r="U16" s="193"/>
    </row>
    <row r="17" spans="1:21" ht="15.75" customHeight="1">
      <c r="A17" s="85"/>
      <c r="B17" s="37">
        <f>ROW()-13</f>
        <v>4</v>
      </c>
      <c r="C17" s="145" t="s">
        <v>387</v>
      </c>
      <c r="D17" s="80"/>
      <c r="E17" s="81"/>
      <c r="F17" s="146"/>
      <c r="G17" s="17"/>
      <c r="H17" s="18" t="s">
        <v>24</v>
      </c>
      <c r="I17" s="59"/>
      <c r="J17" s="19"/>
      <c r="K17" s="19"/>
      <c r="L17" s="50"/>
      <c r="M17" s="73" t="s">
        <v>21</v>
      </c>
      <c r="N17" s="54">
        <f t="shared" si="0"/>
        <v>7</v>
      </c>
      <c r="O17" s="170"/>
      <c r="P17" s="191"/>
      <c r="Q17" s="192"/>
      <c r="R17" s="192"/>
      <c r="S17" s="192"/>
      <c r="T17" s="192"/>
      <c r="U17" s="193"/>
    </row>
    <row r="18" spans="1:21" ht="15.75" customHeight="1">
      <c r="A18" s="85"/>
      <c r="B18" s="37">
        <f>ROW()-13</f>
        <v>5</v>
      </c>
      <c r="C18" s="145" t="s">
        <v>388</v>
      </c>
      <c r="D18" s="80"/>
      <c r="E18" s="81"/>
      <c r="F18" s="146"/>
      <c r="G18" s="17"/>
      <c r="H18" s="18" t="s">
        <v>54</v>
      </c>
      <c r="I18" s="59"/>
      <c r="J18" s="19"/>
      <c r="K18" s="19"/>
      <c r="L18" s="50"/>
      <c r="M18" s="73" t="s">
        <v>21</v>
      </c>
      <c r="N18" s="54">
        <f t="shared" si="0"/>
        <v>0</v>
      </c>
      <c r="O18" s="170"/>
      <c r="P18" s="191"/>
      <c r="Q18" s="192"/>
      <c r="R18" s="192"/>
      <c r="S18" s="192"/>
      <c r="T18" s="192"/>
      <c r="U18" s="193"/>
    </row>
    <row r="19" spans="1:21" ht="15.75" customHeight="1">
      <c r="A19" s="85"/>
      <c r="B19" s="37">
        <f>ROW()-13</f>
        <v>6</v>
      </c>
      <c r="C19" s="145" t="s">
        <v>420</v>
      </c>
      <c r="D19" s="80"/>
      <c r="E19" s="81"/>
      <c r="F19" s="146"/>
      <c r="G19" s="17"/>
      <c r="H19" s="18" t="s">
        <v>49</v>
      </c>
      <c r="I19" s="59"/>
      <c r="J19" s="19">
        <v>1</v>
      </c>
      <c r="K19" s="19"/>
      <c r="L19" s="50"/>
      <c r="M19" s="73" t="s">
        <v>21</v>
      </c>
      <c r="N19" s="54">
        <f t="shared" si="0"/>
        <v>1</v>
      </c>
      <c r="O19" s="170"/>
      <c r="P19" s="191"/>
      <c r="Q19" s="192"/>
      <c r="R19" s="192"/>
      <c r="S19" s="192"/>
      <c r="T19" s="192"/>
      <c r="U19" s="193"/>
    </row>
    <row r="20" spans="1:21" ht="15.75" customHeight="1">
      <c r="A20" s="85"/>
      <c r="B20" s="37">
        <f>ROW()-13</f>
        <v>7</v>
      </c>
      <c r="C20" s="145" t="s">
        <v>421</v>
      </c>
      <c r="D20" s="80"/>
      <c r="E20" s="81"/>
      <c r="F20" s="146"/>
      <c r="G20" s="17"/>
      <c r="H20" s="18" t="s">
        <v>49</v>
      </c>
      <c r="I20" s="59"/>
      <c r="J20" s="19">
        <v>4</v>
      </c>
      <c r="K20" s="19"/>
      <c r="L20" s="50"/>
      <c r="M20" s="73" t="s">
        <v>21</v>
      </c>
      <c r="N20" s="54">
        <f t="shared" si="0"/>
        <v>4</v>
      </c>
      <c r="O20" s="170"/>
      <c r="P20" s="191"/>
      <c r="Q20" s="192"/>
      <c r="R20" s="192"/>
      <c r="S20" s="192"/>
      <c r="T20" s="192"/>
      <c r="U20" s="193"/>
    </row>
    <row r="21" spans="1:21" ht="15.75" customHeight="1">
      <c r="A21" s="85"/>
      <c r="B21" s="37">
        <f>ROW()-13</f>
        <v>8</v>
      </c>
      <c r="C21" s="145" t="s">
        <v>422</v>
      </c>
      <c r="D21" s="80"/>
      <c r="E21" s="81"/>
      <c r="F21" s="146"/>
      <c r="G21" s="17"/>
      <c r="H21" s="18" t="s">
        <v>49</v>
      </c>
      <c r="I21" s="59"/>
      <c r="J21" s="19">
        <v>2</v>
      </c>
      <c r="K21" s="19"/>
      <c r="L21" s="50"/>
      <c r="M21" s="73" t="s">
        <v>21</v>
      </c>
      <c r="N21" s="54">
        <f t="shared" si="0"/>
        <v>2</v>
      </c>
      <c r="O21" s="170"/>
      <c r="P21" s="191"/>
      <c r="Q21" s="192"/>
      <c r="R21" s="192"/>
      <c r="S21" s="192"/>
      <c r="T21" s="192"/>
      <c r="U21" s="193"/>
    </row>
    <row r="22" spans="1:21" ht="15.75" customHeight="1">
      <c r="A22" s="85"/>
      <c r="B22" s="37">
        <f>ROW()-13</f>
        <v>9</v>
      </c>
      <c r="C22" s="145" t="s">
        <v>384</v>
      </c>
      <c r="D22" s="80"/>
      <c r="E22" s="81"/>
      <c r="F22" s="146"/>
      <c r="G22" s="17"/>
      <c r="H22" s="18" t="s">
        <v>49</v>
      </c>
      <c r="I22" s="59"/>
      <c r="J22" s="19">
        <v>3</v>
      </c>
      <c r="K22" s="19"/>
      <c r="L22" s="50"/>
      <c r="M22" s="73" t="s">
        <v>21</v>
      </c>
      <c r="N22" s="54">
        <f t="shared" si="0"/>
        <v>3</v>
      </c>
      <c r="O22" s="170"/>
      <c r="P22" s="191"/>
      <c r="Q22" s="192"/>
      <c r="R22" s="192"/>
      <c r="S22" s="192"/>
      <c r="T22" s="192"/>
      <c r="U22" s="193"/>
    </row>
    <row r="23" spans="1:21" ht="15.75" customHeight="1">
      <c r="A23" s="85"/>
      <c r="B23" s="37">
        <f>ROW()-13</f>
        <v>10</v>
      </c>
      <c r="C23" s="145" t="s">
        <v>271</v>
      </c>
      <c r="D23" s="80"/>
      <c r="E23" s="81"/>
      <c r="F23" s="146"/>
      <c r="G23" s="17"/>
      <c r="H23" s="18" t="s">
        <v>49</v>
      </c>
      <c r="I23" s="59"/>
      <c r="J23" s="19">
        <v>4</v>
      </c>
      <c r="K23" s="19"/>
      <c r="L23" s="50"/>
      <c r="M23" s="73" t="s">
        <v>21</v>
      </c>
      <c r="N23" s="54">
        <f t="shared" si="0"/>
        <v>4</v>
      </c>
      <c r="O23" s="170"/>
      <c r="P23" s="191"/>
      <c r="Q23" s="192"/>
      <c r="R23" s="192"/>
      <c r="S23" s="192"/>
      <c r="T23" s="192"/>
      <c r="U23" s="193"/>
    </row>
    <row r="24" spans="1:21" ht="15.75" customHeight="1">
      <c r="A24" s="85"/>
      <c r="B24" s="37">
        <f>ROW()-13</f>
        <v>11</v>
      </c>
      <c r="C24" s="145" t="s">
        <v>195</v>
      </c>
      <c r="D24" s="80"/>
      <c r="E24" s="81"/>
      <c r="F24" s="146"/>
      <c r="G24" s="17"/>
      <c r="H24" s="18" t="s">
        <v>49</v>
      </c>
      <c r="I24" s="59"/>
      <c r="J24" s="19">
        <v>12</v>
      </c>
      <c r="K24" s="19"/>
      <c r="L24" s="50"/>
      <c r="M24" s="73" t="s">
        <v>21</v>
      </c>
      <c r="N24" s="54">
        <f t="shared" si="0"/>
        <v>12</v>
      </c>
      <c r="O24" s="170"/>
      <c r="P24" s="191"/>
      <c r="Q24" s="192"/>
      <c r="R24" s="192"/>
      <c r="S24" s="192"/>
      <c r="T24" s="192"/>
      <c r="U24" s="193"/>
    </row>
    <row r="25" spans="1:21" ht="15.75" customHeight="1">
      <c r="A25" s="85"/>
      <c r="B25" s="37">
        <f>ROW()-13</f>
        <v>12</v>
      </c>
      <c r="C25" s="145" t="s">
        <v>197</v>
      </c>
      <c r="D25" s="80"/>
      <c r="E25" s="81"/>
      <c r="F25" s="146"/>
      <c r="G25" s="17"/>
      <c r="H25" s="18" t="s">
        <v>49</v>
      </c>
      <c r="I25" s="59"/>
      <c r="J25" s="19">
        <v>1</v>
      </c>
      <c r="K25" s="19"/>
      <c r="L25" s="50" t="s">
        <v>189</v>
      </c>
      <c r="M25" s="73" t="s">
        <v>21</v>
      </c>
      <c r="N25" s="54">
        <f t="shared" si="0"/>
        <v>1</v>
      </c>
      <c r="O25" s="170"/>
      <c r="P25" s="191" t="s">
        <v>175</v>
      </c>
      <c r="Q25" s="192"/>
      <c r="R25" s="192"/>
      <c r="S25" s="192"/>
      <c r="T25" s="192"/>
      <c r="U25" s="193"/>
    </row>
    <row r="26" spans="1:21" ht="15.75" customHeight="1">
      <c r="A26" s="85"/>
      <c r="B26" s="37">
        <f>ROW()-13</f>
        <v>13</v>
      </c>
      <c r="C26" s="145" t="s">
        <v>199</v>
      </c>
      <c r="D26" s="80"/>
      <c r="E26" s="81"/>
      <c r="F26" s="146"/>
      <c r="G26" s="17"/>
      <c r="H26" s="18" t="s">
        <v>51</v>
      </c>
      <c r="I26" s="59"/>
      <c r="J26" s="19">
        <v>25</v>
      </c>
      <c r="K26" s="19"/>
      <c r="L26" s="50" t="s">
        <v>189</v>
      </c>
      <c r="M26" s="73" t="s">
        <v>21</v>
      </c>
      <c r="N26" s="54">
        <f t="shared" si="0"/>
        <v>25</v>
      </c>
      <c r="O26" s="170"/>
      <c r="P26" s="191"/>
      <c r="Q26" s="192"/>
      <c r="R26" s="192"/>
      <c r="S26" s="192"/>
      <c r="T26" s="192"/>
      <c r="U26" s="193"/>
    </row>
    <row r="27" spans="1:21" ht="15.75" customHeight="1">
      <c r="A27" s="85"/>
      <c r="B27" s="37">
        <f>ROW()-13</f>
        <v>14</v>
      </c>
      <c r="C27" s="145" t="s">
        <v>201</v>
      </c>
      <c r="D27" s="80"/>
      <c r="E27" s="81"/>
      <c r="F27" s="146"/>
      <c r="G27" s="17"/>
      <c r="H27" s="18" t="s">
        <v>51</v>
      </c>
      <c r="I27" s="59"/>
      <c r="J27" s="19">
        <v>4</v>
      </c>
      <c r="K27" s="19"/>
      <c r="L27" s="50" t="s">
        <v>189</v>
      </c>
      <c r="M27" s="73" t="s">
        <v>21</v>
      </c>
      <c r="N27" s="54">
        <f t="shared" si="0"/>
        <v>4</v>
      </c>
      <c r="O27" s="170"/>
      <c r="P27" s="191" t="s">
        <v>203</v>
      </c>
      <c r="Q27" s="192"/>
      <c r="R27" s="192"/>
      <c r="S27" s="192"/>
      <c r="T27" s="192"/>
      <c r="U27" s="193"/>
    </row>
    <row r="28" spans="1:21" ht="62.75" customHeight="1">
      <c r="A28" s="85"/>
      <c r="B28" s="37">
        <f>ROW()-13</f>
        <v>15</v>
      </c>
      <c r="C28" s="145" t="s">
        <v>204</v>
      </c>
      <c r="D28" s="80"/>
      <c r="E28" s="81"/>
      <c r="F28" s="146"/>
      <c r="G28" s="17"/>
      <c r="H28" s="18" t="s">
        <v>49</v>
      </c>
      <c r="I28" s="59"/>
      <c r="J28" s="19">
        <v>1</v>
      </c>
      <c r="K28" s="19"/>
      <c r="L28" s="50" t="s">
        <v>189</v>
      </c>
      <c r="M28" s="73" t="s">
        <v>21</v>
      </c>
      <c r="N28" s="54">
        <f t="shared" si="0"/>
        <v>1</v>
      </c>
      <c r="O28" s="170"/>
      <c r="P28" s="251" t="s">
        <v>265</v>
      </c>
      <c r="Q28" s="192"/>
      <c r="R28" s="192"/>
      <c r="S28" s="192"/>
      <c r="T28" s="192"/>
      <c r="U28" s="193"/>
    </row>
    <row r="29" spans="1:21" ht="27.5" customHeight="1">
      <c r="A29" s="85"/>
      <c r="B29" s="37">
        <f>ROW()-13</f>
        <v>16</v>
      </c>
      <c r="C29" s="145" t="s">
        <v>207</v>
      </c>
      <c r="D29" s="80"/>
      <c r="E29" s="81"/>
      <c r="F29" s="146"/>
      <c r="G29" s="17"/>
      <c r="H29" s="18" t="s">
        <v>49</v>
      </c>
      <c r="I29" s="59"/>
      <c r="J29" s="19">
        <v>1</v>
      </c>
      <c r="K29" s="19"/>
      <c r="L29" s="50" t="s">
        <v>189</v>
      </c>
      <c r="M29" s="73" t="s">
        <v>21</v>
      </c>
      <c r="N29" s="54">
        <f t="shared" si="0"/>
        <v>1</v>
      </c>
      <c r="O29" s="170"/>
      <c r="P29" s="251" t="s">
        <v>208</v>
      </c>
      <c r="Q29" s="192"/>
      <c r="R29" s="192"/>
      <c r="S29" s="192"/>
      <c r="T29" s="192"/>
      <c r="U29" s="193"/>
    </row>
    <row r="30" spans="1:21" ht="15.75" customHeight="1">
      <c r="A30" s="85"/>
      <c r="B30" s="37">
        <f>ROW()-13</f>
        <v>17</v>
      </c>
      <c r="C30" s="145" t="s">
        <v>423</v>
      </c>
      <c r="D30" s="80"/>
      <c r="E30" s="81"/>
      <c r="F30" s="146"/>
      <c r="G30" s="17"/>
      <c r="H30" s="18" t="s">
        <v>49</v>
      </c>
      <c r="I30" s="59"/>
      <c r="J30" s="19">
        <v>12</v>
      </c>
      <c r="K30" s="19"/>
      <c r="L30" s="50"/>
      <c r="M30" s="73" t="s">
        <v>21</v>
      </c>
      <c r="N30" s="54">
        <f t="shared" si="0"/>
        <v>12</v>
      </c>
      <c r="O30" s="170"/>
      <c r="P30" s="191" t="s">
        <v>424</v>
      </c>
      <c r="Q30" s="192"/>
      <c r="R30" s="192"/>
      <c r="S30" s="192"/>
      <c r="T30" s="192"/>
      <c r="U30" s="193"/>
    </row>
    <row r="31" spans="1:21" ht="15.75" customHeight="1">
      <c r="A31" s="85"/>
      <c r="B31" s="37">
        <f>ROW()-13</f>
        <v>18</v>
      </c>
      <c r="C31" s="145" t="s">
        <v>389</v>
      </c>
      <c r="D31" s="80"/>
      <c r="E31" s="81"/>
      <c r="F31" s="146"/>
      <c r="G31" s="17"/>
      <c r="H31" s="18" t="s">
        <v>49</v>
      </c>
      <c r="I31" s="59"/>
      <c r="J31" s="19">
        <v>3</v>
      </c>
      <c r="K31" s="19"/>
      <c r="L31" s="50"/>
      <c r="M31" s="73" t="s">
        <v>21</v>
      </c>
      <c r="N31" s="54">
        <f t="shared" si="0"/>
        <v>3</v>
      </c>
      <c r="O31" s="170"/>
      <c r="P31" s="191"/>
      <c r="Q31" s="192"/>
      <c r="R31" s="192"/>
      <c r="S31" s="192"/>
      <c r="T31" s="192"/>
      <c r="U31" s="193"/>
    </row>
    <row r="32" spans="1:21" ht="15.75" customHeight="1">
      <c r="A32" s="85"/>
      <c r="B32" s="37">
        <f>ROW()-13</f>
        <v>19</v>
      </c>
      <c r="C32" s="145" t="s">
        <v>425</v>
      </c>
      <c r="D32" s="80"/>
      <c r="E32" s="81"/>
      <c r="F32" s="146"/>
      <c r="G32" s="17"/>
      <c r="H32" s="18" t="s">
        <v>211</v>
      </c>
      <c r="I32" s="59"/>
      <c r="J32" s="19"/>
      <c r="K32" s="19"/>
      <c r="L32" s="50"/>
      <c r="M32" s="73" t="s">
        <v>21</v>
      </c>
      <c r="N32" s="54">
        <f t="shared" si="0"/>
        <v>0</v>
      </c>
      <c r="O32" s="170"/>
      <c r="P32" s="191"/>
      <c r="Q32" s="192"/>
      <c r="R32" s="192"/>
      <c r="S32" s="192"/>
      <c r="T32" s="192"/>
      <c r="U32" s="193"/>
    </row>
    <row r="33" spans="1:21" ht="15.5">
      <c r="A33" s="85"/>
      <c r="B33" s="37">
        <f t="shared" ref="B33:B39" si="1">ROW()-13</f>
        <v>20</v>
      </c>
      <c r="C33" s="107" t="s">
        <v>36</v>
      </c>
      <c r="D33" s="107"/>
      <c r="E33" s="108"/>
      <c r="F33" s="109" t="s">
        <v>78</v>
      </c>
      <c r="G33" s="110"/>
      <c r="H33" s="18" t="s">
        <v>51</v>
      </c>
      <c r="I33" s="59"/>
      <c r="J33" s="113">
        <v>12</v>
      </c>
      <c r="K33" s="113"/>
      <c r="L33" s="114"/>
      <c r="M33" s="115" t="s">
        <v>35</v>
      </c>
      <c r="N33" s="116">
        <f t="shared" si="0"/>
        <v>12</v>
      </c>
      <c r="O33" s="171"/>
      <c r="P33" s="197"/>
      <c r="Q33" s="198"/>
      <c r="R33" s="198"/>
      <c r="S33" s="198"/>
      <c r="T33" s="198"/>
      <c r="U33" s="199"/>
    </row>
    <row r="34" spans="1:21" ht="15.5">
      <c r="A34" s="85"/>
      <c r="B34" s="37">
        <f t="shared" si="1"/>
        <v>21</v>
      </c>
      <c r="C34" s="107" t="s">
        <v>37</v>
      </c>
      <c r="D34" s="107"/>
      <c r="E34" s="108"/>
      <c r="F34" s="109" t="s">
        <v>43</v>
      </c>
      <c r="G34" s="110"/>
      <c r="H34" s="18" t="s">
        <v>51</v>
      </c>
      <c r="I34" s="59"/>
      <c r="J34" s="113">
        <v>10</v>
      </c>
      <c r="K34" s="113"/>
      <c r="L34" s="114"/>
      <c r="M34" s="115" t="s">
        <v>21</v>
      </c>
      <c r="N34" s="116">
        <f t="shared" si="0"/>
        <v>10</v>
      </c>
      <c r="O34" s="171"/>
      <c r="P34" s="197"/>
      <c r="Q34" s="198"/>
      <c r="R34" s="198"/>
      <c r="S34" s="198"/>
      <c r="T34" s="198"/>
      <c r="U34" s="199"/>
    </row>
    <row r="35" spans="1:21" ht="15.5">
      <c r="A35" s="85"/>
      <c r="B35" s="37">
        <f t="shared" si="1"/>
        <v>22</v>
      </c>
      <c r="C35" s="107" t="s">
        <v>38</v>
      </c>
      <c r="D35" s="107"/>
      <c r="E35" s="108"/>
      <c r="F35" s="109" t="s">
        <v>80</v>
      </c>
      <c r="G35" s="110"/>
      <c r="H35" s="18" t="s">
        <v>86</v>
      </c>
      <c r="I35" s="59"/>
      <c r="J35" s="113"/>
      <c r="K35" s="113"/>
      <c r="L35" s="114"/>
      <c r="M35" s="115" t="s">
        <v>21</v>
      </c>
      <c r="N35" s="116">
        <f t="shared" si="0"/>
        <v>0</v>
      </c>
      <c r="O35" s="171"/>
      <c r="P35" s="197"/>
      <c r="Q35" s="198"/>
      <c r="R35" s="198"/>
      <c r="S35" s="198"/>
      <c r="T35" s="198"/>
      <c r="U35" s="199"/>
    </row>
    <row r="36" spans="1:21" ht="15.5">
      <c r="A36" s="85"/>
      <c r="B36" s="37">
        <f t="shared" si="1"/>
        <v>23</v>
      </c>
      <c r="C36" s="107" t="s">
        <v>39</v>
      </c>
      <c r="D36" s="107"/>
      <c r="E36" s="108"/>
      <c r="F36" s="109" t="s">
        <v>79</v>
      </c>
      <c r="G36" s="110"/>
      <c r="H36" s="18" t="s">
        <v>51</v>
      </c>
      <c r="I36" s="59"/>
      <c r="J36" s="113">
        <v>12</v>
      </c>
      <c r="K36" s="113"/>
      <c r="L36" s="114"/>
      <c r="M36" s="115" t="s">
        <v>35</v>
      </c>
      <c r="N36" s="116">
        <f t="shared" si="0"/>
        <v>12</v>
      </c>
      <c r="O36" s="171"/>
      <c r="P36" s="197"/>
      <c r="Q36" s="198"/>
      <c r="R36" s="198"/>
      <c r="S36" s="198"/>
      <c r="T36" s="198"/>
      <c r="U36" s="199"/>
    </row>
    <row r="37" spans="1:21" ht="15.5">
      <c r="A37" s="85"/>
      <c r="B37" s="37">
        <f t="shared" si="1"/>
        <v>24</v>
      </c>
      <c r="C37" s="107" t="s">
        <v>40</v>
      </c>
      <c r="D37" s="107"/>
      <c r="E37" s="108"/>
      <c r="F37" s="109" t="s">
        <v>44</v>
      </c>
      <c r="G37" s="110"/>
      <c r="H37" s="18" t="s">
        <v>51</v>
      </c>
      <c r="I37" s="59"/>
      <c r="J37" s="113">
        <v>10</v>
      </c>
      <c r="K37" s="113"/>
      <c r="L37" s="114"/>
      <c r="M37" s="115" t="s">
        <v>21</v>
      </c>
      <c r="N37" s="116">
        <f t="shared" si="0"/>
        <v>10</v>
      </c>
      <c r="O37" s="171"/>
      <c r="P37" s="197"/>
      <c r="Q37" s="198"/>
      <c r="R37" s="198"/>
      <c r="S37" s="198"/>
      <c r="T37" s="198"/>
      <c r="U37" s="199"/>
    </row>
    <row r="38" spans="1:21" ht="15.5">
      <c r="A38" s="85"/>
      <c r="B38" s="37">
        <f t="shared" si="1"/>
        <v>25</v>
      </c>
      <c r="C38" s="107" t="s">
        <v>41</v>
      </c>
      <c r="D38" s="107"/>
      <c r="E38" s="108"/>
      <c r="F38" s="109" t="s">
        <v>81</v>
      </c>
      <c r="G38" s="110"/>
      <c r="H38" s="18" t="s">
        <v>86</v>
      </c>
      <c r="I38" s="59"/>
      <c r="J38" s="113"/>
      <c r="K38" s="113"/>
      <c r="L38" s="114"/>
      <c r="M38" s="115" t="s">
        <v>21</v>
      </c>
      <c r="N38" s="116">
        <f t="shared" si="0"/>
        <v>0</v>
      </c>
      <c r="O38" s="171"/>
      <c r="P38" s="197"/>
      <c r="Q38" s="198"/>
      <c r="R38" s="198"/>
      <c r="S38" s="198"/>
      <c r="T38" s="198"/>
      <c r="U38" s="199"/>
    </row>
    <row r="39" spans="1:21" ht="15.5">
      <c r="A39" s="85"/>
      <c r="B39" s="37">
        <f t="shared" si="1"/>
        <v>26</v>
      </c>
      <c r="C39" s="80" t="s">
        <v>46</v>
      </c>
      <c r="D39" s="80"/>
      <c r="E39" s="81"/>
      <c r="F39" s="84" t="s">
        <v>71</v>
      </c>
      <c r="G39" s="17"/>
      <c r="H39" s="18" t="s">
        <v>62</v>
      </c>
      <c r="I39" s="59"/>
      <c r="J39" s="19">
        <v>8</v>
      </c>
      <c r="K39" s="19"/>
      <c r="L39" s="50" t="s">
        <v>47</v>
      </c>
      <c r="M39" s="73" t="s">
        <v>35</v>
      </c>
      <c r="N39" s="54">
        <f t="shared" si="0"/>
        <v>8</v>
      </c>
      <c r="O39" s="170">
        <v>0</v>
      </c>
      <c r="P39" s="191" t="s">
        <v>48</v>
      </c>
      <c r="Q39" s="192"/>
      <c r="R39" s="192"/>
      <c r="S39" s="192"/>
      <c r="T39" s="192"/>
      <c r="U39" s="193"/>
    </row>
    <row r="40" spans="1:21" ht="16" thickBot="1">
      <c r="A40" s="118"/>
      <c r="B40" s="119"/>
      <c r="C40" s="120"/>
      <c r="D40" s="120"/>
      <c r="E40" s="121"/>
      <c r="F40" s="129"/>
      <c r="G40" s="122"/>
      <c r="H40" s="147"/>
      <c r="I40" s="148"/>
      <c r="J40" s="125"/>
      <c r="K40" s="125"/>
      <c r="L40" s="126"/>
      <c r="M40" s="126"/>
      <c r="N40" s="127"/>
      <c r="O40" s="172"/>
      <c r="P40" s="194"/>
      <c r="Q40" s="195"/>
      <c r="R40" s="195"/>
      <c r="S40" s="195"/>
      <c r="T40" s="195"/>
      <c r="U40" s="196"/>
    </row>
  </sheetData>
  <mergeCells count="57">
    <mergeCell ref="P40:U40"/>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32770"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32771"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32772"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32773"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32774"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BB641783-BD89-43FE-9542-02A82B7F5727}">
            <xm:f>(AND(H14&lt;&gt;"",ISERROR(VLOOKUP(H14,system!$E:$E,1,FALSE))))</xm:f>
            <x14:dxf>
              <fill>
                <patternFill patternType="solid">
                  <bgColor rgb="FFFF0000"/>
                </patternFill>
              </fill>
            </x14:dxf>
          </x14:cfRule>
          <xm:sqref>H14:H32</xm:sqref>
        </x14:conditionalFormatting>
        <x14:conditionalFormatting xmlns:xm="http://schemas.microsoft.com/office/excel/2006/main">
          <x14:cfRule type="expression" priority="3" id="{347F28E5-C5B9-429B-9D4F-79C75480FBBF}">
            <xm:f>(AND(H14&lt;&gt;"",ISERROR(VLOOKUP(H14,system!$E:$E,1,FALSE))))</xm:f>
            <x14:dxf>
              <fill>
                <patternFill>
                  <bgColor rgb="FFFF0000"/>
                </patternFill>
              </fill>
            </x14:dxf>
          </x14:cfRule>
          <xm:sqref>I14:I32</xm:sqref>
        </x14:conditionalFormatting>
        <x14:conditionalFormatting xmlns:xm="http://schemas.microsoft.com/office/excel/2006/main">
          <x14:cfRule type="expression" priority="2" id="{6910CE8E-6E97-4B78-83ED-A8A0E610751B}">
            <xm:f>(AND(H33&lt;&gt;"",ISERROR(VLOOKUP(H33,system!$E:$E,1,FALSE))))</xm:f>
            <x14:dxf>
              <fill>
                <patternFill patternType="solid">
                  <bgColor rgb="FFFF0000"/>
                </patternFill>
              </fill>
            </x14:dxf>
          </x14:cfRule>
          <xm:sqref>H33:H40</xm:sqref>
        </x14:conditionalFormatting>
        <x14:conditionalFormatting xmlns:xm="http://schemas.microsoft.com/office/excel/2006/main">
          <x14:cfRule type="expression" priority="1" id="{8EFD6181-EC40-4ED0-B890-09591798C483}">
            <xm:f>(AND(H33&lt;&gt;"",ISERROR(VLOOKUP(H33,system!$E:$E,1,FALSE))))</xm:f>
            <x14:dxf>
              <fill>
                <patternFill>
                  <bgColor rgb="FFFF0000"/>
                </patternFill>
              </fill>
            </x14:dxf>
          </x14:cfRule>
          <xm:sqref>I33:I40</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8B3BD-BB7D-44E2-91FA-5DB8E08A6FD6}">
  <sheetPr codeName="Sheet32">
    <pageSetUpPr fitToPage="1"/>
  </sheetPr>
  <dimension ref="A1:U4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427</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148</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SUM(N14:N46)</f>
        <v>156</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44" si="0">IF(H14="NUMBER",IF(J14&gt;0,INT((J14+1)/2+0.9),0),IF(H14="DATE",7,IF(OR(H14="LONG",H14="LONG RAW"),100000,J14)))</f>
        <v>1</v>
      </c>
      <c r="O14" s="170"/>
      <c r="P14" s="191" t="s">
        <v>175</v>
      </c>
      <c r="Q14" s="192"/>
      <c r="R14" s="192"/>
      <c r="S14" s="192"/>
      <c r="T14" s="192"/>
      <c r="U14" s="193"/>
    </row>
    <row r="15" spans="1:21" ht="39.25" customHeight="1">
      <c r="A15" s="85" t="s">
        <v>190</v>
      </c>
      <c r="B15" s="37">
        <f>ROW()-13</f>
        <v>2</v>
      </c>
      <c r="C15" s="145" t="s">
        <v>420</v>
      </c>
      <c r="D15" s="80"/>
      <c r="E15" s="81"/>
      <c r="F15" s="146"/>
      <c r="G15" s="17"/>
      <c r="H15" s="18" t="s">
        <v>49</v>
      </c>
      <c r="I15" s="59"/>
      <c r="J15" s="19">
        <v>1</v>
      </c>
      <c r="K15" s="19"/>
      <c r="L15" s="50" t="s">
        <v>189</v>
      </c>
      <c r="M15" s="73" t="s">
        <v>21</v>
      </c>
      <c r="N15" s="54">
        <f t="shared" si="0"/>
        <v>1</v>
      </c>
      <c r="O15" s="170"/>
      <c r="P15" s="251" t="s">
        <v>428</v>
      </c>
      <c r="Q15" s="192"/>
      <c r="R15" s="192"/>
      <c r="S15" s="192"/>
      <c r="T15" s="192"/>
      <c r="U15" s="193"/>
    </row>
    <row r="16" spans="1:21" ht="15.75" customHeight="1">
      <c r="A16" s="85" t="s">
        <v>190</v>
      </c>
      <c r="B16" s="37">
        <f>ROW()-13</f>
        <v>3</v>
      </c>
      <c r="C16" s="145" t="s">
        <v>429</v>
      </c>
      <c r="D16" s="80"/>
      <c r="E16" s="81"/>
      <c r="F16" s="146"/>
      <c r="G16" s="17"/>
      <c r="H16" s="18" t="s">
        <v>51</v>
      </c>
      <c r="I16" s="59"/>
      <c r="J16" s="19">
        <v>11</v>
      </c>
      <c r="K16" s="19"/>
      <c r="L16" s="50" t="s">
        <v>189</v>
      </c>
      <c r="M16" s="73" t="s">
        <v>21</v>
      </c>
      <c r="N16" s="54">
        <f t="shared" si="0"/>
        <v>11</v>
      </c>
      <c r="O16" s="170"/>
      <c r="P16" s="191"/>
      <c r="Q16" s="192"/>
      <c r="R16" s="192"/>
      <c r="S16" s="192"/>
      <c r="T16" s="192"/>
      <c r="U16" s="193"/>
    </row>
    <row r="17" spans="1:21" ht="15.75" customHeight="1">
      <c r="A17" s="85" t="s">
        <v>190</v>
      </c>
      <c r="B17" s="37">
        <f>ROW()-13</f>
        <v>4</v>
      </c>
      <c r="C17" s="145" t="s">
        <v>387</v>
      </c>
      <c r="D17" s="80"/>
      <c r="E17" s="81"/>
      <c r="F17" s="146"/>
      <c r="G17" s="17"/>
      <c r="H17" s="18" t="s">
        <v>24</v>
      </c>
      <c r="I17" s="59"/>
      <c r="J17" s="19"/>
      <c r="K17" s="19"/>
      <c r="L17" s="50" t="s">
        <v>189</v>
      </c>
      <c r="M17" s="73" t="s">
        <v>21</v>
      </c>
      <c r="N17" s="54">
        <f t="shared" si="0"/>
        <v>7</v>
      </c>
      <c r="O17" s="170"/>
      <c r="P17" s="191"/>
      <c r="Q17" s="192"/>
      <c r="R17" s="192"/>
      <c r="S17" s="192"/>
      <c r="T17" s="192"/>
      <c r="U17" s="193"/>
    </row>
    <row r="18" spans="1:21" ht="15.75" customHeight="1">
      <c r="A18" s="85"/>
      <c r="B18" s="37">
        <f>ROW()-13</f>
        <v>5</v>
      </c>
      <c r="C18" s="145" t="s">
        <v>430</v>
      </c>
      <c r="D18" s="80"/>
      <c r="E18" s="81"/>
      <c r="F18" s="146"/>
      <c r="G18" s="17"/>
      <c r="H18" s="18" t="s">
        <v>54</v>
      </c>
      <c r="I18" s="59"/>
      <c r="J18" s="19"/>
      <c r="K18" s="19"/>
      <c r="L18" s="50"/>
      <c r="M18" s="73" t="s">
        <v>21</v>
      </c>
      <c r="N18" s="54">
        <f t="shared" si="0"/>
        <v>0</v>
      </c>
      <c r="O18" s="170"/>
      <c r="P18" s="191"/>
      <c r="Q18" s="192"/>
      <c r="R18" s="192"/>
      <c r="S18" s="192"/>
      <c r="T18" s="192"/>
      <c r="U18" s="193"/>
    </row>
    <row r="19" spans="1:21" ht="15.75" customHeight="1">
      <c r="A19" s="85"/>
      <c r="B19" s="37">
        <f>ROW()-13</f>
        <v>6</v>
      </c>
      <c r="C19" s="145" t="s">
        <v>421</v>
      </c>
      <c r="D19" s="80"/>
      <c r="E19" s="81"/>
      <c r="F19" s="146"/>
      <c r="G19" s="17"/>
      <c r="H19" s="18" t="s">
        <v>49</v>
      </c>
      <c r="I19" s="59"/>
      <c r="J19" s="19">
        <v>4</v>
      </c>
      <c r="K19" s="19"/>
      <c r="L19" s="50"/>
      <c r="M19" s="73" t="s">
        <v>21</v>
      </c>
      <c r="N19" s="54">
        <f t="shared" si="0"/>
        <v>4</v>
      </c>
      <c r="O19" s="170"/>
      <c r="P19" s="191"/>
      <c r="Q19" s="192"/>
      <c r="R19" s="192"/>
      <c r="S19" s="192"/>
      <c r="T19" s="192"/>
      <c r="U19" s="193"/>
    </row>
    <row r="20" spans="1:21" ht="15.75" customHeight="1">
      <c r="A20" s="85"/>
      <c r="B20" s="37">
        <f>ROW()-13</f>
        <v>7</v>
      </c>
      <c r="C20" s="145" t="s">
        <v>389</v>
      </c>
      <c r="D20" s="80"/>
      <c r="E20" s="81"/>
      <c r="F20" s="146"/>
      <c r="G20" s="17"/>
      <c r="H20" s="18" t="s">
        <v>49</v>
      </c>
      <c r="I20" s="59"/>
      <c r="J20" s="19">
        <v>2</v>
      </c>
      <c r="K20" s="19"/>
      <c r="L20" s="50"/>
      <c r="M20" s="73" t="s">
        <v>21</v>
      </c>
      <c r="N20" s="54">
        <f t="shared" si="0"/>
        <v>2</v>
      </c>
      <c r="O20" s="170"/>
      <c r="P20" s="191"/>
      <c r="Q20" s="192"/>
      <c r="R20" s="192"/>
      <c r="S20" s="192"/>
      <c r="T20" s="192"/>
      <c r="U20" s="193"/>
    </row>
    <row r="21" spans="1:21" ht="15.75" customHeight="1">
      <c r="A21" s="85"/>
      <c r="B21" s="37">
        <f>ROW()-13</f>
        <v>8</v>
      </c>
      <c r="C21" s="145" t="s">
        <v>431</v>
      </c>
      <c r="D21" s="80"/>
      <c r="E21" s="81"/>
      <c r="F21" s="146"/>
      <c r="G21" s="17"/>
      <c r="H21" s="18" t="s">
        <v>49</v>
      </c>
      <c r="I21" s="59"/>
      <c r="J21" s="19">
        <v>1</v>
      </c>
      <c r="K21" s="19"/>
      <c r="L21" s="50"/>
      <c r="M21" s="73" t="s">
        <v>21</v>
      </c>
      <c r="N21" s="54">
        <f t="shared" si="0"/>
        <v>1</v>
      </c>
      <c r="O21" s="170"/>
      <c r="P21" s="191"/>
      <c r="Q21" s="192"/>
      <c r="R21" s="192"/>
      <c r="S21" s="192"/>
      <c r="T21" s="192"/>
      <c r="U21" s="193"/>
    </row>
    <row r="22" spans="1:21" ht="15.75" customHeight="1">
      <c r="A22" s="85"/>
      <c r="B22" s="37">
        <f>ROW()-13</f>
        <v>9</v>
      </c>
      <c r="C22" s="145" t="s">
        <v>195</v>
      </c>
      <c r="D22" s="80"/>
      <c r="E22" s="81"/>
      <c r="F22" s="146"/>
      <c r="G22" s="17"/>
      <c r="H22" s="18" t="s">
        <v>49</v>
      </c>
      <c r="I22" s="59"/>
      <c r="J22" s="19">
        <v>12</v>
      </c>
      <c r="K22" s="19"/>
      <c r="L22" s="50"/>
      <c r="M22" s="73" t="s">
        <v>21</v>
      </c>
      <c r="N22" s="54">
        <f t="shared" si="0"/>
        <v>12</v>
      </c>
      <c r="O22" s="170"/>
      <c r="P22" s="191"/>
      <c r="Q22" s="192"/>
      <c r="R22" s="192"/>
      <c r="S22" s="192"/>
      <c r="T22" s="192"/>
      <c r="U22" s="193"/>
    </row>
    <row r="23" spans="1:21" ht="15.75" customHeight="1">
      <c r="A23" s="85"/>
      <c r="B23" s="37">
        <f>ROW()-13</f>
        <v>10</v>
      </c>
      <c r="C23" s="145" t="s">
        <v>197</v>
      </c>
      <c r="D23" s="80"/>
      <c r="E23" s="81"/>
      <c r="F23" s="146"/>
      <c r="G23" s="17"/>
      <c r="H23" s="18" t="s">
        <v>49</v>
      </c>
      <c r="I23" s="59"/>
      <c r="J23" s="19">
        <v>1</v>
      </c>
      <c r="K23" s="19"/>
      <c r="L23" s="50" t="s">
        <v>189</v>
      </c>
      <c r="M23" s="73" t="s">
        <v>21</v>
      </c>
      <c r="N23" s="54">
        <f t="shared" si="0"/>
        <v>1</v>
      </c>
      <c r="O23" s="170"/>
      <c r="P23" s="191" t="s">
        <v>175</v>
      </c>
      <c r="Q23" s="192"/>
      <c r="R23" s="192"/>
      <c r="S23" s="192"/>
      <c r="T23" s="192"/>
      <c r="U23" s="193"/>
    </row>
    <row r="24" spans="1:21" ht="15.75" customHeight="1">
      <c r="A24" s="85"/>
      <c r="B24" s="37">
        <f>ROW()-13</f>
        <v>11</v>
      </c>
      <c r="C24" s="145" t="s">
        <v>199</v>
      </c>
      <c r="D24" s="80"/>
      <c r="E24" s="81"/>
      <c r="F24" s="146"/>
      <c r="G24" s="17"/>
      <c r="H24" s="18" t="s">
        <v>51</v>
      </c>
      <c r="I24" s="59"/>
      <c r="J24" s="19">
        <v>25</v>
      </c>
      <c r="K24" s="19"/>
      <c r="L24" s="50" t="s">
        <v>189</v>
      </c>
      <c r="M24" s="73" t="s">
        <v>21</v>
      </c>
      <c r="N24" s="54">
        <f t="shared" si="0"/>
        <v>25</v>
      </c>
      <c r="O24" s="170"/>
      <c r="P24" s="191"/>
      <c r="Q24" s="192"/>
      <c r="R24" s="192"/>
      <c r="S24" s="192"/>
      <c r="T24" s="192"/>
      <c r="U24" s="193"/>
    </row>
    <row r="25" spans="1:21" ht="15.75" customHeight="1">
      <c r="A25" s="85"/>
      <c r="B25" s="37">
        <f>ROW()-13</f>
        <v>12</v>
      </c>
      <c r="C25" s="145" t="s">
        <v>201</v>
      </c>
      <c r="D25" s="80"/>
      <c r="E25" s="81"/>
      <c r="F25" s="146"/>
      <c r="G25" s="17"/>
      <c r="H25" s="18" t="s">
        <v>51</v>
      </c>
      <c r="I25" s="59"/>
      <c r="J25" s="19">
        <v>4</v>
      </c>
      <c r="K25" s="19"/>
      <c r="L25" s="50" t="s">
        <v>189</v>
      </c>
      <c r="M25" s="73" t="s">
        <v>21</v>
      </c>
      <c r="N25" s="54">
        <f t="shared" si="0"/>
        <v>4</v>
      </c>
      <c r="O25" s="170"/>
      <c r="P25" s="191" t="s">
        <v>203</v>
      </c>
      <c r="Q25" s="192"/>
      <c r="R25" s="192"/>
      <c r="S25" s="192"/>
      <c r="T25" s="192"/>
      <c r="U25" s="193"/>
    </row>
    <row r="26" spans="1:21" ht="62.75" customHeight="1">
      <c r="A26" s="85"/>
      <c r="B26" s="37">
        <f>ROW()-13</f>
        <v>13</v>
      </c>
      <c r="C26" s="145" t="s">
        <v>204</v>
      </c>
      <c r="D26" s="80"/>
      <c r="E26" s="81"/>
      <c r="F26" s="146"/>
      <c r="G26" s="17"/>
      <c r="H26" s="18" t="s">
        <v>49</v>
      </c>
      <c r="I26" s="59"/>
      <c r="J26" s="19">
        <v>1</v>
      </c>
      <c r="K26" s="19"/>
      <c r="L26" s="50" t="s">
        <v>189</v>
      </c>
      <c r="M26" s="73" t="s">
        <v>21</v>
      </c>
      <c r="N26" s="54">
        <f t="shared" si="0"/>
        <v>1</v>
      </c>
      <c r="O26" s="170"/>
      <c r="P26" s="251" t="s">
        <v>265</v>
      </c>
      <c r="Q26" s="192"/>
      <c r="R26" s="192"/>
      <c r="S26" s="192"/>
      <c r="T26" s="192"/>
      <c r="U26" s="193"/>
    </row>
    <row r="27" spans="1:21" ht="27.5" customHeight="1">
      <c r="A27" s="85"/>
      <c r="B27" s="37">
        <f>ROW()-13</f>
        <v>14</v>
      </c>
      <c r="C27" s="145" t="s">
        <v>207</v>
      </c>
      <c r="D27" s="80"/>
      <c r="E27" s="81"/>
      <c r="F27" s="146"/>
      <c r="G27" s="17"/>
      <c r="H27" s="18" t="s">
        <v>49</v>
      </c>
      <c r="I27" s="59"/>
      <c r="J27" s="19">
        <v>1</v>
      </c>
      <c r="K27" s="19"/>
      <c r="L27" s="50" t="s">
        <v>189</v>
      </c>
      <c r="M27" s="73" t="s">
        <v>21</v>
      </c>
      <c r="N27" s="54">
        <f t="shared" si="0"/>
        <v>1</v>
      </c>
      <c r="O27" s="170"/>
      <c r="P27" s="251" t="s">
        <v>208</v>
      </c>
      <c r="Q27" s="192"/>
      <c r="R27" s="192"/>
      <c r="S27" s="192"/>
      <c r="T27" s="192"/>
      <c r="U27" s="193"/>
    </row>
    <row r="28" spans="1:21" ht="15.75" customHeight="1">
      <c r="A28" s="85"/>
      <c r="B28" s="37">
        <f>ROW()-13</f>
        <v>15</v>
      </c>
      <c r="C28" s="145" t="s">
        <v>432</v>
      </c>
      <c r="D28" s="80"/>
      <c r="E28" s="81"/>
      <c r="F28" s="146"/>
      <c r="G28" s="17"/>
      <c r="H28" s="18" t="s">
        <v>51</v>
      </c>
      <c r="I28" s="59"/>
      <c r="J28" s="19">
        <v>15</v>
      </c>
      <c r="K28" s="19"/>
      <c r="L28" s="50"/>
      <c r="M28" s="73" t="s">
        <v>21</v>
      </c>
      <c r="N28" s="54">
        <f t="shared" si="0"/>
        <v>15</v>
      </c>
      <c r="O28" s="170"/>
      <c r="P28" s="191"/>
      <c r="Q28" s="192"/>
      <c r="R28" s="192"/>
      <c r="S28" s="192"/>
      <c r="T28" s="192"/>
      <c r="U28" s="193"/>
    </row>
    <row r="29" spans="1:21" ht="15.75" customHeight="1">
      <c r="A29" s="85"/>
      <c r="B29" s="37">
        <f>ROW()-13</f>
        <v>16</v>
      </c>
      <c r="C29" s="145" t="s">
        <v>201</v>
      </c>
      <c r="D29" s="80"/>
      <c r="E29" s="81"/>
      <c r="F29" s="146"/>
      <c r="G29" s="17"/>
      <c r="H29" s="18" t="s">
        <v>49</v>
      </c>
      <c r="I29" s="59"/>
      <c r="J29" s="19">
        <v>3</v>
      </c>
      <c r="K29" s="19"/>
      <c r="L29" s="50"/>
      <c r="M29" s="73" t="s">
        <v>21</v>
      </c>
      <c r="N29" s="54">
        <f t="shared" si="0"/>
        <v>3</v>
      </c>
      <c r="O29" s="170"/>
      <c r="P29" s="191"/>
      <c r="Q29" s="192"/>
      <c r="R29" s="192"/>
      <c r="S29" s="192"/>
      <c r="T29" s="192"/>
      <c r="U29" s="193"/>
    </row>
    <row r="30" spans="1:21" ht="15.75" customHeight="1">
      <c r="A30" s="85"/>
      <c r="B30" s="37">
        <f>ROW()-13</f>
        <v>17</v>
      </c>
      <c r="C30" s="145" t="s">
        <v>433</v>
      </c>
      <c r="D30" s="80"/>
      <c r="E30" s="81"/>
      <c r="F30" s="146"/>
      <c r="G30" s="17"/>
      <c r="H30" s="18" t="s">
        <v>211</v>
      </c>
      <c r="I30" s="59"/>
      <c r="J30" s="19"/>
      <c r="K30" s="19"/>
      <c r="L30" s="50"/>
      <c r="M30" s="73" t="s">
        <v>21</v>
      </c>
      <c r="N30" s="54">
        <f t="shared" si="0"/>
        <v>0</v>
      </c>
      <c r="O30" s="170"/>
      <c r="P30" s="191"/>
      <c r="Q30" s="192"/>
      <c r="R30" s="192"/>
      <c r="S30" s="192"/>
      <c r="T30" s="192"/>
      <c r="U30" s="193"/>
    </row>
    <row r="31" spans="1:21" ht="15.75" customHeight="1">
      <c r="A31" s="85"/>
      <c r="B31" s="37">
        <f>ROW()-13</f>
        <v>18</v>
      </c>
      <c r="C31" s="145" t="s">
        <v>434</v>
      </c>
      <c r="D31" s="80"/>
      <c r="E31" s="81"/>
      <c r="F31" s="146"/>
      <c r="G31" s="17"/>
      <c r="H31" s="18" t="s">
        <v>211</v>
      </c>
      <c r="I31" s="59"/>
      <c r="J31" s="19"/>
      <c r="K31" s="19"/>
      <c r="L31" s="50"/>
      <c r="M31" s="73" t="s">
        <v>21</v>
      </c>
      <c r="N31" s="54">
        <f t="shared" si="0"/>
        <v>0</v>
      </c>
      <c r="O31" s="170"/>
      <c r="P31" s="191"/>
      <c r="Q31" s="192"/>
      <c r="R31" s="192"/>
      <c r="S31" s="192"/>
      <c r="T31" s="192"/>
      <c r="U31" s="193"/>
    </row>
    <row r="32" spans="1:21" ht="15.75" customHeight="1">
      <c r="A32" s="85"/>
      <c r="B32" s="37">
        <f>ROW()-13</f>
        <v>19</v>
      </c>
      <c r="C32" s="145" t="s">
        <v>435</v>
      </c>
      <c r="D32" s="80"/>
      <c r="E32" s="81"/>
      <c r="F32" s="146"/>
      <c r="G32" s="17"/>
      <c r="H32" s="18" t="s">
        <v>51</v>
      </c>
      <c r="I32" s="59"/>
      <c r="J32" s="19">
        <v>6</v>
      </c>
      <c r="K32" s="19"/>
      <c r="L32" s="50"/>
      <c r="M32" s="73" t="s">
        <v>21</v>
      </c>
      <c r="N32" s="54">
        <f t="shared" si="0"/>
        <v>6</v>
      </c>
      <c r="O32" s="170"/>
      <c r="P32" s="191"/>
      <c r="Q32" s="192"/>
      <c r="R32" s="192"/>
      <c r="S32" s="192"/>
      <c r="T32" s="192"/>
      <c r="U32" s="193"/>
    </row>
    <row r="33" spans="1:21" ht="15.75" customHeight="1">
      <c r="A33" s="85"/>
      <c r="B33" s="37">
        <f>ROW()-13</f>
        <v>20</v>
      </c>
      <c r="C33" s="145" t="s">
        <v>436</v>
      </c>
      <c r="D33" s="80"/>
      <c r="E33" s="81"/>
      <c r="F33" s="146"/>
      <c r="G33" s="17"/>
      <c r="H33" s="18" t="s">
        <v>49</v>
      </c>
      <c r="I33" s="59"/>
      <c r="J33" s="19">
        <v>2</v>
      </c>
      <c r="K33" s="19"/>
      <c r="L33" s="50"/>
      <c r="M33" s="73" t="s">
        <v>21</v>
      </c>
      <c r="N33" s="54">
        <f t="shared" si="0"/>
        <v>2</v>
      </c>
      <c r="O33" s="170"/>
      <c r="P33" s="191"/>
      <c r="Q33" s="192"/>
      <c r="R33" s="192"/>
      <c r="S33" s="192"/>
      <c r="T33" s="192"/>
      <c r="U33" s="193"/>
    </row>
    <row r="34" spans="1:21" ht="15.75" customHeight="1">
      <c r="A34" s="85"/>
      <c r="B34" s="37">
        <f>ROW()-13</f>
        <v>21</v>
      </c>
      <c r="C34" s="145" t="s">
        <v>437</v>
      </c>
      <c r="D34" s="80"/>
      <c r="E34" s="81"/>
      <c r="F34" s="146"/>
      <c r="G34" s="17"/>
      <c r="H34" s="18" t="s">
        <v>49</v>
      </c>
      <c r="I34" s="59"/>
      <c r="J34" s="19">
        <v>2</v>
      </c>
      <c r="K34" s="19"/>
      <c r="L34" s="50"/>
      <c r="M34" s="73" t="s">
        <v>21</v>
      </c>
      <c r="N34" s="54">
        <f t="shared" si="0"/>
        <v>2</v>
      </c>
      <c r="O34" s="170"/>
      <c r="P34" s="191"/>
      <c r="Q34" s="192"/>
      <c r="R34" s="192"/>
      <c r="S34" s="192"/>
      <c r="T34" s="192"/>
      <c r="U34" s="193"/>
    </row>
    <row r="35" spans="1:21" ht="15.75" customHeight="1">
      <c r="A35" s="85"/>
      <c r="B35" s="37">
        <f>ROW()-13</f>
        <v>22</v>
      </c>
      <c r="C35" s="145" t="s">
        <v>438</v>
      </c>
      <c r="D35" s="80"/>
      <c r="E35" s="81"/>
      <c r="F35" s="146"/>
      <c r="G35" s="17"/>
      <c r="H35" s="18" t="s">
        <v>49</v>
      </c>
      <c r="I35" s="59"/>
      <c r="J35" s="19">
        <v>3</v>
      </c>
      <c r="K35" s="19"/>
      <c r="L35" s="50"/>
      <c r="M35" s="73" t="s">
        <v>21</v>
      </c>
      <c r="N35" s="54">
        <f t="shared" si="0"/>
        <v>3</v>
      </c>
      <c r="O35" s="170"/>
      <c r="P35" s="191"/>
      <c r="Q35" s="192"/>
      <c r="R35" s="192"/>
      <c r="S35" s="192"/>
      <c r="T35" s="192"/>
      <c r="U35" s="193"/>
    </row>
    <row r="36" spans="1:21" ht="15.75" customHeight="1">
      <c r="A36" s="85"/>
      <c r="B36" s="37">
        <f>ROW()-13</f>
        <v>23</v>
      </c>
      <c r="C36" s="145" t="s">
        <v>439</v>
      </c>
      <c r="D36" s="80"/>
      <c r="E36" s="81"/>
      <c r="F36" s="146"/>
      <c r="G36" s="17"/>
      <c r="H36" s="18" t="s">
        <v>49</v>
      </c>
      <c r="I36" s="59"/>
      <c r="J36" s="19">
        <v>1</v>
      </c>
      <c r="K36" s="19"/>
      <c r="L36" s="50"/>
      <c r="M36" s="73" t="s">
        <v>21</v>
      </c>
      <c r="N36" s="54">
        <f t="shared" si="0"/>
        <v>1</v>
      </c>
      <c r="O36" s="252" t="s">
        <v>440</v>
      </c>
      <c r="P36" s="191"/>
      <c r="Q36" s="192"/>
      <c r="R36" s="192"/>
      <c r="S36" s="192"/>
      <c r="T36" s="192"/>
      <c r="U36" s="193"/>
    </row>
    <row r="37" spans="1:21" ht="27.5" customHeight="1">
      <c r="A37" s="85"/>
      <c r="B37" s="37">
        <f>ROW()-13</f>
        <v>24</v>
      </c>
      <c r="C37" s="145" t="s">
        <v>275</v>
      </c>
      <c r="D37" s="80"/>
      <c r="E37" s="81"/>
      <c r="F37" s="146"/>
      <c r="G37" s="17"/>
      <c r="H37" s="18" t="s">
        <v>49</v>
      </c>
      <c r="I37" s="59"/>
      <c r="J37" s="19">
        <v>1</v>
      </c>
      <c r="K37" s="19"/>
      <c r="L37" s="50"/>
      <c r="M37" s="73" t="s">
        <v>21</v>
      </c>
      <c r="N37" s="54">
        <f t="shared" si="0"/>
        <v>1</v>
      </c>
      <c r="O37" s="170"/>
      <c r="P37" s="251" t="s">
        <v>441</v>
      </c>
      <c r="Q37" s="192"/>
      <c r="R37" s="192"/>
      <c r="S37" s="192"/>
      <c r="T37" s="192"/>
      <c r="U37" s="193"/>
    </row>
    <row r="38" spans="1:21" ht="15.5">
      <c r="A38" s="85"/>
      <c r="B38" s="37">
        <f t="shared" ref="B38:B44" si="1">ROW()-13</f>
        <v>25</v>
      </c>
      <c r="C38" s="107" t="s">
        <v>36</v>
      </c>
      <c r="D38" s="107"/>
      <c r="E38" s="108"/>
      <c r="F38" s="109" t="s">
        <v>78</v>
      </c>
      <c r="G38" s="110"/>
      <c r="H38" s="18" t="s">
        <v>51</v>
      </c>
      <c r="I38" s="59"/>
      <c r="J38" s="113">
        <v>12</v>
      </c>
      <c r="K38" s="113"/>
      <c r="L38" s="114"/>
      <c r="M38" s="115" t="s">
        <v>35</v>
      </c>
      <c r="N38" s="116">
        <f t="shared" si="0"/>
        <v>12</v>
      </c>
      <c r="O38" s="171"/>
      <c r="P38" s="197"/>
      <c r="Q38" s="198"/>
      <c r="R38" s="198"/>
      <c r="S38" s="198"/>
      <c r="T38" s="198"/>
      <c r="U38" s="199"/>
    </row>
    <row r="39" spans="1:21" ht="15.5">
      <c r="A39" s="85"/>
      <c r="B39" s="37">
        <f t="shared" si="1"/>
        <v>26</v>
      </c>
      <c r="C39" s="107" t="s">
        <v>37</v>
      </c>
      <c r="D39" s="107"/>
      <c r="E39" s="108"/>
      <c r="F39" s="109" t="s">
        <v>43</v>
      </c>
      <c r="G39" s="110"/>
      <c r="H39" s="18" t="s">
        <v>51</v>
      </c>
      <c r="I39" s="59"/>
      <c r="J39" s="113">
        <v>10</v>
      </c>
      <c r="K39" s="113"/>
      <c r="L39" s="114"/>
      <c r="M39" s="115" t="s">
        <v>21</v>
      </c>
      <c r="N39" s="116">
        <f t="shared" si="0"/>
        <v>10</v>
      </c>
      <c r="O39" s="171"/>
      <c r="P39" s="197"/>
      <c r="Q39" s="198"/>
      <c r="R39" s="198"/>
      <c r="S39" s="198"/>
      <c r="T39" s="198"/>
      <c r="U39" s="199"/>
    </row>
    <row r="40" spans="1:21" ht="15.5">
      <c r="A40" s="85"/>
      <c r="B40" s="37">
        <f t="shared" si="1"/>
        <v>27</v>
      </c>
      <c r="C40" s="107" t="s">
        <v>38</v>
      </c>
      <c r="D40" s="107"/>
      <c r="E40" s="108"/>
      <c r="F40" s="109" t="s">
        <v>80</v>
      </c>
      <c r="G40" s="110"/>
      <c r="H40" s="18" t="s">
        <v>86</v>
      </c>
      <c r="I40" s="59"/>
      <c r="J40" s="113"/>
      <c r="K40" s="113"/>
      <c r="L40" s="114"/>
      <c r="M40" s="115" t="s">
        <v>21</v>
      </c>
      <c r="N40" s="116">
        <f t="shared" si="0"/>
        <v>0</v>
      </c>
      <c r="O40" s="171"/>
      <c r="P40" s="197"/>
      <c r="Q40" s="198"/>
      <c r="R40" s="198"/>
      <c r="S40" s="198"/>
      <c r="T40" s="198"/>
      <c r="U40" s="199"/>
    </row>
    <row r="41" spans="1:21" ht="15.5">
      <c r="A41" s="85"/>
      <c r="B41" s="37">
        <f t="shared" si="1"/>
        <v>28</v>
      </c>
      <c r="C41" s="107" t="s">
        <v>39</v>
      </c>
      <c r="D41" s="107"/>
      <c r="E41" s="108"/>
      <c r="F41" s="109" t="s">
        <v>79</v>
      </c>
      <c r="G41" s="110"/>
      <c r="H41" s="18" t="s">
        <v>51</v>
      </c>
      <c r="I41" s="59"/>
      <c r="J41" s="113">
        <v>12</v>
      </c>
      <c r="K41" s="113"/>
      <c r="L41" s="114"/>
      <c r="M41" s="115" t="s">
        <v>35</v>
      </c>
      <c r="N41" s="116">
        <f t="shared" si="0"/>
        <v>12</v>
      </c>
      <c r="O41" s="171"/>
      <c r="P41" s="197"/>
      <c r="Q41" s="198"/>
      <c r="R41" s="198"/>
      <c r="S41" s="198"/>
      <c r="T41" s="198"/>
      <c r="U41" s="199"/>
    </row>
    <row r="42" spans="1:21" ht="15.5">
      <c r="A42" s="85"/>
      <c r="B42" s="37">
        <f t="shared" si="1"/>
        <v>29</v>
      </c>
      <c r="C42" s="107" t="s">
        <v>40</v>
      </c>
      <c r="D42" s="107"/>
      <c r="E42" s="108"/>
      <c r="F42" s="109" t="s">
        <v>44</v>
      </c>
      <c r="G42" s="110"/>
      <c r="H42" s="18" t="s">
        <v>51</v>
      </c>
      <c r="I42" s="59"/>
      <c r="J42" s="113">
        <v>10</v>
      </c>
      <c r="K42" s="113"/>
      <c r="L42" s="114"/>
      <c r="M42" s="115" t="s">
        <v>21</v>
      </c>
      <c r="N42" s="116">
        <f t="shared" si="0"/>
        <v>10</v>
      </c>
      <c r="O42" s="171"/>
      <c r="P42" s="197"/>
      <c r="Q42" s="198"/>
      <c r="R42" s="198"/>
      <c r="S42" s="198"/>
      <c r="T42" s="198"/>
      <c r="U42" s="199"/>
    </row>
    <row r="43" spans="1:21" ht="15.5">
      <c r="A43" s="85"/>
      <c r="B43" s="37">
        <f t="shared" si="1"/>
        <v>30</v>
      </c>
      <c r="C43" s="107" t="s">
        <v>41</v>
      </c>
      <c r="D43" s="107"/>
      <c r="E43" s="108"/>
      <c r="F43" s="109" t="s">
        <v>81</v>
      </c>
      <c r="G43" s="110"/>
      <c r="H43" s="18" t="s">
        <v>86</v>
      </c>
      <c r="I43" s="59"/>
      <c r="J43" s="113"/>
      <c r="K43" s="113"/>
      <c r="L43" s="114"/>
      <c r="M43" s="115" t="s">
        <v>21</v>
      </c>
      <c r="N43" s="116">
        <f t="shared" si="0"/>
        <v>0</v>
      </c>
      <c r="O43" s="171"/>
      <c r="P43" s="197"/>
      <c r="Q43" s="198"/>
      <c r="R43" s="198"/>
      <c r="S43" s="198"/>
      <c r="T43" s="198"/>
      <c r="U43" s="199"/>
    </row>
    <row r="44" spans="1:21" ht="15.5">
      <c r="A44" s="85"/>
      <c r="B44" s="37">
        <f t="shared" si="1"/>
        <v>31</v>
      </c>
      <c r="C44" s="80" t="s">
        <v>46</v>
      </c>
      <c r="D44" s="80"/>
      <c r="E44" s="81"/>
      <c r="F44" s="84" t="s">
        <v>71</v>
      </c>
      <c r="G44" s="17"/>
      <c r="H44" s="18" t="s">
        <v>62</v>
      </c>
      <c r="I44" s="59"/>
      <c r="J44" s="19">
        <v>8</v>
      </c>
      <c r="K44" s="19"/>
      <c r="L44" s="50" t="s">
        <v>47</v>
      </c>
      <c r="M44" s="73" t="s">
        <v>35</v>
      </c>
      <c r="N44" s="54">
        <f t="shared" si="0"/>
        <v>8</v>
      </c>
      <c r="O44" s="170">
        <v>0</v>
      </c>
      <c r="P44" s="191" t="s">
        <v>48</v>
      </c>
      <c r="Q44" s="192"/>
      <c r="R44" s="192"/>
      <c r="S44" s="192"/>
      <c r="T44" s="192"/>
      <c r="U44" s="193"/>
    </row>
    <row r="45" spans="1:21" ht="16" thickBot="1">
      <c r="A45" s="118"/>
      <c r="B45" s="119"/>
      <c r="C45" s="120"/>
      <c r="D45" s="120"/>
      <c r="E45" s="121"/>
      <c r="F45" s="129"/>
      <c r="G45" s="122"/>
      <c r="H45" s="147"/>
      <c r="I45" s="148"/>
      <c r="J45" s="125"/>
      <c r="K45" s="125"/>
      <c r="L45" s="126"/>
      <c r="M45" s="126"/>
      <c r="N45" s="127"/>
      <c r="O45" s="172"/>
      <c r="P45" s="194"/>
      <c r="Q45" s="195"/>
      <c r="R45" s="195"/>
      <c r="S45" s="195"/>
      <c r="T45" s="195"/>
      <c r="U45" s="196"/>
    </row>
  </sheetData>
  <mergeCells count="62">
    <mergeCell ref="P40:U40"/>
    <mergeCell ref="P41:U41"/>
    <mergeCell ref="P42:U42"/>
    <mergeCell ref="P43:U43"/>
    <mergeCell ref="P44:U44"/>
    <mergeCell ref="P45:U45"/>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33794"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33795"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33796"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33797"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33798"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AF5A58C-B536-4141-8698-8F9BACE24A18}">
            <xm:f>(AND(H14&lt;&gt;"",ISERROR(VLOOKUP(H14,system!$E:$E,1,FALSE))))</xm:f>
            <x14:dxf>
              <fill>
                <patternFill patternType="solid">
                  <bgColor rgb="FFFF0000"/>
                </patternFill>
              </fill>
            </x14:dxf>
          </x14:cfRule>
          <xm:sqref>H14:H37</xm:sqref>
        </x14:conditionalFormatting>
        <x14:conditionalFormatting xmlns:xm="http://schemas.microsoft.com/office/excel/2006/main">
          <x14:cfRule type="expression" priority="3" id="{47C3D974-8EAA-4381-AE90-0D157C2A8E67}">
            <xm:f>(AND(H14&lt;&gt;"",ISERROR(VLOOKUP(H14,system!$E:$E,1,FALSE))))</xm:f>
            <x14:dxf>
              <fill>
                <patternFill>
                  <bgColor rgb="FFFF0000"/>
                </patternFill>
              </fill>
            </x14:dxf>
          </x14:cfRule>
          <xm:sqref>I14:I37</xm:sqref>
        </x14:conditionalFormatting>
        <x14:conditionalFormatting xmlns:xm="http://schemas.microsoft.com/office/excel/2006/main">
          <x14:cfRule type="expression" priority="2" id="{FB8B5B80-391E-455F-8232-C39BCC6BA9EF}">
            <xm:f>(AND(H38&lt;&gt;"",ISERROR(VLOOKUP(H38,system!$E:$E,1,FALSE))))</xm:f>
            <x14:dxf>
              <fill>
                <patternFill patternType="solid">
                  <bgColor rgb="FFFF0000"/>
                </patternFill>
              </fill>
            </x14:dxf>
          </x14:cfRule>
          <xm:sqref>H38:H45</xm:sqref>
        </x14:conditionalFormatting>
        <x14:conditionalFormatting xmlns:xm="http://schemas.microsoft.com/office/excel/2006/main">
          <x14:cfRule type="expression" priority="1" id="{E236E460-EFC6-44CF-89EB-B238AE7C249F}">
            <xm:f>(AND(H38&lt;&gt;"",ISERROR(VLOOKUP(H38,system!$E:$E,1,FALSE))))</xm:f>
            <x14:dxf>
              <fill>
                <patternFill>
                  <bgColor rgb="FFFF0000"/>
                </patternFill>
              </fill>
            </x14:dxf>
          </x14:cfRule>
          <xm:sqref>I38:I45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E4E4A-96AC-4A15-95D0-51392F1A8355}">
  <sheetPr codeName="Sheet33">
    <pageSetUpPr fitToPage="1"/>
  </sheetPr>
  <dimension ref="A1:U29"/>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445</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150</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t="s">
        <v>442</v>
      </c>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SUM(N14:N30)</f>
        <v>69</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28" si="0">IF(H14="NUMBER",IF(J14&gt;0,INT((J14+1)/2+0.9),0),IF(H14="DATE",7,IF(OR(H14="LONG",H14="LONG RAW"),100000,J14)))</f>
        <v>1</v>
      </c>
      <c r="O14" s="170"/>
      <c r="P14" s="191" t="s">
        <v>175</v>
      </c>
      <c r="Q14" s="192"/>
      <c r="R14" s="192"/>
      <c r="S14" s="192"/>
      <c r="T14" s="192"/>
      <c r="U14" s="193"/>
    </row>
    <row r="15" spans="1:21" ht="27.5" customHeight="1">
      <c r="A15" s="85" t="s">
        <v>190</v>
      </c>
      <c r="B15" s="37">
        <f>ROW()-13</f>
        <v>2</v>
      </c>
      <c r="C15" s="145" t="s">
        <v>446</v>
      </c>
      <c r="D15" s="80"/>
      <c r="E15" s="81"/>
      <c r="F15" s="146"/>
      <c r="G15" s="17"/>
      <c r="H15" s="18" t="s">
        <v>49</v>
      </c>
      <c r="I15" s="59"/>
      <c r="J15" s="19">
        <v>1</v>
      </c>
      <c r="K15" s="19"/>
      <c r="L15" s="50" t="s">
        <v>189</v>
      </c>
      <c r="M15" s="73" t="s">
        <v>21</v>
      </c>
      <c r="N15" s="54">
        <f t="shared" si="0"/>
        <v>1</v>
      </c>
      <c r="O15" s="170"/>
      <c r="P15" s="251" t="s">
        <v>447</v>
      </c>
      <c r="Q15" s="192"/>
      <c r="R15" s="192"/>
      <c r="S15" s="192"/>
      <c r="T15" s="192"/>
      <c r="U15" s="193"/>
    </row>
    <row r="16" spans="1:21" ht="15.75" customHeight="1">
      <c r="A16" s="85" t="s">
        <v>190</v>
      </c>
      <c r="B16" s="37">
        <f>ROW()-13</f>
        <v>3</v>
      </c>
      <c r="C16" s="145" t="s">
        <v>376</v>
      </c>
      <c r="D16" s="80"/>
      <c r="E16" s="81"/>
      <c r="F16" s="146"/>
      <c r="G16" s="17"/>
      <c r="H16" s="18" t="s">
        <v>49</v>
      </c>
      <c r="I16" s="59"/>
      <c r="J16" s="19">
        <v>4</v>
      </c>
      <c r="K16" s="19"/>
      <c r="L16" s="50" t="s">
        <v>189</v>
      </c>
      <c r="M16" s="73" t="s">
        <v>21</v>
      </c>
      <c r="N16" s="54">
        <f t="shared" si="0"/>
        <v>4</v>
      </c>
      <c r="O16" s="170"/>
      <c r="P16" s="191"/>
      <c r="Q16" s="192"/>
      <c r="R16" s="192"/>
      <c r="S16" s="192"/>
      <c r="T16" s="192"/>
      <c r="U16" s="193"/>
    </row>
    <row r="17" spans="1:21" ht="15.75" customHeight="1">
      <c r="A17" s="85" t="s">
        <v>190</v>
      </c>
      <c r="B17" s="37">
        <f>ROW()-13</f>
        <v>4</v>
      </c>
      <c r="C17" s="145" t="s">
        <v>311</v>
      </c>
      <c r="D17" s="80"/>
      <c r="E17" s="81"/>
      <c r="F17" s="146"/>
      <c r="G17" s="17"/>
      <c r="H17" s="18" t="s">
        <v>51</v>
      </c>
      <c r="I17" s="59"/>
      <c r="J17" s="19">
        <v>4</v>
      </c>
      <c r="K17" s="19"/>
      <c r="L17" s="50" t="s">
        <v>189</v>
      </c>
      <c r="M17" s="73" t="s">
        <v>21</v>
      </c>
      <c r="N17" s="54">
        <f t="shared" si="0"/>
        <v>4</v>
      </c>
      <c r="O17" s="170"/>
      <c r="P17" s="191" t="s">
        <v>203</v>
      </c>
      <c r="Q17" s="192"/>
      <c r="R17" s="192"/>
      <c r="S17" s="192"/>
      <c r="T17" s="192"/>
      <c r="U17" s="193"/>
    </row>
    <row r="18" spans="1:21" ht="15.75" customHeight="1">
      <c r="A18" s="85"/>
      <c r="B18" s="37">
        <f>ROW()-13</f>
        <v>5</v>
      </c>
      <c r="C18" s="145" t="s">
        <v>448</v>
      </c>
      <c r="D18" s="80"/>
      <c r="E18" s="81"/>
      <c r="F18" s="146"/>
      <c r="G18" s="17"/>
      <c r="H18" s="18" t="s">
        <v>24</v>
      </c>
      <c r="I18" s="59"/>
      <c r="J18" s="19"/>
      <c r="K18" s="19"/>
      <c r="L18" s="50" t="s">
        <v>189</v>
      </c>
      <c r="M18" s="73" t="s">
        <v>21</v>
      </c>
      <c r="N18" s="54">
        <f t="shared" si="0"/>
        <v>7</v>
      </c>
      <c r="O18" s="170"/>
      <c r="P18" s="191"/>
      <c r="Q18" s="192"/>
      <c r="R18" s="192"/>
      <c r="S18" s="192"/>
      <c r="T18" s="192"/>
      <c r="U18" s="193"/>
    </row>
    <row r="19" spans="1:21" ht="15.75" customHeight="1">
      <c r="A19" s="85"/>
      <c r="B19" s="37">
        <f>ROW()-13</f>
        <v>6</v>
      </c>
      <c r="C19" s="145" t="s">
        <v>449</v>
      </c>
      <c r="D19" s="80"/>
      <c r="E19" s="81"/>
      <c r="F19" s="146"/>
      <c r="G19" s="17"/>
      <c r="H19" s="18" t="s">
        <v>54</v>
      </c>
      <c r="I19" s="59"/>
      <c r="J19" s="19"/>
      <c r="K19" s="19"/>
      <c r="L19" s="50" t="s">
        <v>189</v>
      </c>
      <c r="M19" s="73" t="s">
        <v>21</v>
      </c>
      <c r="N19" s="54">
        <f t="shared" si="0"/>
        <v>0</v>
      </c>
      <c r="O19" s="170"/>
      <c r="P19" s="191"/>
      <c r="Q19" s="192"/>
      <c r="R19" s="192"/>
      <c r="S19" s="192"/>
      <c r="T19" s="192"/>
      <c r="U19" s="193"/>
    </row>
    <row r="20" spans="1:21" ht="15.75" customHeight="1">
      <c r="A20" s="85"/>
      <c r="B20" s="37">
        <f>ROW()-13</f>
        <v>7</v>
      </c>
      <c r="C20" s="145" t="s">
        <v>450</v>
      </c>
      <c r="D20" s="80"/>
      <c r="E20" s="81"/>
      <c r="F20" s="146"/>
      <c r="G20" s="17"/>
      <c r="H20" s="18" t="s">
        <v>211</v>
      </c>
      <c r="I20" s="59"/>
      <c r="J20" s="19"/>
      <c r="K20" s="19"/>
      <c r="L20" s="50" t="s">
        <v>189</v>
      </c>
      <c r="M20" s="73" t="s">
        <v>21</v>
      </c>
      <c r="N20" s="54">
        <f t="shared" si="0"/>
        <v>0</v>
      </c>
      <c r="O20" s="170"/>
      <c r="P20" s="191"/>
      <c r="Q20" s="192"/>
      <c r="R20" s="192"/>
      <c r="S20" s="192"/>
      <c r="T20" s="192"/>
      <c r="U20" s="193"/>
    </row>
    <row r="21" spans="1:21" ht="15.75" customHeight="1">
      <c r="A21" s="85"/>
      <c r="B21" s="37">
        <f>ROW()-13</f>
        <v>8</v>
      </c>
      <c r="C21" s="145" t="s">
        <v>451</v>
      </c>
      <c r="D21" s="80"/>
      <c r="E21" s="81"/>
      <c r="F21" s="146"/>
      <c r="G21" s="17"/>
      <c r="H21" s="18" t="s">
        <v>211</v>
      </c>
      <c r="I21" s="59"/>
      <c r="J21" s="19"/>
      <c r="K21" s="19"/>
      <c r="L21" s="50" t="s">
        <v>189</v>
      </c>
      <c r="M21" s="73" t="s">
        <v>21</v>
      </c>
      <c r="N21" s="54">
        <f t="shared" si="0"/>
        <v>0</v>
      </c>
      <c r="O21" s="170"/>
      <c r="P21" s="191"/>
      <c r="Q21" s="192"/>
      <c r="R21" s="192"/>
      <c r="S21" s="192"/>
      <c r="T21" s="192"/>
      <c r="U21" s="193"/>
    </row>
    <row r="22" spans="1:21" ht="15.5">
      <c r="A22" s="85"/>
      <c r="B22" s="37">
        <f t="shared" ref="B22:B28" si="1">ROW()-13</f>
        <v>9</v>
      </c>
      <c r="C22" s="107" t="s">
        <v>36</v>
      </c>
      <c r="D22" s="107"/>
      <c r="E22" s="108"/>
      <c r="F22" s="109" t="s">
        <v>78</v>
      </c>
      <c r="G22" s="110"/>
      <c r="H22" s="18" t="s">
        <v>51</v>
      </c>
      <c r="I22" s="59"/>
      <c r="J22" s="113">
        <v>12</v>
      </c>
      <c r="K22" s="113"/>
      <c r="L22" s="114"/>
      <c r="M22" s="115" t="s">
        <v>35</v>
      </c>
      <c r="N22" s="116">
        <f t="shared" si="0"/>
        <v>12</v>
      </c>
      <c r="O22" s="171"/>
      <c r="P22" s="197"/>
      <c r="Q22" s="198"/>
      <c r="R22" s="198"/>
      <c r="S22" s="198"/>
      <c r="T22" s="198"/>
      <c r="U22" s="199"/>
    </row>
    <row r="23" spans="1:21" ht="15.5">
      <c r="A23" s="85"/>
      <c r="B23" s="37">
        <f t="shared" si="1"/>
        <v>10</v>
      </c>
      <c r="C23" s="107" t="s">
        <v>37</v>
      </c>
      <c r="D23" s="107"/>
      <c r="E23" s="108"/>
      <c r="F23" s="109" t="s">
        <v>43</v>
      </c>
      <c r="G23" s="110"/>
      <c r="H23" s="18" t="s">
        <v>51</v>
      </c>
      <c r="I23" s="59"/>
      <c r="J23" s="113">
        <v>10</v>
      </c>
      <c r="K23" s="113"/>
      <c r="L23" s="114"/>
      <c r="M23" s="115" t="s">
        <v>21</v>
      </c>
      <c r="N23" s="116">
        <f t="shared" si="0"/>
        <v>10</v>
      </c>
      <c r="O23" s="171"/>
      <c r="P23" s="197"/>
      <c r="Q23" s="198"/>
      <c r="R23" s="198"/>
      <c r="S23" s="198"/>
      <c r="T23" s="198"/>
      <c r="U23" s="199"/>
    </row>
    <row r="24" spans="1:21" ht="15.5">
      <c r="A24" s="85"/>
      <c r="B24" s="37">
        <f t="shared" si="1"/>
        <v>11</v>
      </c>
      <c r="C24" s="107" t="s">
        <v>38</v>
      </c>
      <c r="D24" s="107"/>
      <c r="E24" s="108"/>
      <c r="F24" s="109" t="s">
        <v>80</v>
      </c>
      <c r="G24" s="110"/>
      <c r="H24" s="18" t="s">
        <v>86</v>
      </c>
      <c r="I24" s="59"/>
      <c r="J24" s="113"/>
      <c r="K24" s="113"/>
      <c r="L24" s="114"/>
      <c r="M24" s="115" t="s">
        <v>21</v>
      </c>
      <c r="N24" s="116">
        <f t="shared" si="0"/>
        <v>0</v>
      </c>
      <c r="O24" s="171"/>
      <c r="P24" s="197"/>
      <c r="Q24" s="198"/>
      <c r="R24" s="198"/>
      <c r="S24" s="198"/>
      <c r="T24" s="198"/>
      <c r="U24" s="199"/>
    </row>
    <row r="25" spans="1:21" ht="15.5">
      <c r="A25" s="85"/>
      <c r="B25" s="37">
        <f t="shared" si="1"/>
        <v>12</v>
      </c>
      <c r="C25" s="107" t="s">
        <v>39</v>
      </c>
      <c r="D25" s="107"/>
      <c r="E25" s="108"/>
      <c r="F25" s="109" t="s">
        <v>79</v>
      </c>
      <c r="G25" s="110"/>
      <c r="H25" s="18" t="s">
        <v>51</v>
      </c>
      <c r="I25" s="59"/>
      <c r="J25" s="113">
        <v>12</v>
      </c>
      <c r="K25" s="113"/>
      <c r="L25" s="114"/>
      <c r="M25" s="115" t="s">
        <v>35</v>
      </c>
      <c r="N25" s="116">
        <f t="shared" si="0"/>
        <v>12</v>
      </c>
      <c r="O25" s="171"/>
      <c r="P25" s="197"/>
      <c r="Q25" s="198"/>
      <c r="R25" s="198"/>
      <c r="S25" s="198"/>
      <c r="T25" s="198"/>
      <c r="U25" s="199"/>
    </row>
    <row r="26" spans="1:21" ht="15.5">
      <c r="A26" s="85"/>
      <c r="B26" s="37">
        <f t="shared" si="1"/>
        <v>13</v>
      </c>
      <c r="C26" s="107" t="s">
        <v>40</v>
      </c>
      <c r="D26" s="107"/>
      <c r="E26" s="108"/>
      <c r="F26" s="109" t="s">
        <v>44</v>
      </c>
      <c r="G26" s="110"/>
      <c r="H26" s="18" t="s">
        <v>51</v>
      </c>
      <c r="I26" s="59"/>
      <c r="J26" s="113">
        <v>10</v>
      </c>
      <c r="K26" s="113"/>
      <c r="L26" s="114"/>
      <c r="M26" s="115" t="s">
        <v>21</v>
      </c>
      <c r="N26" s="116">
        <f t="shared" si="0"/>
        <v>10</v>
      </c>
      <c r="O26" s="171"/>
      <c r="P26" s="197"/>
      <c r="Q26" s="198"/>
      <c r="R26" s="198"/>
      <c r="S26" s="198"/>
      <c r="T26" s="198"/>
      <c r="U26" s="199"/>
    </row>
    <row r="27" spans="1:21" ht="15.5">
      <c r="A27" s="85"/>
      <c r="B27" s="37">
        <f t="shared" si="1"/>
        <v>14</v>
      </c>
      <c r="C27" s="107" t="s">
        <v>41</v>
      </c>
      <c r="D27" s="107"/>
      <c r="E27" s="108"/>
      <c r="F27" s="109" t="s">
        <v>81</v>
      </c>
      <c r="G27" s="110"/>
      <c r="H27" s="18" t="s">
        <v>86</v>
      </c>
      <c r="I27" s="59"/>
      <c r="J27" s="113"/>
      <c r="K27" s="113"/>
      <c r="L27" s="114"/>
      <c r="M27" s="115" t="s">
        <v>21</v>
      </c>
      <c r="N27" s="116">
        <f t="shared" si="0"/>
        <v>0</v>
      </c>
      <c r="O27" s="171"/>
      <c r="P27" s="197"/>
      <c r="Q27" s="198"/>
      <c r="R27" s="198"/>
      <c r="S27" s="198"/>
      <c r="T27" s="198"/>
      <c r="U27" s="199"/>
    </row>
    <row r="28" spans="1:21" ht="15.5">
      <c r="A28" s="85"/>
      <c r="B28" s="37">
        <f t="shared" si="1"/>
        <v>15</v>
      </c>
      <c r="C28" s="80" t="s">
        <v>46</v>
      </c>
      <c r="D28" s="80"/>
      <c r="E28" s="81"/>
      <c r="F28" s="84" t="s">
        <v>71</v>
      </c>
      <c r="G28" s="17"/>
      <c r="H28" s="18" t="s">
        <v>62</v>
      </c>
      <c r="I28" s="59"/>
      <c r="J28" s="19">
        <v>8</v>
      </c>
      <c r="K28" s="19"/>
      <c r="L28" s="50" t="s">
        <v>47</v>
      </c>
      <c r="M28" s="73" t="s">
        <v>35</v>
      </c>
      <c r="N28" s="54">
        <f t="shared" si="0"/>
        <v>8</v>
      </c>
      <c r="O28" s="170">
        <v>0</v>
      </c>
      <c r="P28" s="191" t="s">
        <v>48</v>
      </c>
      <c r="Q28" s="192"/>
      <c r="R28" s="192"/>
      <c r="S28" s="192"/>
      <c r="T28" s="192"/>
      <c r="U28" s="193"/>
    </row>
    <row r="29" spans="1:21" ht="16" thickBot="1">
      <c r="A29" s="118"/>
      <c r="B29" s="119"/>
      <c r="C29" s="120"/>
      <c r="D29" s="120"/>
      <c r="E29" s="121"/>
      <c r="F29" s="129"/>
      <c r="G29" s="122"/>
      <c r="H29" s="147"/>
      <c r="I29" s="148"/>
      <c r="J29" s="125"/>
      <c r="K29" s="125"/>
      <c r="L29" s="126"/>
      <c r="M29" s="126"/>
      <c r="N29" s="127"/>
      <c r="O29" s="172"/>
      <c r="P29" s="194"/>
      <c r="Q29" s="195"/>
      <c r="R29" s="195"/>
      <c r="S29" s="195"/>
      <c r="T29" s="195"/>
      <c r="U29" s="196"/>
    </row>
  </sheetData>
  <mergeCells count="46">
    <mergeCell ref="P28:U28"/>
    <mergeCell ref="P29:U29"/>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34818"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34819"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34820"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34821"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34822"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DC062F3-4560-4E0D-A777-1D7796B98C64}">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9CAE9871-863A-41EA-954A-8222F434CB14}">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06748D55-EB76-46A4-860C-EB5DE1FC34EF}">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1875AE7B-CC67-480C-A799-8104E2D647B9}">
            <xm:f>(AND(H22&lt;&gt;"",ISERROR(VLOOKUP(H22,system!$E:$E,1,FALSE))))</xm:f>
            <x14:dxf>
              <fill>
                <patternFill>
                  <bgColor rgb="FFFF0000"/>
                </patternFill>
              </fill>
            </x14:dxf>
          </x14:cfRule>
          <xm:sqref>I22:I29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F2FEA-E049-4564-8714-64D9E17BA046}">
  <sheetPr codeName="Sheet34">
    <pageSetUpPr fitToPage="1"/>
  </sheetPr>
  <dimension ref="A1:U38"/>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454</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151</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t="s">
        <v>452</v>
      </c>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SUM(N14:N39)</f>
        <v>94</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37" si="0">IF(H14="NUMBER",IF(J14&gt;0,INT((J14+1)/2+0.9),0),IF(H14="DATE",7,IF(OR(H14="LONG",H14="LONG RAW"),100000,J14)))</f>
        <v>1</v>
      </c>
      <c r="O14" s="170"/>
      <c r="P14" s="191" t="s">
        <v>175</v>
      </c>
      <c r="Q14" s="192"/>
      <c r="R14" s="192"/>
      <c r="S14" s="192"/>
      <c r="T14" s="192"/>
      <c r="U14" s="193"/>
    </row>
    <row r="15" spans="1:21" ht="27.5" customHeight="1">
      <c r="A15" s="85" t="s">
        <v>190</v>
      </c>
      <c r="B15" s="37">
        <f>ROW()-13</f>
        <v>2</v>
      </c>
      <c r="C15" s="145" t="s">
        <v>446</v>
      </c>
      <c r="D15" s="80"/>
      <c r="E15" s="81"/>
      <c r="F15" s="146"/>
      <c r="G15" s="17"/>
      <c r="H15" s="18" t="s">
        <v>49</v>
      </c>
      <c r="I15" s="59"/>
      <c r="J15" s="19">
        <v>1</v>
      </c>
      <c r="K15" s="19"/>
      <c r="L15" s="50" t="s">
        <v>189</v>
      </c>
      <c r="M15" s="73" t="s">
        <v>21</v>
      </c>
      <c r="N15" s="54">
        <f t="shared" si="0"/>
        <v>1</v>
      </c>
      <c r="O15" s="170"/>
      <c r="P15" s="251" t="s">
        <v>447</v>
      </c>
      <c r="Q15" s="192"/>
      <c r="R15" s="192"/>
      <c r="S15" s="192"/>
      <c r="T15" s="192"/>
      <c r="U15" s="193"/>
    </row>
    <row r="16" spans="1:21" ht="15.75" customHeight="1">
      <c r="A16" s="85" t="s">
        <v>190</v>
      </c>
      <c r="B16" s="37">
        <f>ROW()-13</f>
        <v>3</v>
      </c>
      <c r="C16" s="145" t="s">
        <v>197</v>
      </c>
      <c r="D16" s="80"/>
      <c r="E16" s="81"/>
      <c r="F16" s="146"/>
      <c r="G16" s="17"/>
      <c r="H16" s="18" t="s">
        <v>49</v>
      </c>
      <c r="I16" s="59"/>
      <c r="J16" s="19">
        <v>1</v>
      </c>
      <c r="K16" s="19"/>
      <c r="L16" s="50" t="s">
        <v>189</v>
      </c>
      <c r="M16" s="73" t="s">
        <v>21</v>
      </c>
      <c r="N16" s="54">
        <f t="shared" si="0"/>
        <v>1</v>
      </c>
      <c r="O16" s="170"/>
      <c r="P16" s="191" t="s">
        <v>175</v>
      </c>
      <c r="Q16" s="192"/>
      <c r="R16" s="192"/>
      <c r="S16" s="192"/>
      <c r="T16" s="192"/>
      <c r="U16" s="193"/>
    </row>
    <row r="17" spans="1:21" ht="15.75" customHeight="1">
      <c r="A17" s="85" t="s">
        <v>190</v>
      </c>
      <c r="B17" s="37">
        <f>ROW()-13</f>
        <v>4</v>
      </c>
      <c r="C17" s="145" t="s">
        <v>199</v>
      </c>
      <c r="D17" s="80"/>
      <c r="E17" s="81"/>
      <c r="F17" s="146"/>
      <c r="G17" s="17"/>
      <c r="H17" s="18" t="s">
        <v>51</v>
      </c>
      <c r="I17" s="59"/>
      <c r="J17" s="19">
        <v>25</v>
      </c>
      <c r="K17" s="19"/>
      <c r="L17" s="50" t="s">
        <v>189</v>
      </c>
      <c r="M17" s="73" t="s">
        <v>21</v>
      </c>
      <c r="N17" s="54">
        <f t="shared" si="0"/>
        <v>25</v>
      </c>
      <c r="O17" s="170"/>
      <c r="P17" s="191"/>
      <c r="Q17" s="192"/>
      <c r="R17" s="192"/>
      <c r="S17" s="192"/>
      <c r="T17" s="192"/>
      <c r="U17" s="193"/>
    </row>
    <row r="18" spans="1:21" ht="15.75" customHeight="1">
      <c r="A18" s="85" t="s">
        <v>190</v>
      </c>
      <c r="B18" s="37">
        <f>ROW()-13</f>
        <v>5</v>
      </c>
      <c r="C18" s="145" t="s">
        <v>201</v>
      </c>
      <c r="D18" s="80"/>
      <c r="E18" s="81"/>
      <c r="F18" s="146"/>
      <c r="G18" s="17"/>
      <c r="H18" s="18" t="s">
        <v>51</v>
      </c>
      <c r="I18" s="59"/>
      <c r="J18" s="19">
        <v>4</v>
      </c>
      <c r="K18" s="19"/>
      <c r="L18" s="50" t="s">
        <v>189</v>
      </c>
      <c r="M18" s="73" t="s">
        <v>21</v>
      </c>
      <c r="N18" s="54">
        <f t="shared" si="0"/>
        <v>4</v>
      </c>
      <c r="O18" s="170"/>
      <c r="P18" s="191" t="s">
        <v>203</v>
      </c>
      <c r="Q18" s="192"/>
      <c r="R18" s="192"/>
      <c r="S18" s="192"/>
      <c r="T18" s="192"/>
      <c r="U18" s="193"/>
    </row>
    <row r="19" spans="1:21" ht="62.75" customHeight="1">
      <c r="A19" s="85" t="s">
        <v>190</v>
      </c>
      <c r="B19" s="37">
        <f>ROW()-13</f>
        <v>6</v>
      </c>
      <c r="C19" s="145" t="s">
        <v>204</v>
      </c>
      <c r="D19" s="80"/>
      <c r="E19" s="81"/>
      <c r="F19" s="146"/>
      <c r="G19" s="17"/>
      <c r="H19" s="18" t="s">
        <v>49</v>
      </c>
      <c r="I19" s="59"/>
      <c r="J19" s="19">
        <v>1</v>
      </c>
      <c r="K19" s="19"/>
      <c r="L19" s="50" t="s">
        <v>189</v>
      </c>
      <c r="M19" s="73" t="s">
        <v>21</v>
      </c>
      <c r="N19" s="54">
        <f t="shared" si="0"/>
        <v>1</v>
      </c>
      <c r="O19" s="170"/>
      <c r="P19" s="251" t="s">
        <v>265</v>
      </c>
      <c r="Q19" s="192"/>
      <c r="R19" s="192"/>
      <c r="S19" s="192"/>
      <c r="T19" s="192"/>
      <c r="U19" s="193"/>
    </row>
    <row r="20" spans="1:21" ht="27.5" customHeight="1">
      <c r="A20" s="85" t="s">
        <v>190</v>
      </c>
      <c r="B20" s="37">
        <f>ROW()-13</f>
        <v>7</v>
      </c>
      <c r="C20" s="145" t="s">
        <v>207</v>
      </c>
      <c r="D20" s="80"/>
      <c r="E20" s="81"/>
      <c r="F20" s="146"/>
      <c r="G20" s="17"/>
      <c r="H20" s="18" t="s">
        <v>49</v>
      </c>
      <c r="I20" s="59"/>
      <c r="J20" s="19">
        <v>1</v>
      </c>
      <c r="K20" s="19"/>
      <c r="L20" s="50" t="s">
        <v>189</v>
      </c>
      <c r="M20" s="73" t="s">
        <v>21</v>
      </c>
      <c r="N20" s="54">
        <f t="shared" si="0"/>
        <v>1</v>
      </c>
      <c r="O20" s="170"/>
      <c r="P20" s="251" t="s">
        <v>208</v>
      </c>
      <c r="Q20" s="192"/>
      <c r="R20" s="192"/>
      <c r="S20" s="192"/>
      <c r="T20" s="192"/>
      <c r="U20" s="193"/>
    </row>
    <row r="21" spans="1:21" ht="15.75" customHeight="1">
      <c r="A21" s="85"/>
      <c r="B21" s="37">
        <f>ROW()-13</f>
        <v>8</v>
      </c>
      <c r="C21" s="145" t="s">
        <v>376</v>
      </c>
      <c r="D21" s="80"/>
      <c r="E21" s="81"/>
      <c r="F21" s="146"/>
      <c r="G21" s="17"/>
      <c r="H21" s="18" t="s">
        <v>49</v>
      </c>
      <c r="I21" s="59"/>
      <c r="J21" s="19">
        <v>4</v>
      </c>
      <c r="K21" s="19"/>
      <c r="L21" s="50" t="s">
        <v>189</v>
      </c>
      <c r="M21" s="73" t="s">
        <v>21</v>
      </c>
      <c r="N21" s="54">
        <f t="shared" si="0"/>
        <v>4</v>
      </c>
      <c r="O21" s="170"/>
      <c r="P21" s="191" t="s">
        <v>160</v>
      </c>
      <c r="Q21" s="192"/>
      <c r="R21" s="192"/>
      <c r="S21" s="192"/>
      <c r="T21" s="192"/>
      <c r="U21" s="193"/>
    </row>
    <row r="22" spans="1:21" ht="15.75" customHeight="1">
      <c r="A22" s="85"/>
      <c r="B22" s="37">
        <f>ROW()-13</f>
        <v>9</v>
      </c>
      <c r="C22" s="145" t="s">
        <v>311</v>
      </c>
      <c r="D22" s="80"/>
      <c r="E22" s="81"/>
      <c r="F22" s="146"/>
      <c r="G22" s="17"/>
      <c r="H22" s="18" t="s">
        <v>51</v>
      </c>
      <c r="I22" s="59"/>
      <c r="J22" s="19">
        <v>4</v>
      </c>
      <c r="K22" s="19"/>
      <c r="L22" s="50" t="s">
        <v>189</v>
      </c>
      <c r="M22" s="73" t="s">
        <v>21</v>
      </c>
      <c r="N22" s="54">
        <f t="shared" si="0"/>
        <v>4</v>
      </c>
      <c r="O22" s="170"/>
      <c r="P22" s="191" t="s">
        <v>203</v>
      </c>
      <c r="Q22" s="192"/>
      <c r="R22" s="192"/>
      <c r="S22" s="192"/>
      <c r="T22" s="192"/>
      <c r="U22" s="193"/>
    </row>
    <row r="23" spans="1:21" ht="15.75" customHeight="1">
      <c r="A23" s="85"/>
      <c r="B23" s="37">
        <f>ROW()-13</f>
        <v>10</v>
      </c>
      <c r="C23" s="145" t="s">
        <v>455</v>
      </c>
      <c r="D23" s="80"/>
      <c r="E23" s="81"/>
      <c r="F23" s="146"/>
      <c r="G23" s="17"/>
      <c r="H23" s="18" t="s">
        <v>211</v>
      </c>
      <c r="I23" s="59"/>
      <c r="J23" s="19"/>
      <c r="K23" s="19"/>
      <c r="L23" s="50"/>
      <c r="M23" s="73" t="s">
        <v>21</v>
      </c>
      <c r="N23" s="54">
        <f t="shared" si="0"/>
        <v>0</v>
      </c>
      <c r="O23" s="170"/>
      <c r="P23" s="191"/>
      <c r="Q23" s="192"/>
      <c r="R23" s="192"/>
      <c r="S23" s="192"/>
      <c r="T23" s="192"/>
      <c r="U23" s="193"/>
    </row>
    <row r="24" spans="1:21" ht="15.75" customHeight="1">
      <c r="A24" s="85"/>
      <c r="B24" s="37">
        <f>ROW()-13</f>
        <v>11</v>
      </c>
      <c r="C24" s="145" t="s">
        <v>456</v>
      </c>
      <c r="D24" s="80"/>
      <c r="E24" s="81"/>
      <c r="F24" s="146"/>
      <c r="G24" s="17"/>
      <c r="H24" s="18" t="s">
        <v>211</v>
      </c>
      <c r="I24" s="59"/>
      <c r="J24" s="19"/>
      <c r="K24" s="19"/>
      <c r="L24" s="50"/>
      <c r="M24" s="73" t="s">
        <v>21</v>
      </c>
      <c r="N24" s="54">
        <f t="shared" si="0"/>
        <v>0</v>
      </c>
      <c r="O24" s="170"/>
      <c r="P24" s="191"/>
      <c r="Q24" s="192"/>
      <c r="R24" s="192"/>
      <c r="S24" s="192"/>
      <c r="T24" s="192"/>
      <c r="U24" s="193"/>
    </row>
    <row r="25" spans="1:21" ht="15.75" customHeight="1">
      <c r="A25" s="85"/>
      <c r="B25" s="37">
        <f>ROW()-13</f>
        <v>12</v>
      </c>
      <c r="C25" s="145" t="s">
        <v>402</v>
      </c>
      <c r="D25" s="80"/>
      <c r="E25" s="81"/>
      <c r="F25" s="146"/>
      <c r="G25" s="17"/>
      <c r="H25" s="18" t="s">
        <v>211</v>
      </c>
      <c r="I25" s="59"/>
      <c r="J25" s="19"/>
      <c r="K25" s="19"/>
      <c r="L25" s="50"/>
      <c r="M25" s="73" t="s">
        <v>21</v>
      </c>
      <c r="N25" s="54">
        <f t="shared" si="0"/>
        <v>0</v>
      </c>
      <c r="O25" s="170"/>
      <c r="P25" s="191"/>
      <c r="Q25" s="192"/>
      <c r="R25" s="192"/>
      <c r="S25" s="192"/>
      <c r="T25" s="192"/>
      <c r="U25" s="193"/>
    </row>
    <row r="26" spans="1:21" ht="15.75" customHeight="1">
      <c r="A26" s="85"/>
      <c r="B26" s="37">
        <f>ROW()-13</f>
        <v>13</v>
      </c>
      <c r="C26" s="145" t="s">
        <v>457</v>
      </c>
      <c r="D26" s="80"/>
      <c r="E26" s="81"/>
      <c r="F26" s="146"/>
      <c r="G26" s="17"/>
      <c r="H26" s="18" t="s">
        <v>211</v>
      </c>
      <c r="I26" s="59"/>
      <c r="J26" s="19"/>
      <c r="K26" s="19"/>
      <c r="L26" s="50"/>
      <c r="M26" s="73" t="s">
        <v>21</v>
      </c>
      <c r="N26" s="54">
        <f t="shared" si="0"/>
        <v>0</v>
      </c>
      <c r="O26" s="170"/>
      <c r="P26" s="191"/>
      <c r="Q26" s="192"/>
      <c r="R26" s="192"/>
      <c r="S26" s="192"/>
      <c r="T26" s="192"/>
      <c r="U26" s="193"/>
    </row>
    <row r="27" spans="1:21" ht="15.75" customHeight="1">
      <c r="A27" s="85"/>
      <c r="B27" s="37">
        <f>ROW()-13</f>
        <v>14</v>
      </c>
      <c r="C27" s="145" t="s">
        <v>458</v>
      </c>
      <c r="D27" s="80"/>
      <c r="E27" s="81"/>
      <c r="F27" s="146"/>
      <c r="G27" s="17"/>
      <c r="H27" s="18" t="s">
        <v>211</v>
      </c>
      <c r="I27" s="59"/>
      <c r="J27" s="19"/>
      <c r="K27" s="19"/>
      <c r="L27" s="50"/>
      <c r="M27" s="73" t="s">
        <v>21</v>
      </c>
      <c r="N27" s="54">
        <f t="shared" si="0"/>
        <v>0</v>
      </c>
      <c r="O27" s="170"/>
      <c r="P27" s="191"/>
      <c r="Q27" s="192"/>
      <c r="R27" s="192"/>
      <c r="S27" s="192"/>
      <c r="T27" s="192"/>
      <c r="U27" s="193"/>
    </row>
    <row r="28" spans="1:21" ht="15.75" customHeight="1">
      <c r="A28" s="85"/>
      <c r="B28" s="37">
        <f>ROW()-13</f>
        <v>15</v>
      </c>
      <c r="C28" s="145" t="s">
        <v>459</v>
      </c>
      <c r="D28" s="80"/>
      <c r="E28" s="81"/>
      <c r="F28" s="146"/>
      <c r="G28" s="17"/>
      <c r="H28" s="18" t="s">
        <v>211</v>
      </c>
      <c r="I28" s="59"/>
      <c r="J28" s="19"/>
      <c r="K28" s="19"/>
      <c r="L28" s="50"/>
      <c r="M28" s="73" t="s">
        <v>21</v>
      </c>
      <c r="N28" s="54">
        <f t="shared" si="0"/>
        <v>0</v>
      </c>
      <c r="O28" s="170"/>
      <c r="P28" s="191"/>
      <c r="Q28" s="192"/>
      <c r="R28" s="192"/>
      <c r="S28" s="192"/>
      <c r="T28" s="192"/>
      <c r="U28" s="193"/>
    </row>
    <row r="29" spans="1:21" ht="15.75" customHeight="1">
      <c r="A29" s="85"/>
      <c r="B29" s="37">
        <f>ROW()-13</f>
        <v>16</v>
      </c>
      <c r="C29" s="145" t="s">
        <v>460</v>
      </c>
      <c r="D29" s="80"/>
      <c r="E29" s="81"/>
      <c r="F29" s="146"/>
      <c r="G29" s="17"/>
      <c r="H29" s="18" t="s">
        <v>211</v>
      </c>
      <c r="I29" s="59"/>
      <c r="J29" s="19"/>
      <c r="K29" s="19"/>
      <c r="L29" s="50"/>
      <c r="M29" s="73" t="s">
        <v>21</v>
      </c>
      <c r="N29" s="54">
        <f t="shared" si="0"/>
        <v>0</v>
      </c>
      <c r="O29" s="170"/>
      <c r="P29" s="191"/>
      <c r="Q29" s="192"/>
      <c r="R29" s="192"/>
      <c r="S29" s="192"/>
      <c r="T29" s="192"/>
      <c r="U29" s="193"/>
    </row>
    <row r="30" spans="1:21" ht="15.75" customHeight="1">
      <c r="A30" s="85"/>
      <c r="B30" s="37">
        <f>ROW()-13</f>
        <v>17</v>
      </c>
      <c r="C30" s="145" t="s">
        <v>461</v>
      </c>
      <c r="D30" s="80"/>
      <c r="E30" s="81"/>
      <c r="F30" s="146"/>
      <c r="G30" s="17"/>
      <c r="H30" s="18" t="s">
        <v>211</v>
      </c>
      <c r="I30" s="59"/>
      <c r="J30" s="19"/>
      <c r="K30" s="19"/>
      <c r="L30" s="50"/>
      <c r="M30" s="73" t="s">
        <v>21</v>
      </c>
      <c r="N30" s="54">
        <f t="shared" si="0"/>
        <v>0</v>
      </c>
      <c r="O30" s="170"/>
      <c r="P30" s="191"/>
      <c r="Q30" s="192"/>
      <c r="R30" s="192"/>
      <c r="S30" s="192"/>
      <c r="T30" s="192"/>
      <c r="U30" s="193"/>
    </row>
    <row r="31" spans="1:21" ht="15.5">
      <c r="A31" s="85"/>
      <c r="B31" s="37">
        <f t="shared" ref="B31:B37" si="1">ROW()-13</f>
        <v>18</v>
      </c>
      <c r="C31" s="107" t="s">
        <v>36</v>
      </c>
      <c r="D31" s="107"/>
      <c r="E31" s="108"/>
      <c r="F31" s="109" t="s">
        <v>78</v>
      </c>
      <c r="G31" s="110"/>
      <c r="H31" s="18" t="s">
        <v>51</v>
      </c>
      <c r="I31" s="59"/>
      <c r="J31" s="113">
        <v>12</v>
      </c>
      <c r="K31" s="113"/>
      <c r="L31" s="114"/>
      <c r="M31" s="115" t="s">
        <v>35</v>
      </c>
      <c r="N31" s="116">
        <f t="shared" si="0"/>
        <v>12</v>
      </c>
      <c r="O31" s="171"/>
      <c r="P31" s="197"/>
      <c r="Q31" s="198"/>
      <c r="R31" s="198"/>
      <c r="S31" s="198"/>
      <c r="T31" s="198"/>
      <c r="U31" s="199"/>
    </row>
    <row r="32" spans="1:21" ht="15.5">
      <c r="A32" s="85"/>
      <c r="B32" s="37">
        <f t="shared" si="1"/>
        <v>19</v>
      </c>
      <c r="C32" s="107" t="s">
        <v>37</v>
      </c>
      <c r="D32" s="107"/>
      <c r="E32" s="108"/>
      <c r="F32" s="109" t="s">
        <v>43</v>
      </c>
      <c r="G32" s="110"/>
      <c r="H32" s="18" t="s">
        <v>51</v>
      </c>
      <c r="I32" s="59"/>
      <c r="J32" s="113">
        <v>10</v>
      </c>
      <c r="K32" s="113"/>
      <c r="L32" s="114"/>
      <c r="M32" s="115" t="s">
        <v>21</v>
      </c>
      <c r="N32" s="116">
        <f t="shared" si="0"/>
        <v>10</v>
      </c>
      <c r="O32" s="171"/>
      <c r="P32" s="197"/>
      <c r="Q32" s="198"/>
      <c r="R32" s="198"/>
      <c r="S32" s="198"/>
      <c r="T32" s="198"/>
      <c r="U32" s="199"/>
    </row>
    <row r="33" spans="1:21" ht="15.5">
      <c r="A33" s="85"/>
      <c r="B33" s="37">
        <f t="shared" si="1"/>
        <v>20</v>
      </c>
      <c r="C33" s="107" t="s">
        <v>38</v>
      </c>
      <c r="D33" s="107"/>
      <c r="E33" s="108"/>
      <c r="F33" s="109" t="s">
        <v>80</v>
      </c>
      <c r="G33" s="110"/>
      <c r="H33" s="18" t="s">
        <v>86</v>
      </c>
      <c r="I33" s="59"/>
      <c r="J33" s="113"/>
      <c r="K33" s="113"/>
      <c r="L33" s="114"/>
      <c r="M33" s="115" t="s">
        <v>21</v>
      </c>
      <c r="N33" s="116">
        <f t="shared" si="0"/>
        <v>0</v>
      </c>
      <c r="O33" s="171"/>
      <c r="P33" s="197"/>
      <c r="Q33" s="198"/>
      <c r="R33" s="198"/>
      <c r="S33" s="198"/>
      <c r="T33" s="198"/>
      <c r="U33" s="199"/>
    </row>
    <row r="34" spans="1:21" ht="15.5">
      <c r="A34" s="85"/>
      <c r="B34" s="37">
        <f t="shared" si="1"/>
        <v>21</v>
      </c>
      <c r="C34" s="107" t="s">
        <v>39</v>
      </c>
      <c r="D34" s="107"/>
      <c r="E34" s="108"/>
      <c r="F34" s="109" t="s">
        <v>79</v>
      </c>
      <c r="G34" s="110"/>
      <c r="H34" s="18" t="s">
        <v>51</v>
      </c>
      <c r="I34" s="59"/>
      <c r="J34" s="113">
        <v>12</v>
      </c>
      <c r="K34" s="113"/>
      <c r="L34" s="114"/>
      <c r="M34" s="115" t="s">
        <v>35</v>
      </c>
      <c r="N34" s="116">
        <f t="shared" si="0"/>
        <v>12</v>
      </c>
      <c r="O34" s="171"/>
      <c r="P34" s="197"/>
      <c r="Q34" s="198"/>
      <c r="R34" s="198"/>
      <c r="S34" s="198"/>
      <c r="T34" s="198"/>
      <c r="U34" s="199"/>
    </row>
    <row r="35" spans="1:21" ht="15.5">
      <c r="A35" s="85"/>
      <c r="B35" s="37">
        <f t="shared" si="1"/>
        <v>22</v>
      </c>
      <c r="C35" s="107" t="s">
        <v>40</v>
      </c>
      <c r="D35" s="107"/>
      <c r="E35" s="108"/>
      <c r="F35" s="109" t="s">
        <v>44</v>
      </c>
      <c r="G35" s="110"/>
      <c r="H35" s="18" t="s">
        <v>51</v>
      </c>
      <c r="I35" s="59"/>
      <c r="J35" s="113">
        <v>10</v>
      </c>
      <c r="K35" s="113"/>
      <c r="L35" s="114"/>
      <c r="M35" s="115" t="s">
        <v>21</v>
      </c>
      <c r="N35" s="116">
        <f t="shared" si="0"/>
        <v>10</v>
      </c>
      <c r="O35" s="171"/>
      <c r="P35" s="197"/>
      <c r="Q35" s="198"/>
      <c r="R35" s="198"/>
      <c r="S35" s="198"/>
      <c r="T35" s="198"/>
      <c r="U35" s="199"/>
    </row>
    <row r="36" spans="1:21" ht="15.5">
      <c r="A36" s="85"/>
      <c r="B36" s="37">
        <f t="shared" si="1"/>
        <v>23</v>
      </c>
      <c r="C36" s="107" t="s">
        <v>41</v>
      </c>
      <c r="D36" s="107"/>
      <c r="E36" s="108"/>
      <c r="F36" s="109" t="s">
        <v>81</v>
      </c>
      <c r="G36" s="110"/>
      <c r="H36" s="18" t="s">
        <v>86</v>
      </c>
      <c r="I36" s="59"/>
      <c r="J36" s="113"/>
      <c r="K36" s="113"/>
      <c r="L36" s="114"/>
      <c r="M36" s="115" t="s">
        <v>21</v>
      </c>
      <c r="N36" s="116">
        <f t="shared" si="0"/>
        <v>0</v>
      </c>
      <c r="O36" s="171"/>
      <c r="P36" s="197"/>
      <c r="Q36" s="198"/>
      <c r="R36" s="198"/>
      <c r="S36" s="198"/>
      <c r="T36" s="198"/>
      <c r="U36" s="199"/>
    </row>
    <row r="37" spans="1:21" ht="15.5">
      <c r="A37" s="85"/>
      <c r="B37" s="37">
        <f t="shared" si="1"/>
        <v>24</v>
      </c>
      <c r="C37" s="80" t="s">
        <v>46</v>
      </c>
      <c r="D37" s="80"/>
      <c r="E37" s="81"/>
      <c r="F37" s="84" t="s">
        <v>71</v>
      </c>
      <c r="G37" s="17"/>
      <c r="H37" s="18" t="s">
        <v>62</v>
      </c>
      <c r="I37" s="59"/>
      <c r="J37" s="19">
        <v>8</v>
      </c>
      <c r="K37" s="19"/>
      <c r="L37" s="50" t="s">
        <v>47</v>
      </c>
      <c r="M37" s="73" t="s">
        <v>35</v>
      </c>
      <c r="N37" s="54">
        <f t="shared" si="0"/>
        <v>8</v>
      </c>
      <c r="O37" s="170">
        <v>0</v>
      </c>
      <c r="P37" s="191" t="s">
        <v>48</v>
      </c>
      <c r="Q37" s="192"/>
      <c r="R37" s="192"/>
      <c r="S37" s="192"/>
      <c r="T37" s="192"/>
      <c r="U37" s="193"/>
    </row>
    <row r="38" spans="1:21" ht="16" thickBot="1">
      <c r="A38" s="118"/>
      <c r="B38" s="119"/>
      <c r="C38" s="120"/>
      <c r="D38" s="120"/>
      <c r="E38" s="121"/>
      <c r="F38" s="129"/>
      <c r="G38" s="122"/>
      <c r="H38" s="147"/>
      <c r="I38" s="148"/>
      <c r="J38" s="125"/>
      <c r="K38" s="125"/>
      <c r="L38" s="126"/>
      <c r="M38" s="126"/>
      <c r="N38" s="127"/>
      <c r="O38" s="172"/>
      <c r="P38" s="194"/>
      <c r="Q38" s="195"/>
      <c r="R38" s="195"/>
      <c r="S38" s="195"/>
      <c r="T38" s="195"/>
      <c r="U38" s="196"/>
    </row>
  </sheetData>
  <mergeCells count="55">
    <mergeCell ref="P34:U34"/>
    <mergeCell ref="P35:U35"/>
    <mergeCell ref="P36:U36"/>
    <mergeCell ref="P37:U37"/>
    <mergeCell ref="P38:U38"/>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1"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35842"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35843"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35844"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35845"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35846"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1C8BC50-7006-4CB3-B201-07649EB359C7}">
            <xm:f>(AND(H14&lt;&gt;"",ISERROR(VLOOKUP(H14,system!$E:$E,1,FALSE))))</xm:f>
            <x14:dxf>
              <fill>
                <patternFill patternType="solid">
                  <bgColor rgb="FFFF0000"/>
                </patternFill>
              </fill>
            </x14:dxf>
          </x14:cfRule>
          <xm:sqref>H14:H30</xm:sqref>
        </x14:conditionalFormatting>
        <x14:conditionalFormatting xmlns:xm="http://schemas.microsoft.com/office/excel/2006/main">
          <x14:cfRule type="expression" priority="3" id="{46C5963D-0053-4FB6-8749-A69486E83DAA}">
            <xm:f>(AND(H14&lt;&gt;"",ISERROR(VLOOKUP(H14,system!$E:$E,1,FALSE))))</xm:f>
            <x14:dxf>
              <fill>
                <patternFill>
                  <bgColor rgb="FFFF0000"/>
                </patternFill>
              </fill>
            </x14:dxf>
          </x14:cfRule>
          <xm:sqref>I14:I30</xm:sqref>
        </x14:conditionalFormatting>
        <x14:conditionalFormatting xmlns:xm="http://schemas.microsoft.com/office/excel/2006/main">
          <x14:cfRule type="expression" priority="2" id="{BD27A98A-15EB-43BB-B181-10788D3A6297}">
            <xm:f>(AND(H31&lt;&gt;"",ISERROR(VLOOKUP(H31,system!$E:$E,1,FALSE))))</xm:f>
            <x14:dxf>
              <fill>
                <patternFill patternType="solid">
                  <bgColor rgb="FFFF0000"/>
                </patternFill>
              </fill>
            </x14:dxf>
          </x14:cfRule>
          <xm:sqref>H31:H38</xm:sqref>
        </x14:conditionalFormatting>
        <x14:conditionalFormatting xmlns:xm="http://schemas.microsoft.com/office/excel/2006/main">
          <x14:cfRule type="expression" priority="1" id="{A89B0A11-6953-45F8-B062-320171317817}">
            <xm:f>(AND(H31&lt;&gt;"",ISERROR(VLOOKUP(H31,system!$E:$E,1,FALSE))))</xm:f>
            <x14:dxf>
              <fill>
                <patternFill>
                  <bgColor rgb="FFFF0000"/>
                </patternFill>
              </fill>
            </x14:dxf>
          </x14:cfRule>
          <xm:sqref>I31:I38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7660F-20A4-4A87-937A-C44728451091}">
  <sheetPr codeName="Sheet35">
    <pageSetUpPr fitToPage="1"/>
  </sheetPr>
  <dimension ref="A1:U31"/>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464</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152</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t="s">
        <v>462</v>
      </c>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SUM(N14:N32)</f>
        <v>94</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30" si="0">IF(H14="NUMBER",IF(J14&gt;0,INT((J14+1)/2+0.9),0),IF(H14="DATE",7,IF(OR(H14="LONG",H14="LONG RAW"),100000,J14)))</f>
        <v>1</v>
      </c>
      <c r="O14" s="170"/>
      <c r="P14" s="191" t="s">
        <v>175</v>
      </c>
      <c r="Q14" s="192"/>
      <c r="R14" s="192"/>
      <c r="S14" s="192"/>
      <c r="T14" s="192"/>
      <c r="U14" s="193"/>
    </row>
    <row r="15" spans="1:21" ht="27.5" customHeight="1">
      <c r="A15" s="85" t="s">
        <v>190</v>
      </c>
      <c r="B15" s="37">
        <f>ROW()-13</f>
        <v>2</v>
      </c>
      <c r="C15" s="145" t="s">
        <v>446</v>
      </c>
      <c r="D15" s="80"/>
      <c r="E15" s="81"/>
      <c r="F15" s="146"/>
      <c r="G15" s="17"/>
      <c r="H15" s="18" t="s">
        <v>49</v>
      </c>
      <c r="I15" s="59"/>
      <c r="J15" s="19">
        <v>1</v>
      </c>
      <c r="K15" s="19"/>
      <c r="L15" s="50" t="s">
        <v>189</v>
      </c>
      <c r="M15" s="73" t="s">
        <v>21</v>
      </c>
      <c r="N15" s="54">
        <f t="shared" si="0"/>
        <v>1</v>
      </c>
      <c r="O15" s="170"/>
      <c r="P15" s="251" t="s">
        <v>447</v>
      </c>
      <c r="Q15" s="192"/>
      <c r="R15" s="192"/>
      <c r="S15" s="192"/>
      <c r="T15" s="192"/>
      <c r="U15" s="193"/>
    </row>
    <row r="16" spans="1:21" ht="15.75" customHeight="1">
      <c r="A16" s="85" t="s">
        <v>190</v>
      </c>
      <c r="B16" s="37">
        <f>ROW()-13</f>
        <v>3</v>
      </c>
      <c r="C16" s="145" t="s">
        <v>197</v>
      </c>
      <c r="D16" s="80"/>
      <c r="E16" s="81"/>
      <c r="F16" s="146"/>
      <c r="G16" s="17"/>
      <c r="H16" s="18" t="s">
        <v>49</v>
      </c>
      <c r="I16" s="59"/>
      <c r="J16" s="19">
        <v>1</v>
      </c>
      <c r="K16" s="19"/>
      <c r="L16" s="50" t="s">
        <v>189</v>
      </c>
      <c r="M16" s="73" t="s">
        <v>21</v>
      </c>
      <c r="N16" s="54">
        <f t="shared" si="0"/>
        <v>1</v>
      </c>
      <c r="O16" s="170"/>
      <c r="P16" s="191" t="s">
        <v>175</v>
      </c>
      <c r="Q16" s="192"/>
      <c r="R16" s="192"/>
      <c r="S16" s="192"/>
      <c r="T16" s="192"/>
      <c r="U16" s="193"/>
    </row>
    <row r="17" spans="1:21" ht="15.75" customHeight="1">
      <c r="A17" s="85" t="s">
        <v>190</v>
      </c>
      <c r="B17" s="37">
        <f>ROW()-13</f>
        <v>4</v>
      </c>
      <c r="C17" s="145" t="s">
        <v>199</v>
      </c>
      <c r="D17" s="80"/>
      <c r="E17" s="81"/>
      <c r="F17" s="146"/>
      <c r="G17" s="17"/>
      <c r="H17" s="18" t="s">
        <v>51</v>
      </c>
      <c r="I17" s="59"/>
      <c r="J17" s="19">
        <v>25</v>
      </c>
      <c r="K17" s="19"/>
      <c r="L17" s="50" t="s">
        <v>189</v>
      </c>
      <c r="M17" s="73" t="s">
        <v>21</v>
      </c>
      <c r="N17" s="54">
        <f t="shared" si="0"/>
        <v>25</v>
      </c>
      <c r="O17" s="170"/>
      <c r="P17" s="191"/>
      <c r="Q17" s="192"/>
      <c r="R17" s="192"/>
      <c r="S17" s="192"/>
      <c r="T17" s="192"/>
      <c r="U17" s="193"/>
    </row>
    <row r="18" spans="1:21" ht="15.75" customHeight="1">
      <c r="A18" s="85" t="s">
        <v>190</v>
      </c>
      <c r="B18" s="37">
        <f>ROW()-13</f>
        <v>5</v>
      </c>
      <c r="C18" s="145" t="s">
        <v>201</v>
      </c>
      <c r="D18" s="80"/>
      <c r="E18" s="81"/>
      <c r="F18" s="146"/>
      <c r="G18" s="17"/>
      <c r="H18" s="18" t="s">
        <v>51</v>
      </c>
      <c r="I18" s="59"/>
      <c r="J18" s="19">
        <v>4</v>
      </c>
      <c r="K18" s="19"/>
      <c r="L18" s="50" t="s">
        <v>189</v>
      </c>
      <c r="M18" s="73" t="s">
        <v>21</v>
      </c>
      <c r="N18" s="54">
        <f t="shared" si="0"/>
        <v>4</v>
      </c>
      <c r="O18" s="170"/>
      <c r="P18" s="191" t="s">
        <v>203</v>
      </c>
      <c r="Q18" s="192"/>
      <c r="R18" s="192"/>
      <c r="S18" s="192"/>
      <c r="T18" s="192"/>
      <c r="U18" s="193"/>
    </row>
    <row r="19" spans="1:21" ht="62.75" customHeight="1">
      <c r="A19" s="85" t="s">
        <v>190</v>
      </c>
      <c r="B19" s="37">
        <f>ROW()-13</f>
        <v>6</v>
      </c>
      <c r="C19" s="145" t="s">
        <v>204</v>
      </c>
      <c r="D19" s="80"/>
      <c r="E19" s="81"/>
      <c r="F19" s="146"/>
      <c r="G19" s="17"/>
      <c r="H19" s="18" t="s">
        <v>49</v>
      </c>
      <c r="I19" s="59"/>
      <c r="J19" s="19">
        <v>1</v>
      </c>
      <c r="K19" s="19"/>
      <c r="L19" s="50" t="s">
        <v>189</v>
      </c>
      <c r="M19" s="73" t="s">
        <v>21</v>
      </c>
      <c r="N19" s="54">
        <f t="shared" si="0"/>
        <v>1</v>
      </c>
      <c r="O19" s="170"/>
      <c r="P19" s="251" t="s">
        <v>265</v>
      </c>
      <c r="Q19" s="192"/>
      <c r="R19" s="192"/>
      <c r="S19" s="192"/>
      <c r="T19" s="192"/>
      <c r="U19" s="193"/>
    </row>
    <row r="20" spans="1:21" ht="27.5" customHeight="1">
      <c r="A20" s="85" t="s">
        <v>190</v>
      </c>
      <c r="B20" s="37">
        <f>ROW()-13</f>
        <v>7</v>
      </c>
      <c r="C20" s="145" t="s">
        <v>207</v>
      </c>
      <c r="D20" s="80"/>
      <c r="E20" s="81"/>
      <c r="F20" s="146"/>
      <c r="G20" s="17"/>
      <c r="H20" s="18" t="s">
        <v>49</v>
      </c>
      <c r="I20" s="59"/>
      <c r="J20" s="19">
        <v>1</v>
      </c>
      <c r="K20" s="19"/>
      <c r="L20" s="50" t="s">
        <v>189</v>
      </c>
      <c r="M20" s="73" t="s">
        <v>21</v>
      </c>
      <c r="N20" s="54">
        <f t="shared" si="0"/>
        <v>1</v>
      </c>
      <c r="O20" s="170"/>
      <c r="P20" s="251" t="s">
        <v>208</v>
      </c>
      <c r="Q20" s="192"/>
      <c r="R20" s="192"/>
      <c r="S20" s="192"/>
      <c r="T20" s="192"/>
      <c r="U20" s="193"/>
    </row>
    <row r="21" spans="1:21" ht="15.75" customHeight="1">
      <c r="A21" s="85" t="s">
        <v>190</v>
      </c>
      <c r="B21" s="37">
        <f>ROW()-13</f>
        <v>8</v>
      </c>
      <c r="C21" s="145" t="s">
        <v>465</v>
      </c>
      <c r="D21" s="80"/>
      <c r="E21" s="81"/>
      <c r="F21" s="146"/>
      <c r="G21" s="17"/>
      <c r="H21" s="18" t="s">
        <v>211</v>
      </c>
      <c r="I21" s="59"/>
      <c r="J21" s="19"/>
      <c r="K21" s="19"/>
      <c r="L21" s="50" t="s">
        <v>189</v>
      </c>
      <c r="M21" s="73" t="s">
        <v>21</v>
      </c>
      <c r="N21" s="54">
        <f t="shared" si="0"/>
        <v>0</v>
      </c>
      <c r="O21" s="170"/>
      <c r="P21" s="191"/>
      <c r="Q21" s="192"/>
      <c r="R21" s="192"/>
      <c r="S21" s="192"/>
      <c r="T21" s="192"/>
      <c r="U21" s="193"/>
    </row>
    <row r="22" spans="1:21" ht="15.75" customHeight="1">
      <c r="A22" s="85"/>
      <c r="B22" s="37">
        <f>ROW()-13</f>
        <v>9</v>
      </c>
      <c r="C22" s="145" t="s">
        <v>376</v>
      </c>
      <c r="D22" s="80"/>
      <c r="E22" s="81"/>
      <c r="F22" s="146"/>
      <c r="G22" s="17"/>
      <c r="H22" s="18" t="s">
        <v>49</v>
      </c>
      <c r="I22" s="59"/>
      <c r="J22" s="19">
        <v>4</v>
      </c>
      <c r="K22" s="19"/>
      <c r="L22" s="50" t="s">
        <v>189</v>
      </c>
      <c r="M22" s="73" t="s">
        <v>21</v>
      </c>
      <c r="N22" s="54">
        <f t="shared" si="0"/>
        <v>4</v>
      </c>
      <c r="O22" s="170"/>
      <c r="P22" s="191" t="s">
        <v>160</v>
      </c>
      <c r="Q22" s="192"/>
      <c r="R22" s="192"/>
      <c r="S22" s="192"/>
      <c r="T22" s="192"/>
      <c r="U22" s="193"/>
    </row>
    <row r="23" spans="1:21" ht="15.75" customHeight="1">
      <c r="A23" s="85"/>
      <c r="B23" s="37">
        <f>ROW()-13</f>
        <v>10</v>
      </c>
      <c r="C23" s="145" t="s">
        <v>311</v>
      </c>
      <c r="D23" s="80"/>
      <c r="E23" s="81"/>
      <c r="F23" s="146"/>
      <c r="G23" s="17"/>
      <c r="H23" s="18" t="s">
        <v>51</v>
      </c>
      <c r="I23" s="59"/>
      <c r="J23" s="19">
        <v>4</v>
      </c>
      <c r="K23" s="19"/>
      <c r="L23" s="50" t="s">
        <v>189</v>
      </c>
      <c r="M23" s="73" t="s">
        <v>21</v>
      </c>
      <c r="N23" s="54">
        <f t="shared" si="0"/>
        <v>4</v>
      </c>
      <c r="O23" s="170"/>
      <c r="P23" s="191" t="s">
        <v>203</v>
      </c>
      <c r="Q23" s="192"/>
      <c r="R23" s="192"/>
      <c r="S23" s="192"/>
      <c r="T23" s="192"/>
      <c r="U23" s="193"/>
    </row>
    <row r="24" spans="1:21" ht="15.5">
      <c r="A24" s="85"/>
      <c r="B24" s="37">
        <f t="shared" ref="B24:B30" si="1">ROW()-13</f>
        <v>11</v>
      </c>
      <c r="C24" s="107" t="s">
        <v>36</v>
      </c>
      <c r="D24" s="107"/>
      <c r="E24" s="108"/>
      <c r="F24" s="109" t="s">
        <v>78</v>
      </c>
      <c r="G24" s="110"/>
      <c r="H24" s="18" t="s">
        <v>51</v>
      </c>
      <c r="I24" s="59"/>
      <c r="J24" s="113">
        <v>12</v>
      </c>
      <c r="K24" s="113"/>
      <c r="L24" s="114"/>
      <c r="M24" s="115" t="s">
        <v>35</v>
      </c>
      <c r="N24" s="116">
        <f t="shared" si="0"/>
        <v>12</v>
      </c>
      <c r="O24" s="171"/>
      <c r="P24" s="197"/>
      <c r="Q24" s="198"/>
      <c r="R24" s="198"/>
      <c r="S24" s="198"/>
      <c r="T24" s="198"/>
      <c r="U24" s="199"/>
    </row>
    <row r="25" spans="1:21" ht="15.5">
      <c r="A25" s="85"/>
      <c r="B25" s="37">
        <f t="shared" si="1"/>
        <v>12</v>
      </c>
      <c r="C25" s="107" t="s">
        <v>37</v>
      </c>
      <c r="D25" s="107"/>
      <c r="E25" s="108"/>
      <c r="F25" s="109" t="s">
        <v>43</v>
      </c>
      <c r="G25" s="110"/>
      <c r="H25" s="18" t="s">
        <v>51</v>
      </c>
      <c r="I25" s="59"/>
      <c r="J25" s="113">
        <v>10</v>
      </c>
      <c r="K25" s="113"/>
      <c r="L25" s="114"/>
      <c r="M25" s="115" t="s">
        <v>21</v>
      </c>
      <c r="N25" s="116">
        <f t="shared" si="0"/>
        <v>10</v>
      </c>
      <c r="O25" s="171"/>
      <c r="P25" s="197"/>
      <c r="Q25" s="198"/>
      <c r="R25" s="198"/>
      <c r="S25" s="198"/>
      <c r="T25" s="198"/>
      <c r="U25" s="199"/>
    </row>
    <row r="26" spans="1:21" ht="15.5">
      <c r="A26" s="85"/>
      <c r="B26" s="37">
        <f t="shared" si="1"/>
        <v>13</v>
      </c>
      <c r="C26" s="107" t="s">
        <v>38</v>
      </c>
      <c r="D26" s="107"/>
      <c r="E26" s="108"/>
      <c r="F26" s="109" t="s">
        <v>80</v>
      </c>
      <c r="G26" s="110"/>
      <c r="H26" s="18" t="s">
        <v>86</v>
      </c>
      <c r="I26" s="59"/>
      <c r="J26" s="113"/>
      <c r="K26" s="113"/>
      <c r="L26" s="114"/>
      <c r="M26" s="115" t="s">
        <v>21</v>
      </c>
      <c r="N26" s="116">
        <f t="shared" si="0"/>
        <v>0</v>
      </c>
      <c r="O26" s="171"/>
      <c r="P26" s="197"/>
      <c r="Q26" s="198"/>
      <c r="R26" s="198"/>
      <c r="S26" s="198"/>
      <c r="T26" s="198"/>
      <c r="U26" s="199"/>
    </row>
    <row r="27" spans="1:21" ht="15.5">
      <c r="A27" s="85"/>
      <c r="B27" s="37">
        <f t="shared" si="1"/>
        <v>14</v>
      </c>
      <c r="C27" s="107" t="s">
        <v>39</v>
      </c>
      <c r="D27" s="107"/>
      <c r="E27" s="108"/>
      <c r="F27" s="109" t="s">
        <v>79</v>
      </c>
      <c r="G27" s="110"/>
      <c r="H27" s="18" t="s">
        <v>51</v>
      </c>
      <c r="I27" s="59"/>
      <c r="J27" s="113">
        <v>12</v>
      </c>
      <c r="K27" s="113"/>
      <c r="L27" s="114"/>
      <c r="M27" s="115" t="s">
        <v>35</v>
      </c>
      <c r="N27" s="116">
        <f t="shared" si="0"/>
        <v>12</v>
      </c>
      <c r="O27" s="171"/>
      <c r="P27" s="197"/>
      <c r="Q27" s="198"/>
      <c r="R27" s="198"/>
      <c r="S27" s="198"/>
      <c r="T27" s="198"/>
      <c r="U27" s="199"/>
    </row>
    <row r="28" spans="1:21" ht="15.5">
      <c r="A28" s="85"/>
      <c r="B28" s="37">
        <f t="shared" si="1"/>
        <v>15</v>
      </c>
      <c r="C28" s="107" t="s">
        <v>40</v>
      </c>
      <c r="D28" s="107"/>
      <c r="E28" s="108"/>
      <c r="F28" s="109" t="s">
        <v>44</v>
      </c>
      <c r="G28" s="110"/>
      <c r="H28" s="18" t="s">
        <v>51</v>
      </c>
      <c r="I28" s="59"/>
      <c r="J28" s="113">
        <v>10</v>
      </c>
      <c r="K28" s="113"/>
      <c r="L28" s="114"/>
      <c r="M28" s="115" t="s">
        <v>21</v>
      </c>
      <c r="N28" s="116">
        <f t="shared" si="0"/>
        <v>10</v>
      </c>
      <c r="O28" s="171"/>
      <c r="P28" s="197"/>
      <c r="Q28" s="198"/>
      <c r="R28" s="198"/>
      <c r="S28" s="198"/>
      <c r="T28" s="198"/>
      <c r="U28" s="199"/>
    </row>
    <row r="29" spans="1:21" ht="15.5">
      <c r="A29" s="85"/>
      <c r="B29" s="37">
        <f t="shared" si="1"/>
        <v>16</v>
      </c>
      <c r="C29" s="107" t="s">
        <v>41</v>
      </c>
      <c r="D29" s="107"/>
      <c r="E29" s="108"/>
      <c r="F29" s="109" t="s">
        <v>81</v>
      </c>
      <c r="G29" s="110"/>
      <c r="H29" s="18" t="s">
        <v>86</v>
      </c>
      <c r="I29" s="59"/>
      <c r="J29" s="113"/>
      <c r="K29" s="113"/>
      <c r="L29" s="114"/>
      <c r="M29" s="115" t="s">
        <v>21</v>
      </c>
      <c r="N29" s="116">
        <f t="shared" si="0"/>
        <v>0</v>
      </c>
      <c r="O29" s="171"/>
      <c r="P29" s="197"/>
      <c r="Q29" s="198"/>
      <c r="R29" s="198"/>
      <c r="S29" s="198"/>
      <c r="T29" s="198"/>
      <c r="U29" s="199"/>
    </row>
    <row r="30" spans="1:21" ht="15.5">
      <c r="A30" s="85"/>
      <c r="B30" s="37">
        <f t="shared" si="1"/>
        <v>17</v>
      </c>
      <c r="C30" s="80" t="s">
        <v>46</v>
      </c>
      <c r="D30" s="80"/>
      <c r="E30" s="81"/>
      <c r="F30" s="84" t="s">
        <v>71</v>
      </c>
      <c r="G30" s="17"/>
      <c r="H30" s="18" t="s">
        <v>62</v>
      </c>
      <c r="I30" s="59"/>
      <c r="J30" s="19">
        <v>8</v>
      </c>
      <c r="K30" s="19"/>
      <c r="L30" s="50" t="s">
        <v>47</v>
      </c>
      <c r="M30" s="73" t="s">
        <v>35</v>
      </c>
      <c r="N30" s="54">
        <f t="shared" si="0"/>
        <v>8</v>
      </c>
      <c r="O30" s="170">
        <v>0</v>
      </c>
      <c r="P30" s="191" t="s">
        <v>48</v>
      </c>
      <c r="Q30" s="192"/>
      <c r="R30" s="192"/>
      <c r="S30" s="192"/>
      <c r="T30" s="192"/>
      <c r="U30" s="193"/>
    </row>
    <row r="31" spans="1:21" ht="16" thickBot="1">
      <c r="A31" s="118"/>
      <c r="B31" s="119"/>
      <c r="C31" s="120"/>
      <c r="D31" s="120"/>
      <c r="E31" s="121"/>
      <c r="F31" s="129"/>
      <c r="G31" s="122"/>
      <c r="H31" s="147"/>
      <c r="I31" s="148"/>
      <c r="J31" s="125"/>
      <c r="K31" s="125"/>
      <c r="L31" s="126"/>
      <c r="M31" s="126"/>
      <c r="N31" s="127"/>
      <c r="O31" s="172"/>
      <c r="P31" s="194"/>
      <c r="Q31" s="195"/>
      <c r="R31" s="195"/>
      <c r="S31" s="195"/>
      <c r="T31" s="195"/>
      <c r="U31" s="196"/>
    </row>
  </sheetData>
  <mergeCells count="48">
    <mergeCell ref="P28:U28"/>
    <mergeCell ref="P29:U29"/>
    <mergeCell ref="P30:U30"/>
    <mergeCell ref="P31:U31"/>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5"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36866"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36867"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36868"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36869"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36870"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41901723-7113-4FD3-9FB9-1C317DA51D1B}">
            <xm:f>(AND(H14&lt;&gt;"",ISERROR(VLOOKUP(H14,system!$E:$E,1,FALSE))))</xm:f>
            <x14:dxf>
              <fill>
                <patternFill patternType="solid">
                  <bgColor rgb="FFFF0000"/>
                </patternFill>
              </fill>
            </x14:dxf>
          </x14:cfRule>
          <xm:sqref>H14:H23</xm:sqref>
        </x14:conditionalFormatting>
        <x14:conditionalFormatting xmlns:xm="http://schemas.microsoft.com/office/excel/2006/main">
          <x14:cfRule type="expression" priority="3" id="{27DCEA1A-0F55-4DCD-A712-5C5023F2958B}">
            <xm:f>(AND(H14&lt;&gt;"",ISERROR(VLOOKUP(H14,system!$E:$E,1,FALSE))))</xm:f>
            <x14:dxf>
              <fill>
                <patternFill>
                  <bgColor rgb="FFFF0000"/>
                </patternFill>
              </fill>
            </x14:dxf>
          </x14:cfRule>
          <xm:sqref>I14:I23</xm:sqref>
        </x14:conditionalFormatting>
        <x14:conditionalFormatting xmlns:xm="http://schemas.microsoft.com/office/excel/2006/main">
          <x14:cfRule type="expression" priority="2" id="{25EA834D-3625-4E21-83E4-EF298E537CBF}">
            <xm:f>(AND(H24&lt;&gt;"",ISERROR(VLOOKUP(H24,system!$E:$E,1,FALSE))))</xm:f>
            <x14:dxf>
              <fill>
                <patternFill patternType="solid">
                  <bgColor rgb="FFFF0000"/>
                </patternFill>
              </fill>
            </x14:dxf>
          </x14:cfRule>
          <xm:sqref>H24:H31</xm:sqref>
        </x14:conditionalFormatting>
        <x14:conditionalFormatting xmlns:xm="http://schemas.microsoft.com/office/excel/2006/main">
          <x14:cfRule type="expression" priority="1" id="{BAE9CDC4-AD35-4A15-8554-A26BCBF78527}">
            <xm:f>(AND(H24&lt;&gt;"",ISERROR(VLOOKUP(H24,system!$E:$E,1,FALSE))))</xm:f>
            <x14:dxf>
              <fill>
                <patternFill>
                  <bgColor rgb="FFFF0000"/>
                </patternFill>
              </fill>
            </x14:dxf>
          </x14:cfRule>
          <xm:sqref>I24:I31</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C30C6-4EAE-43E4-8FD3-13B705B5BF90}">
  <sheetPr codeName="Sheet36">
    <pageSetUpPr fitToPage="1"/>
  </sheetPr>
  <dimension ref="A1:U8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468</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153</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SUM(N14:N87)</f>
        <v>591</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197</v>
      </c>
      <c r="D14" s="80"/>
      <c r="E14" s="81"/>
      <c r="F14" s="146"/>
      <c r="G14" s="17"/>
      <c r="H14" s="18" t="s">
        <v>49</v>
      </c>
      <c r="I14" s="59"/>
      <c r="J14" s="19">
        <v>1</v>
      </c>
      <c r="K14" s="19"/>
      <c r="L14" s="50" t="s">
        <v>189</v>
      </c>
      <c r="M14" s="73" t="s">
        <v>21</v>
      </c>
      <c r="N14" s="54">
        <f t="shared" ref="N14:N77" si="0">IF(H14="NUMBER",IF(J14&gt;0,INT((J14+1)/2+0.9),0),IF(H14="DATE",7,IF(OR(H14="LONG",H14="LONG RAW"),100000,J14)))</f>
        <v>1</v>
      </c>
      <c r="O14" s="170"/>
      <c r="P14" s="191"/>
      <c r="Q14" s="192"/>
      <c r="R14" s="192"/>
      <c r="S14" s="192"/>
      <c r="T14" s="192"/>
      <c r="U14" s="193"/>
    </row>
    <row r="15" spans="1:21" ht="15.75" customHeight="1">
      <c r="A15" s="85" t="s">
        <v>190</v>
      </c>
      <c r="B15" s="37">
        <f>ROW()-13</f>
        <v>2</v>
      </c>
      <c r="C15" s="145" t="s">
        <v>199</v>
      </c>
      <c r="D15" s="80"/>
      <c r="E15" s="81"/>
      <c r="F15" s="146"/>
      <c r="G15" s="17"/>
      <c r="H15" s="18" t="s">
        <v>51</v>
      </c>
      <c r="I15" s="59"/>
      <c r="J15" s="19">
        <v>25</v>
      </c>
      <c r="K15" s="19"/>
      <c r="L15" s="50" t="s">
        <v>189</v>
      </c>
      <c r="M15" s="73" t="s">
        <v>21</v>
      </c>
      <c r="N15" s="54">
        <f t="shared" si="0"/>
        <v>25</v>
      </c>
      <c r="O15" s="170"/>
      <c r="P15" s="191" t="s">
        <v>469</v>
      </c>
      <c r="Q15" s="192"/>
      <c r="R15" s="192"/>
      <c r="S15" s="192"/>
      <c r="T15" s="192"/>
      <c r="U15" s="193"/>
    </row>
    <row r="16" spans="1:21" ht="15.75" customHeight="1">
      <c r="A16" s="85" t="s">
        <v>190</v>
      </c>
      <c r="B16" s="37">
        <f>ROW()-13</f>
        <v>3</v>
      </c>
      <c r="C16" s="145" t="s">
        <v>201</v>
      </c>
      <c r="D16" s="80"/>
      <c r="E16" s="81"/>
      <c r="F16" s="146"/>
      <c r="G16" s="17"/>
      <c r="H16" s="18" t="s">
        <v>51</v>
      </c>
      <c r="I16" s="59"/>
      <c r="J16" s="19">
        <v>4</v>
      </c>
      <c r="K16" s="19"/>
      <c r="L16" s="50" t="s">
        <v>189</v>
      </c>
      <c r="M16" s="73" t="s">
        <v>21</v>
      </c>
      <c r="N16" s="54">
        <f t="shared" si="0"/>
        <v>4</v>
      </c>
      <c r="O16" s="170"/>
      <c r="P16" s="191" t="s">
        <v>203</v>
      </c>
      <c r="Q16" s="192"/>
      <c r="R16" s="192"/>
      <c r="S16" s="192"/>
      <c r="T16" s="192"/>
      <c r="U16" s="193"/>
    </row>
    <row r="17" spans="1:21" ht="74.5" customHeight="1">
      <c r="A17" s="85" t="s">
        <v>190</v>
      </c>
      <c r="B17" s="37">
        <f>ROW()-13</f>
        <v>4</v>
      </c>
      <c r="C17" s="145" t="s">
        <v>204</v>
      </c>
      <c r="D17" s="80"/>
      <c r="E17" s="81"/>
      <c r="F17" s="146"/>
      <c r="G17" s="17"/>
      <c r="H17" s="18" t="s">
        <v>49</v>
      </c>
      <c r="I17" s="59"/>
      <c r="J17" s="19">
        <v>1</v>
      </c>
      <c r="K17" s="19"/>
      <c r="L17" s="50" t="s">
        <v>189</v>
      </c>
      <c r="M17" s="73" t="s">
        <v>21</v>
      </c>
      <c r="N17" s="54">
        <f t="shared" si="0"/>
        <v>1</v>
      </c>
      <c r="O17" s="170"/>
      <c r="P17" s="251" t="s">
        <v>470</v>
      </c>
      <c r="Q17" s="192"/>
      <c r="R17" s="192"/>
      <c r="S17" s="192"/>
      <c r="T17" s="192"/>
      <c r="U17" s="193"/>
    </row>
    <row r="18" spans="1:21" ht="27.5" customHeight="1">
      <c r="A18" s="85" t="s">
        <v>190</v>
      </c>
      <c r="B18" s="37">
        <f>ROW()-13</f>
        <v>5</v>
      </c>
      <c r="C18" s="145" t="s">
        <v>207</v>
      </c>
      <c r="D18" s="80"/>
      <c r="E18" s="81"/>
      <c r="F18" s="146"/>
      <c r="G18" s="17"/>
      <c r="H18" s="18" t="s">
        <v>49</v>
      </c>
      <c r="I18" s="59"/>
      <c r="J18" s="19">
        <v>1</v>
      </c>
      <c r="K18" s="19"/>
      <c r="L18" s="50" t="s">
        <v>189</v>
      </c>
      <c r="M18" s="73" t="s">
        <v>21</v>
      </c>
      <c r="N18" s="54">
        <f t="shared" si="0"/>
        <v>1</v>
      </c>
      <c r="O18" s="170"/>
      <c r="P18" s="251" t="s">
        <v>208</v>
      </c>
      <c r="Q18" s="192"/>
      <c r="R18" s="192"/>
      <c r="S18" s="192"/>
      <c r="T18" s="192"/>
      <c r="U18" s="193"/>
    </row>
    <row r="19" spans="1:21" ht="15.75" customHeight="1">
      <c r="A19" s="85"/>
      <c r="B19" s="37">
        <f>ROW()-13</f>
        <v>6</v>
      </c>
      <c r="C19" s="145" t="s">
        <v>471</v>
      </c>
      <c r="D19" s="80"/>
      <c r="E19" s="81"/>
      <c r="F19" s="146"/>
      <c r="G19" s="17"/>
      <c r="H19" s="18" t="s">
        <v>24</v>
      </c>
      <c r="I19" s="59"/>
      <c r="J19" s="19"/>
      <c r="K19" s="19"/>
      <c r="L19" s="50"/>
      <c r="M19" s="73" t="s">
        <v>21</v>
      </c>
      <c r="N19" s="54">
        <f t="shared" si="0"/>
        <v>7</v>
      </c>
      <c r="O19" s="170"/>
      <c r="P19" s="191" t="s">
        <v>472</v>
      </c>
      <c r="Q19" s="192"/>
      <c r="R19" s="192"/>
      <c r="S19" s="192"/>
      <c r="T19" s="192"/>
      <c r="U19" s="193"/>
    </row>
    <row r="20" spans="1:21" ht="15.75" customHeight="1">
      <c r="A20" s="85"/>
      <c r="B20" s="37">
        <f>ROW()-13</f>
        <v>7</v>
      </c>
      <c r="C20" s="145" t="s">
        <v>473</v>
      </c>
      <c r="D20" s="80"/>
      <c r="E20" s="81"/>
      <c r="F20" s="146"/>
      <c r="G20" s="17"/>
      <c r="H20" s="18" t="s">
        <v>24</v>
      </c>
      <c r="I20" s="59"/>
      <c r="J20" s="19"/>
      <c r="K20" s="19"/>
      <c r="L20" s="50"/>
      <c r="M20" s="73" t="s">
        <v>21</v>
      </c>
      <c r="N20" s="54">
        <f t="shared" si="0"/>
        <v>7</v>
      </c>
      <c r="O20" s="170"/>
      <c r="P20" s="191"/>
      <c r="Q20" s="192"/>
      <c r="R20" s="192"/>
      <c r="S20" s="192"/>
      <c r="T20" s="192"/>
      <c r="U20" s="193"/>
    </row>
    <row r="21" spans="1:21" ht="15.75" customHeight="1">
      <c r="A21" s="85"/>
      <c r="B21" s="37">
        <f>ROW()-13</f>
        <v>8</v>
      </c>
      <c r="C21" s="145" t="s">
        <v>474</v>
      </c>
      <c r="D21" s="80"/>
      <c r="E21" s="81"/>
      <c r="F21" s="146"/>
      <c r="G21" s="17"/>
      <c r="H21" s="18" t="s">
        <v>51</v>
      </c>
      <c r="I21" s="59"/>
      <c r="J21" s="19">
        <v>25</v>
      </c>
      <c r="K21" s="19"/>
      <c r="L21" s="50"/>
      <c r="M21" s="73" t="s">
        <v>21</v>
      </c>
      <c r="N21" s="54">
        <f t="shared" si="0"/>
        <v>25</v>
      </c>
      <c r="O21" s="170"/>
      <c r="P21" s="191" t="s">
        <v>475</v>
      </c>
      <c r="Q21" s="192"/>
      <c r="R21" s="192"/>
      <c r="S21" s="192"/>
      <c r="T21" s="192"/>
      <c r="U21" s="193"/>
    </row>
    <row r="22" spans="1:21" ht="15.75" customHeight="1">
      <c r="A22" s="85"/>
      <c r="B22" s="37">
        <f>ROW()-13</f>
        <v>9</v>
      </c>
      <c r="C22" s="145" t="s">
        <v>195</v>
      </c>
      <c r="D22" s="80"/>
      <c r="E22" s="81"/>
      <c r="F22" s="146"/>
      <c r="G22" s="17"/>
      <c r="H22" s="18" t="s">
        <v>49</v>
      </c>
      <c r="I22" s="59"/>
      <c r="J22" s="19">
        <v>12</v>
      </c>
      <c r="K22" s="19"/>
      <c r="L22" s="50" t="s">
        <v>189</v>
      </c>
      <c r="M22" s="73" t="s">
        <v>21</v>
      </c>
      <c r="N22" s="54">
        <f t="shared" si="0"/>
        <v>12</v>
      </c>
      <c r="O22" s="170"/>
      <c r="P22" s="191"/>
      <c r="Q22" s="192"/>
      <c r="R22" s="192"/>
      <c r="S22" s="192"/>
      <c r="T22" s="192"/>
      <c r="U22" s="193"/>
    </row>
    <row r="23" spans="1:21" ht="15.75" customHeight="1">
      <c r="A23" s="85"/>
      <c r="B23" s="37">
        <f>ROW()-13</f>
        <v>10</v>
      </c>
      <c r="C23" s="145" t="s">
        <v>476</v>
      </c>
      <c r="D23" s="80"/>
      <c r="E23" s="81"/>
      <c r="F23" s="146"/>
      <c r="G23" s="17"/>
      <c r="H23" s="18" t="s">
        <v>51</v>
      </c>
      <c r="I23" s="59"/>
      <c r="J23" s="19">
        <v>10</v>
      </c>
      <c r="K23" s="19"/>
      <c r="L23" s="50" t="s">
        <v>189</v>
      </c>
      <c r="M23" s="73" t="s">
        <v>21</v>
      </c>
      <c r="N23" s="54">
        <f t="shared" si="0"/>
        <v>10</v>
      </c>
      <c r="O23" s="170"/>
      <c r="P23" s="191" t="s">
        <v>477</v>
      </c>
      <c r="Q23" s="192"/>
      <c r="R23" s="192"/>
      <c r="S23" s="192"/>
      <c r="T23" s="192"/>
      <c r="U23" s="193"/>
    </row>
    <row r="24" spans="1:21" ht="15.75" customHeight="1">
      <c r="A24" s="85"/>
      <c r="B24" s="37">
        <f>ROW()-13</f>
        <v>11</v>
      </c>
      <c r="C24" s="145" t="s">
        <v>193</v>
      </c>
      <c r="D24" s="80"/>
      <c r="E24" s="81"/>
      <c r="F24" s="146"/>
      <c r="G24" s="17"/>
      <c r="H24" s="18" t="s">
        <v>49</v>
      </c>
      <c r="I24" s="59"/>
      <c r="J24" s="19">
        <v>2</v>
      </c>
      <c r="K24" s="19"/>
      <c r="L24" s="50" t="s">
        <v>189</v>
      </c>
      <c r="M24" s="73" t="s">
        <v>21</v>
      </c>
      <c r="N24" s="54">
        <f t="shared" si="0"/>
        <v>2</v>
      </c>
      <c r="O24" s="170"/>
      <c r="P24" s="191" t="s">
        <v>478</v>
      </c>
      <c r="Q24" s="192"/>
      <c r="R24" s="192"/>
      <c r="S24" s="192"/>
      <c r="T24" s="192"/>
      <c r="U24" s="193"/>
    </row>
    <row r="25" spans="1:21" ht="15.75" customHeight="1">
      <c r="A25" s="85"/>
      <c r="B25" s="37">
        <f>ROW()-13</f>
        <v>12</v>
      </c>
      <c r="C25" s="145" t="s">
        <v>311</v>
      </c>
      <c r="D25" s="80"/>
      <c r="E25" s="81"/>
      <c r="F25" s="146"/>
      <c r="G25" s="17"/>
      <c r="H25" s="18" t="s">
        <v>51</v>
      </c>
      <c r="I25" s="59"/>
      <c r="J25" s="19">
        <v>4</v>
      </c>
      <c r="K25" s="19"/>
      <c r="L25" s="50" t="s">
        <v>189</v>
      </c>
      <c r="M25" s="73" t="s">
        <v>21</v>
      </c>
      <c r="N25" s="54">
        <f t="shared" si="0"/>
        <v>4</v>
      </c>
      <c r="O25" s="170"/>
      <c r="P25" s="191" t="s">
        <v>203</v>
      </c>
      <c r="Q25" s="192"/>
      <c r="R25" s="192"/>
      <c r="S25" s="192"/>
      <c r="T25" s="192"/>
      <c r="U25" s="193"/>
    </row>
    <row r="26" spans="1:21" ht="27.5" customHeight="1">
      <c r="A26" s="85"/>
      <c r="B26" s="37">
        <f>ROW()-13</f>
        <v>13</v>
      </c>
      <c r="C26" s="145" t="s">
        <v>479</v>
      </c>
      <c r="D26" s="80"/>
      <c r="E26" s="81"/>
      <c r="F26" s="146"/>
      <c r="G26" s="17"/>
      <c r="H26" s="18" t="s">
        <v>49</v>
      </c>
      <c r="I26" s="59"/>
      <c r="J26" s="19">
        <v>1</v>
      </c>
      <c r="K26" s="19"/>
      <c r="L26" s="50" t="s">
        <v>189</v>
      </c>
      <c r="M26" s="73" t="s">
        <v>21</v>
      </c>
      <c r="N26" s="54">
        <f t="shared" si="0"/>
        <v>1</v>
      </c>
      <c r="O26" s="170"/>
      <c r="P26" s="251" t="s">
        <v>480</v>
      </c>
      <c r="Q26" s="192"/>
      <c r="R26" s="192"/>
      <c r="S26" s="192"/>
      <c r="T26" s="192"/>
      <c r="U26" s="193"/>
    </row>
    <row r="27" spans="1:21" ht="15.75" customHeight="1">
      <c r="A27" s="85"/>
      <c r="B27" s="37">
        <f>ROW()-13</f>
        <v>14</v>
      </c>
      <c r="C27" s="145" t="s">
        <v>481</v>
      </c>
      <c r="D27" s="80"/>
      <c r="E27" s="81"/>
      <c r="F27" s="146"/>
      <c r="G27" s="17"/>
      <c r="H27" s="18" t="s">
        <v>49</v>
      </c>
      <c r="I27" s="59"/>
      <c r="J27" s="19">
        <v>12</v>
      </c>
      <c r="K27" s="19"/>
      <c r="L27" s="50"/>
      <c r="M27" s="73" t="s">
        <v>21</v>
      </c>
      <c r="N27" s="54">
        <f t="shared" si="0"/>
        <v>12</v>
      </c>
      <c r="O27" s="170"/>
      <c r="P27" s="191" t="s">
        <v>482</v>
      </c>
      <c r="Q27" s="192"/>
      <c r="R27" s="192"/>
      <c r="S27" s="192"/>
      <c r="T27" s="192"/>
      <c r="U27" s="193"/>
    </row>
    <row r="28" spans="1:21" ht="15.75" customHeight="1">
      <c r="A28" s="85"/>
      <c r="B28" s="37">
        <f>ROW()-13</f>
        <v>15</v>
      </c>
      <c r="C28" s="145" t="s">
        <v>483</v>
      </c>
      <c r="D28" s="80"/>
      <c r="E28" s="81"/>
      <c r="F28" s="146"/>
      <c r="G28" s="17"/>
      <c r="H28" s="18" t="s">
        <v>51</v>
      </c>
      <c r="I28" s="59"/>
      <c r="J28" s="19">
        <v>25</v>
      </c>
      <c r="K28" s="19"/>
      <c r="L28" s="50" t="s">
        <v>189</v>
      </c>
      <c r="M28" s="73" t="s">
        <v>21</v>
      </c>
      <c r="N28" s="54">
        <f t="shared" si="0"/>
        <v>25</v>
      </c>
      <c r="O28" s="170"/>
      <c r="P28" s="191"/>
      <c r="Q28" s="192"/>
      <c r="R28" s="192"/>
      <c r="S28" s="192"/>
      <c r="T28" s="192"/>
      <c r="U28" s="193"/>
    </row>
    <row r="29" spans="1:21" ht="15.75" customHeight="1">
      <c r="A29" s="85"/>
      <c r="B29" s="37">
        <f>ROW()-13</f>
        <v>16</v>
      </c>
      <c r="C29" s="145" t="s">
        <v>484</v>
      </c>
      <c r="D29" s="80"/>
      <c r="E29" s="81"/>
      <c r="F29" s="146"/>
      <c r="G29" s="17"/>
      <c r="H29" s="18" t="s">
        <v>51</v>
      </c>
      <c r="I29" s="59"/>
      <c r="J29" s="19">
        <v>4</v>
      </c>
      <c r="K29" s="19"/>
      <c r="L29" s="50" t="s">
        <v>189</v>
      </c>
      <c r="M29" s="73" t="s">
        <v>21</v>
      </c>
      <c r="N29" s="54">
        <f t="shared" si="0"/>
        <v>4</v>
      </c>
      <c r="O29" s="170"/>
      <c r="P29" s="191" t="s">
        <v>203</v>
      </c>
      <c r="Q29" s="192"/>
      <c r="R29" s="192"/>
      <c r="S29" s="192"/>
      <c r="T29" s="192"/>
      <c r="U29" s="193"/>
    </row>
    <row r="30" spans="1:21" ht="62.75" customHeight="1">
      <c r="A30" s="85"/>
      <c r="B30" s="37">
        <f>ROW()-13</f>
        <v>17</v>
      </c>
      <c r="C30" s="145" t="s">
        <v>485</v>
      </c>
      <c r="D30" s="80"/>
      <c r="E30" s="81"/>
      <c r="F30" s="146"/>
      <c r="G30" s="17"/>
      <c r="H30" s="18" t="s">
        <v>49</v>
      </c>
      <c r="I30" s="59"/>
      <c r="J30" s="19">
        <v>1</v>
      </c>
      <c r="K30" s="19"/>
      <c r="L30" s="50" t="s">
        <v>189</v>
      </c>
      <c r="M30" s="73" t="s">
        <v>21</v>
      </c>
      <c r="N30" s="54">
        <f t="shared" si="0"/>
        <v>1</v>
      </c>
      <c r="O30" s="170"/>
      <c r="P30" s="251" t="s">
        <v>265</v>
      </c>
      <c r="Q30" s="192"/>
      <c r="R30" s="192"/>
      <c r="S30" s="192"/>
      <c r="T30" s="192"/>
      <c r="U30" s="193"/>
    </row>
    <row r="31" spans="1:21" ht="15.75" customHeight="1">
      <c r="A31" s="85"/>
      <c r="B31" s="37">
        <f>ROW()-13</f>
        <v>18</v>
      </c>
      <c r="C31" s="145" t="s">
        <v>486</v>
      </c>
      <c r="D31" s="80"/>
      <c r="E31" s="81"/>
      <c r="F31" s="146"/>
      <c r="G31" s="17"/>
      <c r="H31" s="18" t="s">
        <v>211</v>
      </c>
      <c r="I31" s="59"/>
      <c r="J31" s="19"/>
      <c r="K31" s="19"/>
      <c r="L31" s="50"/>
      <c r="M31" s="73" t="s">
        <v>21</v>
      </c>
      <c r="N31" s="54">
        <f t="shared" si="0"/>
        <v>0</v>
      </c>
      <c r="O31" s="170"/>
      <c r="P31" s="191"/>
      <c r="Q31" s="192"/>
      <c r="R31" s="192"/>
      <c r="S31" s="192"/>
      <c r="T31" s="192"/>
      <c r="U31" s="193"/>
    </row>
    <row r="32" spans="1:21" ht="27.5" customHeight="1">
      <c r="A32" s="85"/>
      <c r="B32" s="37">
        <f>ROW()-13</f>
        <v>19</v>
      </c>
      <c r="C32" s="145" t="s">
        <v>227</v>
      </c>
      <c r="D32" s="80"/>
      <c r="E32" s="81"/>
      <c r="F32" s="146"/>
      <c r="G32" s="17"/>
      <c r="H32" s="18" t="s">
        <v>49</v>
      </c>
      <c r="I32" s="59"/>
      <c r="J32" s="19">
        <v>1</v>
      </c>
      <c r="K32" s="19"/>
      <c r="L32" s="50"/>
      <c r="M32" s="73" t="s">
        <v>21</v>
      </c>
      <c r="N32" s="54">
        <f t="shared" si="0"/>
        <v>1</v>
      </c>
      <c r="O32" s="170"/>
      <c r="P32" s="251" t="s">
        <v>228</v>
      </c>
      <c r="Q32" s="192"/>
      <c r="R32" s="192"/>
      <c r="S32" s="192"/>
      <c r="T32" s="192"/>
      <c r="U32" s="193"/>
    </row>
    <row r="33" spans="1:21" ht="15.75" customHeight="1">
      <c r="A33" s="85"/>
      <c r="B33" s="37">
        <f>ROW()-13</f>
        <v>20</v>
      </c>
      <c r="C33" s="145" t="s">
        <v>487</v>
      </c>
      <c r="D33" s="80"/>
      <c r="E33" s="81"/>
      <c r="F33" s="146"/>
      <c r="G33" s="17"/>
      <c r="H33" s="18" t="s">
        <v>51</v>
      </c>
      <c r="I33" s="59"/>
      <c r="J33" s="19">
        <v>2</v>
      </c>
      <c r="K33" s="19"/>
      <c r="L33" s="50"/>
      <c r="M33" s="73" t="s">
        <v>21</v>
      </c>
      <c r="N33" s="54">
        <f t="shared" si="0"/>
        <v>2</v>
      </c>
      <c r="O33" s="170"/>
      <c r="P33" s="191" t="s">
        <v>203</v>
      </c>
      <c r="Q33" s="192"/>
      <c r="R33" s="192"/>
      <c r="S33" s="192"/>
      <c r="T33" s="192"/>
      <c r="U33" s="193"/>
    </row>
    <row r="34" spans="1:21" ht="15.75" customHeight="1">
      <c r="A34" s="85"/>
      <c r="B34" s="37">
        <f>ROW()-13</f>
        <v>21</v>
      </c>
      <c r="C34" s="145" t="s">
        <v>488</v>
      </c>
      <c r="D34" s="80"/>
      <c r="E34" s="81"/>
      <c r="F34" s="146"/>
      <c r="G34" s="17"/>
      <c r="H34" s="18" t="s">
        <v>51</v>
      </c>
      <c r="I34" s="59"/>
      <c r="J34" s="19">
        <v>100</v>
      </c>
      <c r="K34" s="19"/>
      <c r="L34" s="50"/>
      <c r="M34" s="73" t="s">
        <v>21</v>
      </c>
      <c r="N34" s="54">
        <f t="shared" si="0"/>
        <v>100</v>
      </c>
      <c r="O34" s="170"/>
      <c r="P34" s="191"/>
      <c r="Q34" s="192"/>
      <c r="R34" s="192"/>
      <c r="S34" s="192"/>
      <c r="T34" s="192"/>
      <c r="U34" s="193"/>
    </row>
    <row r="35" spans="1:21" ht="15.75" customHeight="1">
      <c r="A35" s="85"/>
      <c r="B35" s="37">
        <f>ROW()-13</f>
        <v>22</v>
      </c>
      <c r="C35" s="145" t="s">
        <v>489</v>
      </c>
      <c r="D35" s="80"/>
      <c r="E35" s="81"/>
      <c r="F35" s="146"/>
      <c r="G35" s="17"/>
      <c r="H35" s="18" t="s">
        <v>51</v>
      </c>
      <c r="I35" s="59"/>
      <c r="J35" s="19">
        <v>2</v>
      </c>
      <c r="K35" s="19"/>
      <c r="L35" s="50"/>
      <c r="M35" s="73" t="s">
        <v>21</v>
      </c>
      <c r="N35" s="54">
        <f t="shared" si="0"/>
        <v>2</v>
      </c>
      <c r="O35" s="170"/>
      <c r="P35" s="191"/>
      <c r="Q35" s="192"/>
      <c r="R35" s="192"/>
      <c r="S35" s="192"/>
      <c r="T35" s="192"/>
      <c r="U35" s="193"/>
    </row>
    <row r="36" spans="1:21" ht="15.75" customHeight="1">
      <c r="A36" s="85"/>
      <c r="B36" s="37">
        <f>ROW()-13</f>
        <v>23</v>
      </c>
      <c r="C36" s="145" t="s">
        <v>490</v>
      </c>
      <c r="D36" s="80"/>
      <c r="E36" s="81"/>
      <c r="F36" s="146"/>
      <c r="G36" s="17"/>
      <c r="H36" s="18" t="s">
        <v>51</v>
      </c>
      <c r="I36" s="59"/>
      <c r="J36" s="19">
        <v>4</v>
      </c>
      <c r="K36" s="19"/>
      <c r="L36" s="50"/>
      <c r="M36" s="73" t="s">
        <v>21</v>
      </c>
      <c r="N36" s="54">
        <f t="shared" si="0"/>
        <v>4</v>
      </c>
      <c r="O36" s="170"/>
      <c r="P36" s="191"/>
      <c r="Q36" s="192"/>
      <c r="R36" s="192"/>
      <c r="S36" s="192"/>
      <c r="T36" s="192"/>
      <c r="U36" s="193"/>
    </row>
    <row r="37" spans="1:21" ht="15.75" customHeight="1">
      <c r="A37" s="85"/>
      <c r="B37" s="37">
        <f>ROW()-13</f>
        <v>24</v>
      </c>
      <c r="C37" s="145" t="s">
        <v>491</v>
      </c>
      <c r="D37" s="80"/>
      <c r="E37" s="81"/>
      <c r="F37" s="146"/>
      <c r="G37" s="17"/>
      <c r="H37" s="18" t="s">
        <v>51</v>
      </c>
      <c r="I37" s="59"/>
      <c r="J37" s="19">
        <v>2</v>
      </c>
      <c r="K37" s="19"/>
      <c r="L37" s="50"/>
      <c r="M37" s="73" t="s">
        <v>21</v>
      </c>
      <c r="N37" s="54">
        <f t="shared" si="0"/>
        <v>2</v>
      </c>
      <c r="O37" s="170"/>
      <c r="P37" s="191"/>
      <c r="Q37" s="192"/>
      <c r="R37" s="192"/>
      <c r="S37" s="192"/>
      <c r="T37" s="192"/>
      <c r="U37" s="193"/>
    </row>
    <row r="38" spans="1:21" ht="15.75" customHeight="1">
      <c r="A38" s="85"/>
      <c r="B38" s="37">
        <f>ROW()-13</f>
        <v>25</v>
      </c>
      <c r="C38" s="145" t="s">
        <v>492</v>
      </c>
      <c r="D38" s="80"/>
      <c r="E38" s="81"/>
      <c r="F38" s="146"/>
      <c r="G38" s="17"/>
      <c r="H38" s="18" t="s">
        <v>51</v>
      </c>
      <c r="I38" s="59"/>
      <c r="J38" s="19">
        <v>6</v>
      </c>
      <c r="K38" s="19"/>
      <c r="L38" s="50"/>
      <c r="M38" s="73" t="s">
        <v>21</v>
      </c>
      <c r="N38" s="54">
        <f t="shared" si="0"/>
        <v>6</v>
      </c>
      <c r="O38" s="170"/>
      <c r="P38" s="191"/>
      <c r="Q38" s="192"/>
      <c r="R38" s="192"/>
      <c r="S38" s="192"/>
      <c r="T38" s="192"/>
      <c r="U38" s="193"/>
    </row>
    <row r="39" spans="1:21" ht="15.75" customHeight="1">
      <c r="A39" s="85"/>
      <c r="B39" s="37">
        <f>ROW()-13</f>
        <v>26</v>
      </c>
      <c r="C39" s="145" t="s">
        <v>493</v>
      </c>
      <c r="D39" s="80"/>
      <c r="E39" s="81"/>
      <c r="F39" s="146"/>
      <c r="G39" s="17"/>
      <c r="H39" s="18" t="s">
        <v>51</v>
      </c>
      <c r="I39" s="59"/>
      <c r="J39" s="19">
        <v>6</v>
      </c>
      <c r="K39" s="19"/>
      <c r="L39" s="50"/>
      <c r="M39" s="73" t="s">
        <v>21</v>
      </c>
      <c r="N39" s="54">
        <f t="shared" si="0"/>
        <v>6</v>
      </c>
      <c r="O39" s="170"/>
      <c r="P39" s="191"/>
      <c r="Q39" s="192"/>
      <c r="R39" s="192"/>
      <c r="S39" s="192"/>
      <c r="T39" s="192"/>
      <c r="U39" s="193"/>
    </row>
    <row r="40" spans="1:21" ht="15.75" customHeight="1">
      <c r="A40" s="85"/>
      <c r="B40" s="37">
        <f>ROW()-13</f>
        <v>27</v>
      </c>
      <c r="C40" s="145" t="s">
        <v>494</v>
      </c>
      <c r="D40" s="80"/>
      <c r="E40" s="81"/>
      <c r="F40" s="146"/>
      <c r="G40" s="17"/>
      <c r="H40" s="18" t="s">
        <v>51</v>
      </c>
      <c r="I40" s="59"/>
      <c r="J40" s="19">
        <v>4</v>
      </c>
      <c r="K40" s="19"/>
      <c r="L40" s="50"/>
      <c r="M40" s="73" t="s">
        <v>21</v>
      </c>
      <c r="N40" s="54">
        <f t="shared" si="0"/>
        <v>4</v>
      </c>
      <c r="O40" s="170"/>
      <c r="P40" s="191"/>
      <c r="Q40" s="192"/>
      <c r="R40" s="192"/>
      <c r="S40" s="192"/>
      <c r="T40" s="192"/>
      <c r="U40" s="193"/>
    </row>
    <row r="41" spans="1:21" ht="15.75" customHeight="1">
      <c r="A41" s="85"/>
      <c r="B41" s="37">
        <f>ROW()-13</f>
        <v>28</v>
      </c>
      <c r="C41" s="145" t="s">
        <v>495</v>
      </c>
      <c r="D41" s="80"/>
      <c r="E41" s="81"/>
      <c r="F41" s="146"/>
      <c r="G41" s="17"/>
      <c r="H41" s="18" t="s">
        <v>51</v>
      </c>
      <c r="I41" s="59"/>
      <c r="J41" s="19">
        <v>20</v>
      </c>
      <c r="K41" s="19"/>
      <c r="L41" s="50"/>
      <c r="M41" s="73" t="s">
        <v>21</v>
      </c>
      <c r="N41" s="54">
        <f t="shared" si="0"/>
        <v>20</v>
      </c>
      <c r="O41" s="170"/>
      <c r="P41" s="191"/>
      <c r="Q41" s="192"/>
      <c r="R41" s="192"/>
      <c r="S41" s="192"/>
      <c r="T41" s="192"/>
      <c r="U41" s="193"/>
    </row>
    <row r="42" spans="1:21" ht="15.75" customHeight="1">
      <c r="A42" s="85"/>
      <c r="B42" s="37">
        <f>ROW()-13</f>
        <v>29</v>
      </c>
      <c r="C42" s="145" t="s">
        <v>496</v>
      </c>
      <c r="D42" s="80"/>
      <c r="E42" s="81"/>
      <c r="F42" s="146"/>
      <c r="G42" s="17"/>
      <c r="H42" s="18" t="s">
        <v>51</v>
      </c>
      <c r="I42" s="59"/>
      <c r="J42" s="19">
        <v>2</v>
      </c>
      <c r="K42" s="19"/>
      <c r="L42" s="50"/>
      <c r="M42" s="73" t="s">
        <v>21</v>
      </c>
      <c r="N42" s="54">
        <f t="shared" si="0"/>
        <v>2</v>
      </c>
      <c r="O42" s="170"/>
      <c r="P42" s="191"/>
      <c r="Q42" s="192"/>
      <c r="R42" s="192"/>
      <c r="S42" s="192"/>
      <c r="T42" s="192"/>
      <c r="U42" s="193"/>
    </row>
    <row r="43" spans="1:21" ht="15.75" customHeight="1">
      <c r="A43" s="85"/>
      <c r="B43" s="37">
        <f>ROW()-13</f>
        <v>30</v>
      </c>
      <c r="C43" s="145" t="s">
        <v>497</v>
      </c>
      <c r="D43" s="80"/>
      <c r="E43" s="81"/>
      <c r="F43" s="146"/>
      <c r="G43" s="17"/>
      <c r="H43" s="18" t="s">
        <v>51</v>
      </c>
      <c r="I43" s="59"/>
      <c r="J43" s="19">
        <v>2</v>
      </c>
      <c r="K43" s="19"/>
      <c r="L43" s="50"/>
      <c r="M43" s="73" t="s">
        <v>21</v>
      </c>
      <c r="N43" s="54">
        <f t="shared" si="0"/>
        <v>2</v>
      </c>
      <c r="O43" s="170"/>
      <c r="P43" s="191"/>
      <c r="Q43" s="192"/>
      <c r="R43" s="192"/>
      <c r="S43" s="192"/>
      <c r="T43" s="192"/>
      <c r="U43" s="193"/>
    </row>
    <row r="44" spans="1:21" ht="15.75" customHeight="1">
      <c r="A44" s="85"/>
      <c r="B44" s="37">
        <f>ROW()-13</f>
        <v>31</v>
      </c>
      <c r="C44" s="145" t="s">
        <v>498</v>
      </c>
      <c r="D44" s="80"/>
      <c r="E44" s="81"/>
      <c r="F44" s="146"/>
      <c r="G44" s="17"/>
      <c r="H44" s="18" t="s">
        <v>51</v>
      </c>
      <c r="I44" s="59"/>
      <c r="J44" s="19">
        <v>4</v>
      </c>
      <c r="K44" s="19"/>
      <c r="L44" s="50"/>
      <c r="M44" s="73" t="s">
        <v>21</v>
      </c>
      <c r="N44" s="54">
        <f t="shared" si="0"/>
        <v>4</v>
      </c>
      <c r="O44" s="170"/>
      <c r="P44" s="191"/>
      <c r="Q44" s="192"/>
      <c r="R44" s="192"/>
      <c r="S44" s="192"/>
      <c r="T44" s="192"/>
      <c r="U44" s="193"/>
    </row>
    <row r="45" spans="1:21" ht="15.75" customHeight="1">
      <c r="A45" s="85"/>
      <c r="B45" s="37">
        <f>ROW()-13</f>
        <v>32</v>
      </c>
      <c r="C45" s="145" t="s">
        <v>499</v>
      </c>
      <c r="D45" s="80"/>
      <c r="E45" s="81"/>
      <c r="F45" s="146"/>
      <c r="G45" s="17"/>
      <c r="H45" s="18" t="s">
        <v>49</v>
      </c>
      <c r="I45" s="59"/>
      <c r="J45" s="19">
        <v>4</v>
      </c>
      <c r="K45" s="19"/>
      <c r="L45" s="50"/>
      <c r="M45" s="73" t="s">
        <v>21</v>
      </c>
      <c r="N45" s="54">
        <f t="shared" si="0"/>
        <v>4</v>
      </c>
      <c r="O45" s="170"/>
      <c r="P45" s="191"/>
      <c r="Q45" s="192"/>
      <c r="R45" s="192"/>
      <c r="S45" s="192"/>
      <c r="T45" s="192"/>
      <c r="U45" s="193"/>
    </row>
    <row r="46" spans="1:21" ht="15.75" customHeight="1">
      <c r="A46" s="85"/>
      <c r="B46" s="37">
        <f>ROW()-13</f>
        <v>33</v>
      </c>
      <c r="C46" s="145" t="s">
        <v>500</v>
      </c>
      <c r="D46" s="80"/>
      <c r="E46" s="81"/>
      <c r="F46" s="146"/>
      <c r="G46" s="17"/>
      <c r="H46" s="18" t="s">
        <v>49</v>
      </c>
      <c r="I46" s="59"/>
      <c r="J46" s="19">
        <v>12</v>
      </c>
      <c r="K46" s="19"/>
      <c r="L46" s="50"/>
      <c r="M46" s="73" t="s">
        <v>21</v>
      </c>
      <c r="N46" s="54">
        <f t="shared" si="0"/>
        <v>12</v>
      </c>
      <c r="O46" s="170"/>
      <c r="P46" s="191"/>
      <c r="Q46" s="192"/>
      <c r="R46" s="192"/>
      <c r="S46" s="192"/>
      <c r="T46" s="192"/>
      <c r="U46" s="193"/>
    </row>
    <row r="47" spans="1:21" ht="15.75" customHeight="1">
      <c r="A47" s="85"/>
      <c r="B47" s="37">
        <f>ROW()-13</f>
        <v>34</v>
      </c>
      <c r="C47" s="145" t="s">
        <v>501</v>
      </c>
      <c r="D47" s="80"/>
      <c r="E47" s="81"/>
      <c r="F47" s="146"/>
      <c r="G47" s="17"/>
      <c r="H47" s="18" t="s">
        <v>51</v>
      </c>
      <c r="I47" s="59"/>
      <c r="J47" s="19">
        <v>12</v>
      </c>
      <c r="K47" s="19"/>
      <c r="L47" s="50"/>
      <c r="M47" s="73" t="s">
        <v>21</v>
      </c>
      <c r="N47" s="54">
        <f t="shared" si="0"/>
        <v>12</v>
      </c>
      <c r="O47" s="170"/>
      <c r="P47" s="191" t="s">
        <v>502</v>
      </c>
      <c r="Q47" s="192"/>
      <c r="R47" s="192"/>
      <c r="S47" s="192"/>
      <c r="T47" s="192"/>
      <c r="U47" s="193"/>
    </row>
    <row r="48" spans="1:21" ht="15.75" customHeight="1">
      <c r="A48" s="85"/>
      <c r="B48" s="37">
        <f>ROW()-13</f>
        <v>35</v>
      </c>
      <c r="C48" s="145" t="s">
        <v>503</v>
      </c>
      <c r="D48" s="80"/>
      <c r="E48" s="81"/>
      <c r="F48" s="146"/>
      <c r="G48" s="17"/>
      <c r="H48" s="18" t="s">
        <v>51</v>
      </c>
      <c r="I48" s="59"/>
      <c r="J48" s="19">
        <v>4</v>
      </c>
      <c r="K48" s="19"/>
      <c r="L48" s="50"/>
      <c r="M48" s="73" t="s">
        <v>21</v>
      </c>
      <c r="N48" s="54">
        <f t="shared" si="0"/>
        <v>4</v>
      </c>
      <c r="O48" s="170"/>
      <c r="P48" s="191"/>
      <c r="Q48" s="192"/>
      <c r="R48" s="192"/>
      <c r="S48" s="192"/>
      <c r="T48" s="192"/>
      <c r="U48" s="193"/>
    </row>
    <row r="49" spans="1:21" ht="15.75" customHeight="1">
      <c r="A49" s="85"/>
      <c r="B49" s="37">
        <f>ROW()-13</f>
        <v>36</v>
      </c>
      <c r="C49" s="145" t="s">
        <v>504</v>
      </c>
      <c r="D49" s="80"/>
      <c r="E49" s="81"/>
      <c r="F49" s="146"/>
      <c r="G49" s="17"/>
      <c r="H49" s="18" t="s">
        <v>51</v>
      </c>
      <c r="I49" s="59"/>
      <c r="J49" s="19">
        <v>6</v>
      </c>
      <c r="K49" s="19"/>
      <c r="L49" s="50"/>
      <c r="M49" s="73" t="s">
        <v>21</v>
      </c>
      <c r="N49" s="54">
        <f t="shared" si="0"/>
        <v>6</v>
      </c>
      <c r="O49" s="170"/>
      <c r="P49" s="191"/>
      <c r="Q49" s="192"/>
      <c r="R49" s="192"/>
      <c r="S49" s="192"/>
      <c r="T49" s="192"/>
      <c r="U49" s="193"/>
    </row>
    <row r="50" spans="1:21" ht="15.75" customHeight="1">
      <c r="A50" s="85"/>
      <c r="B50" s="37">
        <f>ROW()-13</f>
        <v>37</v>
      </c>
      <c r="C50" s="145" t="s">
        <v>505</v>
      </c>
      <c r="D50" s="80"/>
      <c r="E50" s="81"/>
      <c r="F50" s="146"/>
      <c r="G50" s="17"/>
      <c r="H50" s="18" t="s">
        <v>49</v>
      </c>
      <c r="I50" s="59"/>
      <c r="J50" s="19">
        <v>12</v>
      </c>
      <c r="K50" s="19"/>
      <c r="L50" s="50"/>
      <c r="M50" s="73" t="s">
        <v>21</v>
      </c>
      <c r="N50" s="54">
        <f t="shared" si="0"/>
        <v>12</v>
      </c>
      <c r="O50" s="170"/>
      <c r="P50" s="191"/>
      <c r="Q50" s="192"/>
      <c r="R50" s="192"/>
      <c r="S50" s="192"/>
      <c r="T50" s="192"/>
      <c r="U50" s="193"/>
    </row>
    <row r="51" spans="1:21" ht="15.75" customHeight="1">
      <c r="A51" s="85"/>
      <c r="B51" s="37">
        <f>ROW()-13</f>
        <v>38</v>
      </c>
      <c r="C51" s="145" t="s">
        <v>506</v>
      </c>
      <c r="D51" s="80"/>
      <c r="E51" s="81"/>
      <c r="F51" s="146"/>
      <c r="G51" s="17"/>
      <c r="H51" s="18" t="s">
        <v>51</v>
      </c>
      <c r="I51" s="59"/>
      <c r="J51" s="19">
        <v>4</v>
      </c>
      <c r="K51" s="19"/>
      <c r="L51" s="50"/>
      <c r="M51" s="73" t="s">
        <v>21</v>
      </c>
      <c r="N51" s="54">
        <f t="shared" si="0"/>
        <v>4</v>
      </c>
      <c r="O51" s="170"/>
      <c r="P51" s="191"/>
      <c r="Q51" s="192"/>
      <c r="R51" s="192"/>
      <c r="S51" s="192"/>
      <c r="T51" s="192"/>
      <c r="U51" s="193"/>
    </row>
    <row r="52" spans="1:21" ht="15.75" customHeight="1">
      <c r="A52" s="85"/>
      <c r="B52" s="37">
        <f>ROW()-13</f>
        <v>39</v>
      </c>
      <c r="C52" s="145" t="s">
        <v>507</v>
      </c>
      <c r="D52" s="80"/>
      <c r="E52" s="81"/>
      <c r="F52" s="146"/>
      <c r="G52" s="17"/>
      <c r="H52" s="18" t="s">
        <v>51</v>
      </c>
      <c r="I52" s="59"/>
      <c r="J52" s="19">
        <v>4</v>
      </c>
      <c r="K52" s="19"/>
      <c r="L52" s="50"/>
      <c r="M52" s="73" t="s">
        <v>21</v>
      </c>
      <c r="N52" s="54">
        <f t="shared" si="0"/>
        <v>4</v>
      </c>
      <c r="O52" s="170"/>
      <c r="P52" s="191"/>
      <c r="Q52" s="192"/>
      <c r="R52" s="192"/>
      <c r="S52" s="192"/>
      <c r="T52" s="192"/>
      <c r="U52" s="193"/>
    </row>
    <row r="53" spans="1:21" ht="15.75" customHeight="1">
      <c r="A53" s="85"/>
      <c r="B53" s="37">
        <f>ROW()-13</f>
        <v>40</v>
      </c>
      <c r="C53" s="145" t="s">
        <v>508</v>
      </c>
      <c r="D53" s="80"/>
      <c r="E53" s="81"/>
      <c r="F53" s="146"/>
      <c r="G53" s="17"/>
      <c r="H53" s="18" t="s">
        <v>51</v>
      </c>
      <c r="I53" s="59"/>
      <c r="J53" s="19">
        <v>4</v>
      </c>
      <c r="K53" s="19"/>
      <c r="L53" s="50"/>
      <c r="M53" s="73" t="s">
        <v>21</v>
      </c>
      <c r="N53" s="54">
        <f t="shared" si="0"/>
        <v>4</v>
      </c>
      <c r="O53" s="170"/>
      <c r="P53" s="191"/>
      <c r="Q53" s="192"/>
      <c r="R53" s="192"/>
      <c r="S53" s="192"/>
      <c r="T53" s="192"/>
      <c r="U53" s="193"/>
    </row>
    <row r="54" spans="1:21" ht="15.75" customHeight="1">
      <c r="A54" s="85"/>
      <c r="B54" s="37">
        <f>ROW()-13</f>
        <v>41</v>
      </c>
      <c r="C54" s="145" t="s">
        <v>509</v>
      </c>
      <c r="D54" s="80"/>
      <c r="E54" s="81"/>
      <c r="F54" s="146"/>
      <c r="G54" s="17"/>
      <c r="H54" s="18" t="s">
        <v>51</v>
      </c>
      <c r="I54" s="59"/>
      <c r="J54" s="19">
        <v>4</v>
      </c>
      <c r="K54" s="19"/>
      <c r="L54" s="50"/>
      <c r="M54" s="73" t="s">
        <v>21</v>
      </c>
      <c r="N54" s="54">
        <f t="shared" si="0"/>
        <v>4</v>
      </c>
      <c r="O54" s="170"/>
      <c r="P54" s="191"/>
      <c r="Q54" s="192"/>
      <c r="R54" s="192"/>
      <c r="S54" s="192"/>
      <c r="T54" s="192"/>
      <c r="U54" s="193"/>
    </row>
    <row r="55" spans="1:21" ht="15.75" customHeight="1">
      <c r="A55" s="85"/>
      <c r="B55" s="37">
        <f>ROW()-13</f>
        <v>42</v>
      </c>
      <c r="C55" s="145" t="s">
        <v>510</v>
      </c>
      <c r="D55" s="80"/>
      <c r="E55" s="81"/>
      <c r="F55" s="146"/>
      <c r="G55" s="17"/>
      <c r="H55" s="18" t="s">
        <v>51</v>
      </c>
      <c r="I55" s="59"/>
      <c r="J55" s="19">
        <v>4</v>
      </c>
      <c r="K55" s="19"/>
      <c r="L55" s="50"/>
      <c r="M55" s="73" t="s">
        <v>21</v>
      </c>
      <c r="N55" s="54">
        <f t="shared" si="0"/>
        <v>4</v>
      </c>
      <c r="O55" s="170"/>
      <c r="P55" s="191"/>
      <c r="Q55" s="192"/>
      <c r="R55" s="192"/>
      <c r="S55" s="192"/>
      <c r="T55" s="192"/>
      <c r="U55" s="193"/>
    </row>
    <row r="56" spans="1:21" ht="15.75" customHeight="1">
      <c r="A56" s="85"/>
      <c r="B56" s="37">
        <f>ROW()-13</f>
        <v>43</v>
      </c>
      <c r="C56" s="145" t="s">
        <v>511</v>
      </c>
      <c r="D56" s="80"/>
      <c r="E56" s="81"/>
      <c r="F56" s="146"/>
      <c r="G56" s="17"/>
      <c r="H56" s="18" t="s">
        <v>51</v>
      </c>
      <c r="I56" s="59"/>
      <c r="J56" s="19">
        <v>10</v>
      </c>
      <c r="K56" s="19"/>
      <c r="L56" s="50"/>
      <c r="M56" s="73" t="s">
        <v>21</v>
      </c>
      <c r="N56" s="54">
        <f t="shared" si="0"/>
        <v>10</v>
      </c>
      <c r="O56" s="170"/>
      <c r="P56" s="191"/>
      <c r="Q56" s="192"/>
      <c r="R56" s="192"/>
      <c r="S56" s="192"/>
      <c r="T56" s="192"/>
      <c r="U56" s="193"/>
    </row>
    <row r="57" spans="1:21" ht="15.75" customHeight="1">
      <c r="A57" s="85"/>
      <c r="B57" s="37">
        <f>ROW()-13</f>
        <v>44</v>
      </c>
      <c r="C57" s="145" t="s">
        <v>512</v>
      </c>
      <c r="D57" s="80"/>
      <c r="E57" s="81"/>
      <c r="F57" s="146"/>
      <c r="G57" s="17"/>
      <c r="H57" s="18" t="s">
        <v>51</v>
      </c>
      <c r="I57" s="59"/>
      <c r="J57" s="19">
        <v>4</v>
      </c>
      <c r="K57" s="19"/>
      <c r="L57" s="50"/>
      <c r="M57" s="73" t="s">
        <v>21</v>
      </c>
      <c r="N57" s="54">
        <f t="shared" si="0"/>
        <v>4</v>
      </c>
      <c r="O57" s="170"/>
      <c r="P57" s="191"/>
      <c r="Q57" s="192"/>
      <c r="R57" s="192"/>
      <c r="S57" s="192"/>
      <c r="T57" s="192"/>
      <c r="U57" s="193"/>
    </row>
    <row r="58" spans="1:21" ht="15.75" customHeight="1">
      <c r="A58" s="85"/>
      <c r="B58" s="37">
        <f>ROW()-13</f>
        <v>45</v>
      </c>
      <c r="C58" s="145" t="s">
        <v>513</v>
      </c>
      <c r="D58" s="80"/>
      <c r="E58" s="81"/>
      <c r="F58" s="146"/>
      <c r="G58" s="17"/>
      <c r="H58" s="18" t="s">
        <v>51</v>
      </c>
      <c r="I58" s="59"/>
      <c r="J58" s="19">
        <v>4</v>
      </c>
      <c r="K58" s="19"/>
      <c r="L58" s="50"/>
      <c r="M58" s="73" t="s">
        <v>21</v>
      </c>
      <c r="N58" s="54">
        <f t="shared" si="0"/>
        <v>4</v>
      </c>
      <c r="O58" s="170"/>
      <c r="P58" s="191"/>
      <c r="Q58" s="192"/>
      <c r="R58" s="192"/>
      <c r="S58" s="192"/>
      <c r="T58" s="192"/>
      <c r="U58" s="193"/>
    </row>
    <row r="59" spans="1:21" ht="15.75" customHeight="1">
      <c r="A59" s="85"/>
      <c r="B59" s="37">
        <f>ROW()-13</f>
        <v>46</v>
      </c>
      <c r="C59" s="145" t="s">
        <v>514</v>
      </c>
      <c r="D59" s="80"/>
      <c r="E59" s="81"/>
      <c r="F59" s="146"/>
      <c r="G59" s="17"/>
      <c r="H59" s="18" t="s">
        <v>51</v>
      </c>
      <c r="I59" s="59"/>
      <c r="J59" s="19">
        <v>4</v>
      </c>
      <c r="K59" s="19"/>
      <c r="L59" s="50"/>
      <c r="M59" s="73" t="s">
        <v>21</v>
      </c>
      <c r="N59" s="54">
        <f t="shared" si="0"/>
        <v>4</v>
      </c>
      <c r="O59" s="170"/>
      <c r="P59" s="191"/>
      <c r="Q59" s="192"/>
      <c r="R59" s="192"/>
      <c r="S59" s="192"/>
      <c r="T59" s="192"/>
      <c r="U59" s="193"/>
    </row>
    <row r="60" spans="1:21" ht="15.75" customHeight="1">
      <c r="A60" s="85"/>
      <c r="B60" s="37">
        <f>ROW()-13</f>
        <v>47</v>
      </c>
      <c r="C60" s="145" t="s">
        <v>515</v>
      </c>
      <c r="D60" s="80"/>
      <c r="E60" s="81"/>
      <c r="F60" s="146"/>
      <c r="G60" s="17"/>
      <c r="H60" s="18" t="s">
        <v>51</v>
      </c>
      <c r="I60" s="59"/>
      <c r="J60" s="19">
        <v>4</v>
      </c>
      <c r="K60" s="19"/>
      <c r="L60" s="50"/>
      <c r="M60" s="73" t="s">
        <v>21</v>
      </c>
      <c r="N60" s="54">
        <f t="shared" si="0"/>
        <v>4</v>
      </c>
      <c r="O60" s="170"/>
      <c r="P60" s="191"/>
      <c r="Q60" s="192"/>
      <c r="R60" s="192"/>
      <c r="S60" s="192"/>
      <c r="T60" s="192"/>
      <c r="U60" s="193"/>
    </row>
    <row r="61" spans="1:21" ht="15.75" customHeight="1">
      <c r="A61" s="85"/>
      <c r="B61" s="37">
        <f>ROW()-13</f>
        <v>48</v>
      </c>
      <c r="C61" s="145" t="s">
        <v>516</v>
      </c>
      <c r="D61" s="80"/>
      <c r="E61" s="81"/>
      <c r="F61" s="146"/>
      <c r="G61" s="17"/>
      <c r="H61" s="18" t="s">
        <v>51</v>
      </c>
      <c r="I61" s="59"/>
      <c r="J61" s="19">
        <v>4</v>
      </c>
      <c r="K61" s="19"/>
      <c r="L61" s="50"/>
      <c r="M61" s="73" t="s">
        <v>21</v>
      </c>
      <c r="N61" s="54">
        <f t="shared" si="0"/>
        <v>4</v>
      </c>
      <c r="O61" s="170"/>
      <c r="P61" s="191"/>
      <c r="Q61" s="192"/>
      <c r="R61" s="192"/>
      <c r="S61" s="192"/>
      <c r="T61" s="192"/>
      <c r="U61" s="193"/>
    </row>
    <row r="62" spans="1:21" ht="15.75" customHeight="1">
      <c r="A62" s="85"/>
      <c r="B62" s="37">
        <f>ROW()-13</f>
        <v>49</v>
      </c>
      <c r="C62" s="145" t="s">
        <v>517</v>
      </c>
      <c r="D62" s="80"/>
      <c r="E62" s="81"/>
      <c r="F62" s="146"/>
      <c r="G62" s="17"/>
      <c r="H62" s="18" t="s">
        <v>49</v>
      </c>
      <c r="I62" s="59"/>
      <c r="J62" s="19">
        <v>12</v>
      </c>
      <c r="K62" s="19"/>
      <c r="L62" s="50"/>
      <c r="M62" s="73" t="s">
        <v>21</v>
      </c>
      <c r="N62" s="54">
        <f t="shared" si="0"/>
        <v>12</v>
      </c>
      <c r="O62" s="170"/>
      <c r="P62" s="191"/>
      <c r="Q62" s="192"/>
      <c r="R62" s="192"/>
      <c r="S62" s="192"/>
      <c r="T62" s="192"/>
      <c r="U62" s="193"/>
    </row>
    <row r="63" spans="1:21" ht="15.75" customHeight="1">
      <c r="A63" s="85"/>
      <c r="B63" s="37">
        <f>ROW()-13</f>
        <v>50</v>
      </c>
      <c r="C63" s="145" t="s">
        <v>518</v>
      </c>
      <c r="D63" s="80"/>
      <c r="E63" s="81"/>
      <c r="F63" s="146"/>
      <c r="G63" s="17"/>
      <c r="H63" s="18" t="s">
        <v>51</v>
      </c>
      <c r="I63" s="59"/>
      <c r="J63" s="19">
        <v>4</v>
      </c>
      <c r="K63" s="19"/>
      <c r="L63" s="50"/>
      <c r="M63" s="73" t="s">
        <v>21</v>
      </c>
      <c r="N63" s="54">
        <f t="shared" si="0"/>
        <v>4</v>
      </c>
      <c r="O63" s="170"/>
      <c r="P63" s="191"/>
      <c r="Q63" s="192"/>
      <c r="R63" s="192"/>
      <c r="S63" s="192"/>
      <c r="T63" s="192"/>
      <c r="U63" s="193"/>
    </row>
    <row r="64" spans="1:21" ht="15.75" customHeight="1">
      <c r="A64" s="85"/>
      <c r="B64" s="37">
        <f>ROW()-13</f>
        <v>51</v>
      </c>
      <c r="C64" s="145" t="s">
        <v>519</v>
      </c>
      <c r="D64" s="80"/>
      <c r="E64" s="81"/>
      <c r="F64" s="146"/>
      <c r="G64" s="17"/>
      <c r="H64" s="18" t="s">
        <v>51</v>
      </c>
      <c r="I64" s="59"/>
      <c r="J64" s="19">
        <v>10</v>
      </c>
      <c r="K64" s="19"/>
      <c r="L64" s="50"/>
      <c r="M64" s="73" t="s">
        <v>21</v>
      </c>
      <c r="N64" s="54">
        <f t="shared" si="0"/>
        <v>10</v>
      </c>
      <c r="O64" s="170"/>
      <c r="P64" s="191"/>
      <c r="Q64" s="192"/>
      <c r="R64" s="192"/>
      <c r="S64" s="192"/>
      <c r="T64" s="192"/>
      <c r="U64" s="193"/>
    </row>
    <row r="65" spans="1:21" ht="15.75" customHeight="1">
      <c r="A65" s="85"/>
      <c r="B65" s="37">
        <f>ROW()-13</f>
        <v>52</v>
      </c>
      <c r="C65" s="145" t="s">
        <v>520</v>
      </c>
      <c r="D65" s="80"/>
      <c r="E65" s="81"/>
      <c r="F65" s="146"/>
      <c r="G65" s="17"/>
      <c r="H65" s="18" t="s">
        <v>51</v>
      </c>
      <c r="I65" s="59"/>
      <c r="J65" s="19">
        <v>12</v>
      </c>
      <c r="K65" s="19"/>
      <c r="L65" s="50"/>
      <c r="M65" s="73" t="s">
        <v>21</v>
      </c>
      <c r="N65" s="54">
        <f t="shared" si="0"/>
        <v>12</v>
      </c>
      <c r="O65" s="170"/>
      <c r="P65" s="191"/>
      <c r="Q65" s="192"/>
      <c r="R65" s="192"/>
      <c r="S65" s="192"/>
      <c r="T65" s="192"/>
      <c r="U65" s="193"/>
    </row>
    <row r="66" spans="1:21" ht="15.75" customHeight="1">
      <c r="A66" s="85"/>
      <c r="B66" s="37">
        <f>ROW()-13</f>
        <v>53</v>
      </c>
      <c r="C66" s="145" t="s">
        <v>521</v>
      </c>
      <c r="D66" s="80"/>
      <c r="E66" s="81"/>
      <c r="F66" s="146"/>
      <c r="G66" s="17"/>
      <c r="H66" s="18" t="s">
        <v>51</v>
      </c>
      <c r="I66" s="59"/>
      <c r="J66" s="19">
        <v>4</v>
      </c>
      <c r="K66" s="19"/>
      <c r="L66" s="50"/>
      <c r="M66" s="73" t="s">
        <v>21</v>
      </c>
      <c r="N66" s="54">
        <f t="shared" si="0"/>
        <v>4</v>
      </c>
      <c r="O66" s="170"/>
      <c r="P66" s="191"/>
      <c r="Q66" s="192"/>
      <c r="R66" s="192"/>
      <c r="S66" s="192"/>
      <c r="T66" s="192"/>
      <c r="U66" s="193"/>
    </row>
    <row r="67" spans="1:21" ht="15.75" customHeight="1">
      <c r="A67" s="85"/>
      <c r="B67" s="37">
        <f>ROW()-13</f>
        <v>54</v>
      </c>
      <c r="C67" s="145" t="s">
        <v>522</v>
      </c>
      <c r="D67" s="80"/>
      <c r="E67" s="81"/>
      <c r="F67" s="146"/>
      <c r="G67" s="17"/>
      <c r="H67" s="18" t="s">
        <v>211</v>
      </c>
      <c r="I67" s="59"/>
      <c r="J67" s="19"/>
      <c r="K67" s="19"/>
      <c r="L67" s="50"/>
      <c r="M67" s="73" t="s">
        <v>21</v>
      </c>
      <c r="N67" s="54">
        <f t="shared" si="0"/>
        <v>0</v>
      </c>
      <c r="O67" s="170"/>
      <c r="P67" s="191"/>
      <c r="Q67" s="192"/>
      <c r="R67" s="192"/>
      <c r="S67" s="192"/>
      <c r="T67" s="192"/>
      <c r="U67" s="193"/>
    </row>
    <row r="68" spans="1:21" ht="15.75" customHeight="1">
      <c r="A68" s="85"/>
      <c r="B68" s="37">
        <f>ROW()-13</f>
        <v>55</v>
      </c>
      <c r="C68" s="145" t="s">
        <v>523</v>
      </c>
      <c r="D68" s="80"/>
      <c r="E68" s="81"/>
      <c r="F68" s="146"/>
      <c r="G68" s="17"/>
      <c r="H68" s="18" t="s">
        <v>49</v>
      </c>
      <c r="I68" s="59"/>
      <c r="J68" s="19">
        <v>1</v>
      </c>
      <c r="K68" s="19"/>
      <c r="L68" s="50"/>
      <c r="M68" s="73" t="s">
        <v>21</v>
      </c>
      <c r="N68" s="54">
        <f t="shared" si="0"/>
        <v>1</v>
      </c>
      <c r="O68" s="170"/>
      <c r="P68" s="191"/>
      <c r="Q68" s="192"/>
      <c r="R68" s="192"/>
      <c r="S68" s="192"/>
      <c r="T68" s="192"/>
      <c r="U68" s="193"/>
    </row>
    <row r="69" spans="1:21" ht="15.75" customHeight="1">
      <c r="A69" s="85"/>
      <c r="B69" s="37">
        <f>ROW()-13</f>
        <v>56</v>
      </c>
      <c r="C69" s="145" t="s">
        <v>524</v>
      </c>
      <c r="D69" s="80"/>
      <c r="E69" s="81"/>
      <c r="F69" s="146"/>
      <c r="G69" s="17"/>
      <c r="H69" s="18" t="s">
        <v>49</v>
      </c>
      <c r="I69" s="59"/>
      <c r="J69" s="19">
        <v>1</v>
      </c>
      <c r="K69" s="19"/>
      <c r="L69" s="50"/>
      <c r="M69" s="73" t="s">
        <v>21</v>
      </c>
      <c r="N69" s="54">
        <f t="shared" si="0"/>
        <v>1</v>
      </c>
      <c r="O69" s="170"/>
      <c r="P69" s="191"/>
      <c r="Q69" s="192"/>
      <c r="R69" s="192"/>
      <c r="S69" s="192"/>
      <c r="T69" s="192"/>
      <c r="U69" s="193"/>
    </row>
    <row r="70" spans="1:21" ht="15.75" customHeight="1">
      <c r="A70" s="85"/>
      <c r="B70" s="37">
        <f>ROW()-13</f>
        <v>57</v>
      </c>
      <c r="C70" s="145" t="s">
        <v>525</v>
      </c>
      <c r="D70" s="80"/>
      <c r="E70" s="81"/>
      <c r="F70" s="146"/>
      <c r="G70" s="17"/>
      <c r="H70" s="18" t="s">
        <v>51</v>
      </c>
      <c r="I70" s="59"/>
      <c r="J70" s="19">
        <v>2</v>
      </c>
      <c r="K70" s="19"/>
      <c r="L70" s="50"/>
      <c r="M70" s="73" t="s">
        <v>21</v>
      </c>
      <c r="N70" s="54">
        <f t="shared" si="0"/>
        <v>2</v>
      </c>
      <c r="O70" s="170"/>
      <c r="P70" s="191"/>
      <c r="Q70" s="192"/>
      <c r="R70" s="192"/>
      <c r="S70" s="192"/>
      <c r="T70" s="192"/>
      <c r="U70" s="193"/>
    </row>
    <row r="71" spans="1:21" ht="15.75" customHeight="1">
      <c r="A71" s="85"/>
      <c r="B71" s="37">
        <f>ROW()-13</f>
        <v>58</v>
      </c>
      <c r="C71" s="145" t="s">
        <v>526</v>
      </c>
      <c r="D71" s="80"/>
      <c r="E71" s="81"/>
      <c r="F71" s="146"/>
      <c r="G71" s="17"/>
      <c r="H71" s="18" t="s">
        <v>51</v>
      </c>
      <c r="I71" s="59"/>
      <c r="J71" s="19">
        <v>2</v>
      </c>
      <c r="K71" s="19"/>
      <c r="L71" s="50"/>
      <c r="M71" s="73" t="s">
        <v>21</v>
      </c>
      <c r="N71" s="54">
        <f t="shared" si="0"/>
        <v>2</v>
      </c>
      <c r="O71" s="170"/>
      <c r="P71" s="191"/>
      <c r="Q71" s="192"/>
      <c r="R71" s="192"/>
      <c r="S71" s="192"/>
      <c r="T71" s="192"/>
      <c r="U71" s="193"/>
    </row>
    <row r="72" spans="1:21" ht="15.75" customHeight="1">
      <c r="A72" s="85"/>
      <c r="B72" s="37">
        <f>ROW()-13</f>
        <v>59</v>
      </c>
      <c r="C72" s="145" t="s">
        <v>527</v>
      </c>
      <c r="D72" s="80"/>
      <c r="E72" s="81"/>
      <c r="F72" s="146"/>
      <c r="G72" s="17"/>
      <c r="H72" s="18" t="s">
        <v>51</v>
      </c>
      <c r="I72" s="59"/>
      <c r="J72" s="19">
        <v>4</v>
      </c>
      <c r="K72" s="19"/>
      <c r="L72" s="50"/>
      <c r="M72" s="73" t="s">
        <v>21</v>
      </c>
      <c r="N72" s="54">
        <f t="shared" si="0"/>
        <v>4</v>
      </c>
      <c r="O72" s="170"/>
      <c r="P72" s="191"/>
      <c r="Q72" s="192"/>
      <c r="R72" s="192"/>
      <c r="S72" s="192"/>
      <c r="T72" s="192"/>
      <c r="U72" s="193"/>
    </row>
    <row r="73" spans="1:21" ht="15.75" customHeight="1">
      <c r="A73" s="85"/>
      <c r="B73" s="37">
        <f>ROW()-13</f>
        <v>60</v>
      </c>
      <c r="C73" s="145" t="s">
        <v>528</v>
      </c>
      <c r="D73" s="80"/>
      <c r="E73" s="81"/>
      <c r="F73" s="146"/>
      <c r="G73" s="17"/>
      <c r="H73" s="18" t="s">
        <v>51</v>
      </c>
      <c r="I73" s="59"/>
      <c r="J73" s="19">
        <v>2</v>
      </c>
      <c r="K73" s="19"/>
      <c r="L73" s="50"/>
      <c r="M73" s="73" t="s">
        <v>21</v>
      </c>
      <c r="N73" s="54">
        <f t="shared" si="0"/>
        <v>2</v>
      </c>
      <c r="O73" s="170"/>
      <c r="P73" s="191"/>
      <c r="Q73" s="192"/>
      <c r="R73" s="192"/>
      <c r="S73" s="192"/>
      <c r="T73" s="192"/>
      <c r="U73" s="193"/>
    </row>
    <row r="74" spans="1:21" ht="15.75" customHeight="1">
      <c r="A74" s="85"/>
      <c r="B74" s="37">
        <f>ROW()-13</f>
        <v>61</v>
      </c>
      <c r="C74" s="145" t="s">
        <v>529</v>
      </c>
      <c r="D74" s="80"/>
      <c r="E74" s="81"/>
      <c r="F74" s="146"/>
      <c r="G74" s="17"/>
      <c r="H74" s="18" t="s">
        <v>49</v>
      </c>
      <c r="I74" s="59"/>
      <c r="J74" s="19">
        <v>12</v>
      </c>
      <c r="K74" s="19"/>
      <c r="L74" s="50"/>
      <c r="M74" s="73" t="s">
        <v>21</v>
      </c>
      <c r="N74" s="54">
        <f t="shared" si="0"/>
        <v>12</v>
      </c>
      <c r="O74" s="170"/>
      <c r="P74" s="191"/>
      <c r="Q74" s="192"/>
      <c r="R74" s="192"/>
      <c r="S74" s="192"/>
      <c r="T74" s="192"/>
      <c r="U74" s="193"/>
    </row>
    <row r="75" spans="1:21" ht="15.75" customHeight="1">
      <c r="A75" s="85"/>
      <c r="B75" s="37">
        <f>ROW()-13</f>
        <v>62</v>
      </c>
      <c r="C75" s="145" t="s">
        <v>530</v>
      </c>
      <c r="D75" s="80"/>
      <c r="E75" s="81"/>
      <c r="F75" s="146"/>
      <c r="G75" s="17"/>
      <c r="H75" s="18" t="s">
        <v>51</v>
      </c>
      <c r="I75" s="59"/>
      <c r="J75" s="19">
        <v>2</v>
      </c>
      <c r="K75" s="19"/>
      <c r="L75" s="50"/>
      <c r="M75" s="73" t="s">
        <v>21</v>
      </c>
      <c r="N75" s="54">
        <f t="shared" si="0"/>
        <v>2</v>
      </c>
      <c r="O75" s="170"/>
      <c r="P75" s="191"/>
      <c r="Q75" s="192"/>
      <c r="R75" s="192"/>
      <c r="S75" s="192"/>
      <c r="T75" s="192"/>
      <c r="U75" s="193"/>
    </row>
    <row r="76" spans="1:21" ht="15.75" customHeight="1">
      <c r="A76" s="85"/>
      <c r="B76" s="37">
        <f>ROW()-13</f>
        <v>63</v>
      </c>
      <c r="C76" s="145" t="s">
        <v>531</v>
      </c>
      <c r="D76" s="80"/>
      <c r="E76" s="81"/>
      <c r="F76" s="146"/>
      <c r="G76" s="17"/>
      <c r="H76" s="18" t="s">
        <v>51</v>
      </c>
      <c r="I76" s="59"/>
      <c r="J76" s="19">
        <v>4</v>
      </c>
      <c r="K76" s="19"/>
      <c r="L76" s="50"/>
      <c r="M76" s="73" t="s">
        <v>21</v>
      </c>
      <c r="N76" s="54">
        <f t="shared" si="0"/>
        <v>4</v>
      </c>
      <c r="O76" s="170"/>
      <c r="P76" s="191"/>
      <c r="Q76" s="192"/>
      <c r="R76" s="192"/>
      <c r="S76" s="192"/>
      <c r="T76" s="192"/>
      <c r="U76" s="193"/>
    </row>
    <row r="77" spans="1:21" ht="27.5" customHeight="1">
      <c r="A77" s="85"/>
      <c r="B77" s="37">
        <f>ROW()-13</f>
        <v>64</v>
      </c>
      <c r="C77" s="145" t="s">
        <v>532</v>
      </c>
      <c r="D77" s="80"/>
      <c r="E77" s="81"/>
      <c r="F77" s="146"/>
      <c r="G77" s="17"/>
      <c r="H77" s="18" t="s">
        <v>51</v>
      </c>
      <c r="I77" s="59"/>
      <c r="J77" s="19">
        <v>20</v>
      </c>
      <c r="K77" s="19"/>
      <c r="L77" s="50"/>
      <c r="M77" s="73" t="s">
        <v>21</v>
      </c>
      <c r="N77" s="54">
        <f t="shared" si="0"/>
        <v>20</v>
      </c>
      <c r="O77" s="170"/>
      <c r="P77" s="251" t="s">
        <v>533</v>
      </c>
      <c r="Q77" s="192"/>
      <c r="R77" s="192"/>
      <c r="S77" s="192"/>
      <c r="T77" s="192"/>
      <c r="U77" s="193"/>
    </row>
    <row r="78" spans="1:21" ht="15.75" customHeight="1">
      <c r="A78" s="85"/>
      <c r="B78" s="37">
        <f>ROW()-13</f>
        <v>65</v>
      </c>
      <c r="C78" s="145" t="s">
        <v>276</v>
      </c>
      <c r="D78" s="80"/>
      <c r="E78" s="81"/>
      <c r="F78" s="146" t="s">
        <v>534</v>
      </c>
      <c r="G78" s="17"/>
      <c r="H78" s="18" t="s">
        <v>51</v>
      </c>
      <c r="I78" s="59"/>
      <c r="J78" s="19">
        <v>50</v>
      </c>
      <c r="K78" s="19"/>
      <c r="L78" s="50"/>
      <c r="M78" s="73" t="s">
        <v>21</v>
      </c>
      <c r="N78" s="54">
        <f t="shared" ref="N78:N85" si="1">IF(H78="NUMBER",IF(J78&gt;0,INT((J78+1)/2+0.9),0),IF(H78="DATE",7,IF(OR(H78="LONG",H78="LONG RAW"),100000,J78)))</f>
        <v>50</v>
      </c>
      <c r="O78" s="170"/>
      <c r="P78" s="191"/>
      <c r="Q78" s="192"/>
      <c r="R78" s="192"/>
      <c r="S78" s="192"/>
      <c r="T78" s="192"/>
      <c r="U78" s="193"/>
    </row>
    <row r="79" spans="1:21" ht="15.5">
      <c r="A79" s="85"/>
      <c r="B79" s="37">
        <f t="shared" ref="B79:B85" si="2">ROW()-13</f>
        <v>66</v>
      </c>
      <c r="C79" s="107" t="s">
        <v>36</v>
      </c>
      <c r="D79" s="107"/>
      <c r="E79" s="108"/>
      <c r="F79" s="109" t="s">
        <v>78</v>
      </c>
      <c r="G79" s="110"/>
      <c r="H79" s="18" t="s">
        <v>51</v>
      </c>
      <c r="I79" s="59"/>
      <c r="J79" s="113">
        <v>12</v>
      </c>
      <c r="K79" s="113"/>
      <c r="L79" s="114"/>
      <c r="M79" s="115" t="s">
        <v>35</v>
      </c>
      <c r="N79" s="116">
        <f t="shared" si="1"/>
        <v>12</v>
      </c>
      <c r="O79" s="171"/>
      <c r="P79" s="197"/>
      <c r="Q79" s="198"/>
      <c r="R79" s="198"/>
      <c r="S79" s="198"/>
      <c r="T79" s="198"/>
      <c r="U79" s="199"/>
    </row>
    <row r="80" spans="1:21" ht="15.5">
      <c r="A80" s="85"/>
      <c r="B80" s="37">
        <f t="shared" si="2"/>
        <v>67</v>
      </c>
      <c r="C80" s="107" t="s">
        <v>37</v>
      </c>
      <c r="D80" s="107"/>
      <c r="E80" s="108"/>
      <c r="F80" s="109" t="s">
        <v>43</v>
      </c>
      <c r="G80" s="110"/>
      <c r="H80" s="18" t="s">
        <v>51</v>
      </c>
      <c r="I80" s="59"/>
      <c r="J80" s="113">
        <v>10</v>
      </c>
      <c r="K80" s="113"/>
      <c r="L80" s="114"/>
      <c r="M80" s="115" t="s">
        <v>21</v>
      </c>
      <c r="N80" s="116">
        <f t="shared" si="1"/>
        <v>10</v>
      </c>
      <c r="O80" s="171"/>
      <c r="P80" s="197"/>
      <c r="Q80" s="198"/>
      <c r="R80" s="198"/>
      <c r="S80" s="198"/>
      <c r="T80" s="198"/>
      <c r="U80" s="199"/>
    </row>
    <row r="81" spans="1:21" ht="15.5">
      <c r="A81" s="85"/>
      <c r="B81" s="37">
        <f t="shared" si="2"/>
        <v>68</v>
      </c>
      <c r="C81" s="107" t="s">
        <v>38</v>
      </c>
      <c r="D81" s="107"/>
      <c r="E81" s="108"/>
      <c r="F81" s="109" t="s">
        <v>80</v>
      </c>
      <c r="G81" s="110"/>
      <c r="H81" s="18" t="s">
        <v>86</v>
      </c>
      <c r="I81" s="59"/>
      <c r="J81" s="113"/>
      <c r="K81" s="113"/>
      <c r="L81" s="114"/>
      <c r="M81" s="115" t="s">
        <v>21</v>
      </c>
      <c r="N81" s="116">
        <f t="shared" si="1"/>
        <v>0</v>
      </c>
      <c r="O81" s="171"/>
      <c r="P81" s="197"/>
      <c r="Q81" s="198"/>
      <c r="R81" s="198"/>
      <c r="S81" s="198"/>
      <c r="T81" s="198"/>
      <c r="U81" s="199"/>
    </row>
    <row r="82" spans="1:21" ht="15.5">
      <c r="A82" s="85"/>
      <c r="B82" s="37">
        <f t="shared" si="2"/>
        <v>69</v>
      </c>
      <c r="C82" s="107" t="s">
        <v>39</v>
      </c>
      <c r="D82" s="107"/>
      <c r="E82" s="108"/>
      <c r="F82" s="109" t="s">
        <v>79</v>
      </c>
      <c r="G82" s="110"/>
      <c r="H82" s="18" t="s">
        <v>51</v>
      </c>
      <c r="I82" s="59"/>
      <c r="J82" s="113">
        <v>12</v>
      </c>
      <c r="K82" s="113"/>
      <c r="L82" s="114"/>
      <c r="M82" s="115" t="s">
        <v>35</v>
      </c>
      <c r="N82" s="116">
        <f t="shared" si="1"/>
        <v>12</v>
      </c>
      <c r="O82" s="171"/>
      <c r="P82" s="197"/>
      <c r="Q82" s="198"/>
      <c r="R82" s="198"/>
      <c r="S82" s="198"/>
      <c r="T82" s="198"/>
      <c r="U82" s="199"/>
    </row>
    <row r="83" spans="1:21" ht="15.5">
      <c r="A83" s="85"/>
      <c r="B83" s="37">
        <f t="shared" si="2"/>
        <v>70</v>
      </c>
      <c r="C83" s="107" t="s">
        <v>40</v>
      </c>
      <c r="D83" s="107"/>
      <c r="E83" s="108"/>
      <c r="F83" s="109" t="s">
        <v>44</v>
      </c>
      <c r="G83" s="110"/>
      <c r="H83" s="18" t="s">
        <v>51</v>
      </c>
      <c r="I83" s="59"/>
      <c r="J83" s="113">
        <v>10</v>
      </c>
      <c r="K83" s="113"/>
      <c r="L83" s="114"/>
      <c r="M83" s="115" t="s">
        <v>21</v>
      </c>
      <c r="N83" s="116">
        <f t="shared" si="1"/>
        <v>10</v>
      </c>
      <c r="O83" s="171"/>
      <c r="P83" s="197"/>
      <c r="Q83" s="198"/>
      <c r="R83" s="198"/>
      <c r="S83" s="198"/>
      <c r="T83" s="198"/>
      <c r="U83" s="199"/>
    </row>
    <row r="84" spans="1:21" ht="15.5">
      <c r="A84" s="85"/>
      <c r="B84" s="37">
        <f t="shared" si="2"/>
        <v>71</v>
      </c>
      <c r="C84" s="107" t="s">
        <v>41</v>
      </c>
      <c r="D84" s="107"/>
      <c r="E84" s="108"/>
      <c r="F84" s="109" t="s">
        <v>81</v>
      </c>
      <c r="G84" s="110"/>
      <c r="H84" s="18" t="s">
        <v>86</v>
      </c>
      <c r="I84" s="59"/>
      <c r="J84" s="113"/>
      <c r="K84" s="113"/>
      <c r="L84" s="114"/>
      <c r="M84" s="115" t="s">
        <v>21</v>
      </c>
      <c r="N84" s="116">
        <f t="shared" si="1"/>
        <v>0</v>
      </c>
      <c r="O84" s="171"/>
      <c r="P84" s="197"/>
      <c r="Q84" s="198"/>
      <c r="R84" s="198"/>
      <c r="S84" s="198"/>
      <c r="T84" s="198"/>
      <c r="U84" s="199"/>
    </row>
    <row r="85" spans="1:21" ht="15.5">
      <c r="A85" s="85"/>
      <c r="B85" s="37">
        <f t="shared" si="2"/>
        <v>72</v>
      </c>
      <c r="C85" s="80" t="s">
        <v>46</v>
      </c>
      <c r="D85" s="80"/>
      <c r="E85" s="81"/>
      <c r="F85" s="84" t="s">
        <v>71</v>
      </c>
      <c r="G85" s="17"/>
      <c r="H85" s="18" t="s">
        <v>62</v>
      </c>
      <c r="I85" s="59"/>
      <c r="J85" s="19">
        <v>8</v>
      </c>
      <c r="K85" s="19"/>
      <c r="L85" s="50" t="s">
        <v>47</v>
      </c>
      <c r="M85" s="73" t="s">
        <v>35</v>
      </c>
      <c r="N85" s="54">
        <f t="shared" si="1"/>
        <v>8</v>
      </c>
      <c r="O85" s="170">
        <v>0</v>
      </c>
      <c r="P85" s="191" t="s">
        <v>48</v>
      </c>
      <c r="Q85" s="192"/>
      <c r="R85" s="192"/>
      <c r="S85" s="192"/>
      <c r="T85" s="192"/>
      <c r="U85" s="193"/>
    </row>
    <row r="86" spans="1:21" ht="16" thickBot="1">
      <c r="A86" s="118"/>
      <c r="B86" s="119"/>
      <c r="C86" s="120"/>
      <c r="D86" s="120"/>
      <c r="E86" s="121"/>
      <c r="F86" s="129"/>
      <c r="G86" s="122"/>
      <c r="H86" s="147"/>
      <c r="I86" s="148"/>
      <c r="J86" s="125"/>
      <c r="K86" s="125"/>
      <c r="L86" s="126"/>
      <c r="M86" s="126"/>
      <c r="N86" s="127"/>
      <c r="O86" s="172"/>
      <c r="P86" s="194"/>
      <c r="Q86" s="195"/>
      <c r="R86" s="195"/>
      <c r="S86" s="195"/>
      <c r="T86" s="195"/>
      <c r="U86" s="196"/>
    </row>
  </sheetData>
  <mergeCells count="103">
    <mergeCell ref="P82:U82"/>
    <mergeCell ref="P83:U83"/>
    <mergeCell ref="P84:U84"/>
    <mergeCell ref="P85:U85"/>
    <mergeCell ref="P86:U86"/>
    <mergeCell ref="P76:U76"/>
    <mergeCell ref="P77:U77"/>
    <mergeCell ref="P78:U78"/>
    <mergeCell ref="P79:U79"/>
    <mergeCell ref="P80:U80"/>
    <mergeCell ref="P81:U81"/>
    <mergeCell ref="P70:U70"/>
    <mergeCell ref="P71:U71"/>
    <mergeCell ref="P72:U72"/>
    <mergeCell ref="P73:U73"/>
    <mergeCell ref="P74:U74"/>
    <mergeCell ref="P75:U75"/>
    <mergeCell ref="P64:U64"/>
    <mergeCell ref="P65:U65"/>
    <mergeCell ref="P66:U66"/>
    <mergeCell ref="P67:U67"/>
    <mergeCell ref="P68:U68"/>
    <mergeCell ref="P69:U69"/>
    <mergeCell ref="P58:U58"/>
    <mergeCell ref="P59:U59"/>
    <mergeCell ref="P60:U60"/>
    <mergeCell ref="P61:U61"/>
    <mergeCell ref="P62:U62"/>
    <mergeCell ref="P63:U63"/>
    <mergeCell ref="P52:U52"/>
    <mergeCell ref="P53:U53"/>
    <mergeCell ref="P54:U54"/>
    <mergeCell ref="P55:U55"/>
    <mergeCell ref="P56:U56"/>
    <mergeCell ref="P57:U57"/>
    <mergeCell ref="P46:U46"/>
    <mergeCell ref="P47:U47"/>
    <mergeCell ref="P48:U48"/>
    <mergeCell ref="P49:U49"/>
    <mergeCell ref="P50:U50"/>
    <mergeCell ref="P51:U51"/>
    <mergeCell ref="P40:U40"/>
    <mergeCell ref="P41:U41"/>
    <mergeCell ref="P42:U42"/>
    <mergeCell ref="P43:U43"/>
    <mergeCell ref="P44:U44"/>
    <mergeCell ref="P45:U45"/>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89"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37890"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37891"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37892"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37893"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37894"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B1E0EEF0-B2C0-4235-95C6-D2F3D40AB6C5}">
            <xm:f>(AND(H14&lt;&gt;"",ISERROR(VLOOKUP(H14,system!$E:$E,1,FALSE))))</xm:f>
            <x14:dxf>
              <fill>
                <patternFill patternType="solid">
                  <bgColor rgb="FFFF0000"/>
                </patternFill>
              </fill>
            </x14:dxf>
          </x14:cfRule>
          <xm:sqref>H14:H78</xm:sqref>
        </x14:conditionalFormatting>
        <x14:conditionalFormatting xmlns:xm="http://schemas.microsoft.com/office/excel/2006/main">
          <x14:cfRule type="expression" priority="3" id="{66FE5222-4755-4194-858F-A197F6FFDB77}">
            <xm:f>(AND(H14&lt;&gt;"",ISERROR(VLOOKUP(H14,system!$E:$E,1,FALSE))))</xm:f>
            <x14:dxf>
              <fill>
                <patternFill>
                  <bgColor rgb="FFFF0000"/>
                </patternFill>
              </fill>
            </x14:dxf>
          </x14:cfRule>
          <xm:sqref>I14:I78</xm:sqref>
        </x14:conditionalFormatting>
        <x14:conditionalFormatting xmlns:xm="http://schemas.microsoft.com/office/excel/2006/main">
          <x14:cfRule type="expression" priority="2" id="{262234AF-AB48-4E07-9578-E1370A722B6F}">
            <xm:f>(AND(H79&lt;&gt;"",ISERROR(VLOOKUP(H79,system!$E:$E,1,FALSE))))</xm:f>
            <x14:dxf>
              <fill>
                <patternFill patternType="solid">
                  <bgColor rgb="FFFF0000"/>
                </patternFill>
              </fill>
            </x14:dxf>
          </x14:cfRule>
          <xm:sqref>H79:H86</xm:sqref>
        </x14:conditionalFormatting>
        <x14:conditionalFormatting xmlns:xm="http://schemas.microsoft.com/office/excel/2006/main">
          <x14:cfRule type="expression" priority="1" id="{9032753F-3772-4C91-AF7B-1E50035CA72F}">
            <xm:f>(AND(H79&lt;&gt;"",ISERROR(VLOOKUP(H79,system!$E:$E,1,FALSE))))</xm:f>
            <x14:dxf>
              <fill>
                <patternFill>
                  <bgColor rgb="FFFF0000"/>
                </patternFill>
              </fill>
            </x14:dxf>
          </x14:cfRule>
          <xm:sqref>I79:I86</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EB42F-58E0-4BA1-8CFF-E31DA38EEFE9}">
  <sheetPr codeName="Sheet37">
    <pageSetUpPr fitToPage="1"/>
  </sheetPr>
  <dimension ref="A1:U3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536</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154</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SUM(N14:N37)</f>
        <v>183</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197</v>
      </c>
      <c r="D14" s="80"/>
      <c r="E14" s="81"/>
      <c r="F14" s="146"/>
      <c r="G14" s="17"/>
      <c r="H14" s="18" t="s">
        <v>49</v>
      </c>
      <c r="I14" s="59"/>
      <c r="J14" s="19">
        <v>1</v>
      </c>
      <c r="K14" s="19"/>
      <c r="L14" s="50" t="s">
        <v>189</v>
      </c>
      <c r="M14" s="73" t="s">
        <v>21</v>
      </c>
      <c r="N14" s="54">
        <f t="shared" ref="N14:N35" si="0">IF(H14="NUMBER",IF(J14&gt;0,INT((J14+1)/2+0.9),0),IF(H14="DATE",7,IF(OR(H14="LONG",H14="LONG RAW"),100000,J14)))</f>
        <v>1</v>
      </c>
      <c r="O14" s="170"/>
      <c r="P14" s="191"/>
      <c r="Q14" s="192"/>
      <c r="R14" s="192"/>
      <c r="S14" s="192"/>
      <c r="T14" s="192"/>
      <c r="U14" s="193"/>
    </row>
    <row r="15" spans="1:21" ht="27.5" customHeight="1">
      <c r="A15" s="85" t="s">
        <v>190</v>
      </c>
      <c r="B15" s="37">
        <f>ROW()-13</f>
        <v>2</v>
      </c>
      <c r="C15" s="145" t="s">
        <v>199</v>
      </c>
      <c r="D15" s="80"/>
      <c r="E15" s="81"/>
      <c r="F15" s="146"/>
      <c r="G15" s="17"/>
      <c r="H15" s="18" t="s">
        <v>51</v>
      </c>
      <c r="I15" s="59"/>
      <c r="J15" s="19">
        <v>25</v>
      </c>
      <c r="K15" s="19"/>
      <c r="L15" s="50" t="s">
        <v>189</v>
      </c>
      <c r="M15" s="73" t="s">
        <v>21</v>
      </c>
      <c r="N15" s="54">
        <f t="shared" si="0"/>
        <v>25</v>
      </c>
      <c r="O15" s="170"/>
      <c r="P15" s="251" t="s">
        <v>537</v>
      </c>
      <c r="Q15" s="192"/>
      <c r="R15" s="192"/>
      <c r="S15" s="192"/>
      <c r="T15" s="192"/>
      <c r="U15" s="193"/>
    </row>
    <row r="16" spans="1:21" ht="27.5" customHeight="1">
      <c r="A16" s="85" t="s">
        <v>190</v>
      </c>
      <c r="B16" s="37">
        <f>ROW()-13</f>
        <v>3</v>
      </c>
      <c r="C16" s="145" t="s">
        <v>201</v>
      </c>
      <c r="D16" s="80"/>
      <c r="E16" s="81"/>
      <c r="F16" s="146"/>
      <c r="G16" s="17"/>
      <c r="H16" s="18" t="s">
        <v>51</v>
      </c>
      <c r="I16" s="59"/>
      <c r="J16" s="19">
        <v>4</v>
      </c>
      <c r="K16" s="19"/>
      <c r="L16" s="50" t="s">
        <v>189</v>
      </c>
      <c r="M16" s="73" t="s">
        <v>21</v>
      </c>
      <c r="N16" s="54">
        <f t="shared" si="0"/>
        <v>4</v>
      </c>
      <c r="O16" s="170"/>
      <c r="P16" s="251" t="s">
        <v>538</v>
      </c>
      <c r="Q16" s="192"/>
      <c r="R16" s="192"/>
      <c r="S16" s="192"/>
      <c r="T16" s="192"/>
      <c r="U16" s="193"/>
    </row>
    <row r="17" spans="1:21" ht="27.5" customHeight="1">
      <c r="A17" s="85" t="s">
        <v>190</v>
      </c>
      <c r="B17" s="37">
        <f>ROW()-13</f>
        <v>4</v>
      </c>
      <c r="C17" s="145" t="s">
        <v>204</v>
      </c>
      <c r="D17" s="80"/>
      <c r="E17" s="81"/>
      <c r="F17" s="146"/>
      <c r="G17" s="17"/>
      <c r="H17" s="18" t="s">
        <v>49</v>
      </c>
      <c r="I17" s="59"/>
      <c r="J17" s="19">
        <v>1</v>
      </c>
      <c r="K17" s="19"/>
      <c r="L17" s="50" t="s">
        <v>189</v>
      </c>
      <c r="M17" s="73" t="s">
        <v>21</v>
      </c>
      <c r="N17" s="54">
        <f t="shared" si="0"/>
        <v>1</v>
      </c>
      <c r="O17" s="170"/>
      <c r="P17" s="251" t="s">
        <v>539</v>
      </c>
      <c r="Q17" s="192"/>
      <c r="R17" s="192"/>
      <c r="S17" s="192"/>
      <c r="T17" s="192"/>
      <c r="U17" s="193"/>
    </row>
    <row r="18" spans="1:21" ht="27.5" customHeight="1">
      <c r="A18" s="85" t="s">
        <v>190</v>
      </c>
      <c r="B18" s="37">
        <f>ROW()-13</f>
        <v>5</v>
      </c>
      <c r="C18" s="145" t="s">
        <v>207</v>
      </c>
      <c r="D18" s="80"/>
      <c r="E18" s="81"/>
      <c r="F18" s="146"/>
      <c r="G18" s="17"/>
      <c r="H18" s="18" t="s">
        <v>49</v>
      </c>
      <c r="I18" s="59"/>
      <c r="J18" s="19">
        <v>1</v>
      </c>
      <c r="K18" s="19"/>
      <c r="L18" s="50" t="s">
        <v>189</v>
      </c>
      <c r="M18" s="73" t="s">
        <v>21</v>
      </c>
      <c r="N18" s="54">
        <f t="shared" si="0"/>
        <v>1</v>
      </c>
      <c r="O18" s="170"/>
      <c r="P18" s="251" t="s">
        <v>208</v>
      </c>
      <c r="Q18" s="192"/>
      <c r="R18" s="192"/>
      <c r="S18" s="192"/>
      <c r="T18" s="192"/>
      <c r="U18" s="193"/>
    </row>
    <row r="19" spans="1:21" ht="15.75" customHeight="1">
      <c r="A19" s="85" t="s">
        <v>190</v>
      </c>
      <c r="B19" s="37">
        <f>ROW()-13</f>
        <v>6</v>
      </c>
      <c r="C19" s="145" t="s">
        <v>540</v>
      </c>
      <c r="D19" s="80"/>
      <c r="E19" s="81"/>
      <c r="F19" s="146"/>
      <c r="G19" s="17"/>
      <c r="H19" s="18" t="s">
        <v>49</v>
      </c>
      <c r="I19" s="59"/>
      <c r="J19" s="19">
        <v>1</v>
      </c>
      <c r="K19" s="19"/>
      <c r="L19" s="50" t="s">
        <v>189</v>
      </c>
      <c r="M19" s="73" t="s">
        <v>21</v>
      </c>
      <c r="N19" s="54">
        <f t="shared" si="0"/>
        <v>1</v>
      </c>
      <c r="O19" s="170"/>
      <c r="P19" s="191"/>
      <c r="Q19" s="192"/>
      <c r="R19" s="192"/>
      <c r="S19" s="192"/>
      <c r="T19" s="192"/>
      <c r="U19" s="193"/>
    </row>
    <row r="20" spans="1:21" ht="15.75" customHeight="1">
      <c r="A20" s="85" t="s">
        <v>190</v>
      </c>
      <c r="B20" s="37">
        <f>ROW()-13</f>
        <v>7</v>
      </c>
      <c r="C20" s="145" t="s">
        <v>541</v>
      </c>
      <c r="D20" s="80"/>
      <c r="E20" s="81"/>
      <c r="F20" s="146"/>
      <c r="G20" s="17"/>
      <c r="H20" s="18" t="s">
        <v>51</v>
      </c>
      <c r="I20" s="59"/>
      <c r="J20" s="19">
        <v>25</v>
      </c>
      <c r="K20" s="19"/>
      <c r="L20" s="50" t="s">
        <v>189</v>
      </c>
      <c r="M20" s="73" t="s">
        <v>21</v>
      </c>
      <c r="N20" s="54">
        <f t="shared" si="0"/>
        <v>25</v>
      </c>
      <c r="O20" s="170"/>
      <c r="P20" s="191"/>
      <c r="Q20" s="192"/>
      <c r="R20" s="192"/>
      <c r="S20" s="192"/>
      <c r="T20" s="192"/>
      <c r="U20" s="193"/>
    </row>
    <row r="21" spans="1:21" ht="15.75" customHeight="1">
      <c r="A21" s="85" t="s">
        <v>190</v>
      </c>
      <c r="B21" s="37">
        <f>ROW()-13</f>
        <v>8</v>
      </c>
      <c r="C21" s="145" t="s">
        <v>542</v>
      </c>
      <c r="D21" s="80"/>
      <c r="E21" s="81"/>
      <c r="F21" s="146"/>
      <c r="G21" s="17"/>
      <c r="H21" s="18" t="s">
        <v>51</v>
      </c>
      <c r="I21" s="59"/>
      <c r="J21" s="19">
        <v>4</v>
      </c>
      <c r="K21" s="19"/>
      <c r="L21" s="50" t="s">
        <v>189</v>
      </c>
      <c r="M21" s="73" t="s">
        <v>21</v>
      </c>
      <c r="N21" s="54">
        <f t="shared" si="0"/>
        <v>4</v>
      </c>
      <c r="O21" s="170"/>
      <c r="P21" s="191" t="s">
        <v>203</v>
      </c>
      <c r="Q21" s="192"/>
      <c r="R21" s="192"/>
      <c r="S21" s="192"/>
      <c r="T21" s="192"/>
      <c r="U21" s="193"/>
    </row>
    <row r="22" spans="1:21" ht="62.75" customHeight="1">
      <c r="A22" s="85" t="s">
        <v>190</v>
      </c>
      <c r="B22" s="37">
        <f>ROW()-13</f>
        <v>9</v>
      </c>
      <c r="C22" s="145" t="s">
        <v>543</v>
      </c>
      <c r="D22" s="80"/>
      <c r="E22" s="81"/>
      <c r="F22" s="146"/>
      <c r="G22" s="17"/>
      <c r="H22" s="18" t="s">
        <v>49</v>
      </c>
      <c r="I22" s="59"/>
      <c r="J22" s="19">
        <v>1</v>
      </c>
      <c r="K22" s="19"/>
      <c r="L22" s="50" t="s">
        <v>189</v>
      </c>
      <c r="M22" s="73" t="s">
        <v>21</v>
      </c>
      <c r="N22" s="54">
        <f t="shared" si="0"/>
        <v>1</v>
      </c>
      <c r="O22" s="170"/>
      <c r="P22" s="251" t="s">
        <v>265</v>
      </c>
      <c r="Q22" s="192"/>
      <c r="R22" s="192"/>
      <c r="S22" s="192"/>
      <c r="T22" s="192"/>
      <c r="U22" s="193"/>
    </row>
    <row r="23" spans="1:21" ht="27.5" customHeight="1">
      <c r="A23" s="85" t="s">
        <v>190</v>
      </c>
      <c r="B23" s="37">
        <f>ROW()-13</f>
        <v>10</v>
      </c>
      <c r="C23" s="145" t="s">
        <v>544</v>
      </c>
      <c r="D23" s="80"/>
      <c r="E23" s="81"/>
      <c r="F23" s="146"/>
      <c r="G23" s="17"/>
      <c r="H23" s="18" t="s">
        <v>49</v>
      </c>
      <c r="I23" s="59"/>
      <c r="J23" s="19">
        <v>1</v>
      </c>
      <c r="K23" s="19"/>
      <c r="L23" s="50" t="s">
        <v>189</v>
      </c>
      <c r="M23" s="73" t="s">
        <v>21</v>
      </c>
      <c r="N23" s="54">
        <f t="shared" si="0"/>
        <v>1</v>
      </c>
      <c r="O23" s="170"/>
      <c r="P23" s="251" t="s">
        <v>208</v>
      </c>
      <c r="Q23" s="192"/>
      <c r="R23" s="192"/>
      <c r="S23" s="192"/>
      <c r="T23" s="192"/>
      <c r="U23" s="193"/>
    </row>
    <row r="24" spans="1:21" ht="27.5" customHeight="1">
      <c r="A24" s="85"/>
      <c r="B24" s="37">
        <f>ROW()-13</f>
        <v>11</v>
      </c>
      <c r="C24" s="145" t="s">
        <v>545</v>
      </c>
      <c r="D24" s="80"/>
      <c r="E24" s="81"/>
      <c r="F24" s="146"/>
      <c r="G24" s="17"/>
      <c r="H24" s="18" t="s">
        <v>49</v>
      </c>
      <c r="I24" s="59"/>
      <c r="J24" s="19">
        <v>1</v>
      </c>
      <c r="K24" s="19"/>
      <c r="L24" s="50" t="s">
        <v>189</v>
      </c>
      <c r="M24" s="73" t="s">
        <v>21</v>
      </c>
      <c r="N24" s="54">
        <f t="shared" si="0"/>
        <v>1</v>
      </c>
      <c r="O24" s="170"/>
      <c r="P24" s="251" t="s">
        <v>546</v>
      </c>
      <c r="Q24" s="192"/>
      <c r="R24" s="192"/>
      <c r="S24" s="192"/>
      <c r="T24" s="192"/>
      <c r="U24" s="193"/>
    </row>
    <row r="25" spans="1:21" ht="15.75" customHeight="1">
      <c r="A25" s="85"/>
      <c r="B25" s="37">
        <f>ROW()-13</f>
        <v>12</v>
      </c>
      <c r="C25" s="145" t="s">
        <v>547</v>
      </c>
      <c r="D25" s="80"/>
      <c r="E25" s="81"/>
      <c r="F25" s="146"/>
      <c r="G25" s="17"/>
      <c r="H25" s="18" t="s">
        <v>56</v>
      </c>
      <c r="I25" s="59"/>
      <c r="J25" s="19">
        <v>4</v>
      </c>
      <c r="K25" s="19">
        <v>2</v>
      </c>
      <c r="L25" s="50" t="s">
        <v>189</v>
      </c>
      <c r="M25" s="73" t="s">
        <v>21</v>
      </c>
      <c r="N25" s="54">
        <f t="shared" si="0"/>
        <v>4</v>
      </c>
      <c r="O25" s="170"/>
      <c r="P25" s="191"/>
      <c r="Q25" s="192"/>
      <c r="R25" s="192"/>
      <c r="S25" s="192"/>
      <c r="T25" s="192"/>
      <c r="U25" s="193"/>
    </row>
    <row r="26" spans="1:21" ht="27.5" customHeight="1">
      <c r="A26" s="85"/>
      <c r="B26" s="37">
        <f>ROW()-13</f>
        <v>13</v>
      </c>
      <c r="C26" s="145" t="s">
        <v>548</v>
      </c>
      <c r="D26" s="80"/>
      <c r="E26" s="81"/>
      <c r="F26" s="146"/>
      <c r="G26" s="17"/>
      <c r="H26" s="18" t="s">
        <v>49</v>
      </c>
      <c r="I26" s="59"/>
      <c r="J26" s="19">
        <v>2</v>
      </c>
      <c r="K26" s="19"/>
      <c r="L26" s="50" t="s">
        <v>189</v>
      </c>
      <c r="M26" s="73" t="s">
        <v>21</v>
      </c>
      <c r="N26" s="54">
        <f t="shared" si="0"/>
        <v>2</v>
      </c>
      <c r="O26" s="170"/>
      <c r="P26" s="251" t="s">
        <v>549</v>
      </c>
      <c r="Q26" s="192"/>
      <c r="R26" s="192"/>
      <c r="S26" s="192"/>
      <c r="T26" s="192"/>
      <c r="U26" s="193"/>
    </row>
    <row r="27" spans="1:21" ht="27.5" customHeight="1">
      <c r="A27" s="85"/>
      <c r="B27" s="37">
        <f>ROW()-13</f>
        <v>14</v>
      </c>
      <c r="C27" s="145" t="s">
        <v>550</v>
      </c>
      <c r="D27" s="80"/>
      <c r="E27" s="81"/>
      <c r="F27" s="146"/>
      <c r="G27" s="17"/>
      <c r="H27" s="18" t="s">
        <v>51</v>
      </c>
      <c r="I27" s="59"/>
      <c r="J27" s="19">
        <v>10</v>
      </c>
      <c r="K27" s="19"/>
      <c r="L27" s="50" t="s">
        <v>189</v>
      </c>
      <c r="M27" s="73" t="s">
        <v>21</v>
      </c>
      <c r="N27" s="54">
        <f t="shared" si="0"/>
        <v>10</v>
      </c>
      <c r="O27" s="170"/>
      <c r="P27" s="251" t="s">
        <v>549</v>
      </c>
      <c r="Q27" s="192"/>
      <c r="R27" s="192"/>
      <c r="S27" s="192"/>
      <c r="T27" s="192"/>
      <c r="U27" s="193"/>
    </row>
    <row r="28" spans="1:21" ht="15.75" customHeight="1">
      <c r="A28" s="85"/>
      <c r="B28" s="37">
        <f>ROW()-13</f>
        <v>15</v>
      </c>
      <c r="C28" s="145" t="s">
        <v>276</v>
      </c>
      <c r="D28" s="80"/>
      <c r="E28" s="81"/>
      <c r="F28" s="146" t="s">
        <v>534</v>
      </c>
      <c r="G28" s="17"/>
      <c r="H28" s="18" t="s">
        <v>51</v>
      </c>
      <c r="I28" s="59"/>
      <c r="J28" s="19">
        <v>50</v>
      </c>
      <c r="K28" s="19"/>
      <c r="L28" s="50"/>
      <c r="M28" s="73" t="s">
        <v>21</v>
      </c>
      <c r="N28" s="54">
        <f t="shared" si="0"/>
        <v>50</v>
      </c>
      <c r="O28" s="170"/>
      <c r="P28" s="191"/>
      <c r="Q28" s="192"/>
      <c r="R28" s="192"/>
      <c r="S28" s="192"/>
      <c r="T28" s="192"/>
      <c r="U28" s="193"/>
    </row>
    <row r="29" spans="1:21" ht="15.5">
      <c r="A29" s="85"/>
      <c r="B29" s="37">
        <f t="shared" ref="B29:B35" si="1">ROW()-13</f>
        <v>16</v>
      </c>
      <c r="C29" s="107" t="s">
        <v>36</v>
      </c>
      <c r="D29" s="107"/>
      <c r="E29" s="108"/>
      <c r="F29" s="109" t="s">
        <v>78</v>
      </c>
      <c r="G29" s="110"/>
      <c r="H29" s="18" t="s">
        <v>51</v>
      </c>
      <c r="I29" s="59"/>
      <c r="J29" s="113">
        <v>12</v>
      </c>
      <c r="K29" s="113"/>
      <c r="L29" s="114"/>
      <c r="M29" s="115" t="s">
        <v>35</v>
      </c>
      <c r="N29" s="116">
        <f t="shared" si="0"/>
        <v>12</v>
      </c>
      <c r="O29" s="171"/>
      <c r="P29" s="197"/>
      <c r="Q29" s="198"/>
      <c r="R29" s="198"/>
      <c r="S29" s="198"/>
      <c r="T29" s="198"/>
      <c r="U29" s="199"/>
    </row>
    <row r="30" spans="1:21" ht="15.5">
      <c r="A30" s="85"/>
      <c r="B30" s="37">
        <f t="shared" si="1"/>
        <v>17</v>
      </c>
      <c r="C30" s="107" t="s">
        <v>37</v>
      </c>
      <c r="D30" s="107"/>
      <c r="E30" s="108"/>
      <c r="F30" s="109" t="s">
        <v>43</v>
      </c>
      <c r="G30" s="110"/>
      <c r="H30" s="18" t="s">
        <v>51</v>
      </c>
      <c r="I30" s="59"/>
      <c r="J30" s="113">
        <v>10</v>
      </c>
      <c r="K30" s="113"/>
      <c r="L30" s="114"/>
      <c r="M30" s="115" t="s">
        <v>21</v>
      </c>
      <c r="N30" s="116">
        <f t="shared" si="0"/>
        <v>10</v>
      </c>
      <c r="O30" s="171"/>
      <c r="P30" s="197"/>
      <c r="Q30" s="198"/>
      <c r="R30" s="198"/>
      <c r="S30" s="198"/>
      <c r="T30" s="198"/>
      <c r="U30" s="199"/>
    </row>
    <row r="31" spans="1:21" ht="15.5">
      <c r="A31" s="85"/>
      <c r="B31" s="37">
        <f t="shared" si="1"/>
        <v>18</v>
      </c>
      <c r="C31" s="107" t="s">
        <v>38</v>
      </c>
      <c r="D31" s="107"/>
      <c r="E31" s="108"/>
      <c r="F31" s="109" t="s">
        <v>80</v>
      </c>
      <c r="G31" s="110"/>
      <c r="H31" s="18" t="s">
        <v>86</v>
      </c>
      <c r="I31" s="59"/>
      <c r="J31" s="113"/>
      <c r="K31" s="113"/>
      <c r="L31" s="114"/>
      <c r="M31" s="115" t="s">
        <v>21</v>
      </c>
      <c r="N31" s="116">
        <f t="shared" si="0"/>
        <v>0</v>
      </c>
      <c r="O31" s="171"/>
      <c r="P31" s="197"/>
      <c r="Q31" s="198"/>
      <c r="R31" s="198"/>
      <c r="S31" s="198"/>
      <c r="T31" s="198"/>
      <c r="U31" s="199"/>
    </row>
    <row r="32" spans="1:21" ht="15.5">
      <c r="A32" s="85"/>
      <c r="B32" s="37">
        <f t="shared" si="1"/>
        <v>19</v>
      </c>
      <c r="C32" s="107" t="s">
        <v>39</v>
      </c>
      <c r="D32" s="107"/>
      <c r="E32" s="108"/>
      <c r="F32" s="109" t="s">
        <v>79</v>
      </c>
      <c r="G32" s="110"/>
      <c r="H32" s="18" t="s">
        <v>51</v>
      </c>
      <c r="I32" s="59"/>
      <c r="J32" s="113">
        <v>12</v>
      </c>
      <c r="K32" s="113"/>
      <c r="L32" s="114"/>
      <c r="M32" s="115" t="s">
        <v>35</v>
      </c>
      <c r="N32" s="116">
        <f t="shared" si="0"/>
        <v>12</v>
      </c>
      <c r="O32" s="171"/>
      <c r="P32" s="197"/>
      <c r="Q32" s="198"/>
      <c r="R32" s="198"/>
      <c r="S32" s="198"/>
      <c r="T32" s="198"/>
      <c r="U32" s="199"/>
    </row>
    <row r="33" spans="1:21" ht="15.5">
      <c r="A33" s="85"/>
      <c r="B33" s="37">
        <f t="shared" si="1"/>
        <v>20</v>
      </c>
      <c r="C33" s="107" t="s">
        <v>40</v>
      </c>
      <c r="D33" s="107"/>
      <c r="E33" s="108"/>
      <c r="F33" s="109" t="s">
        <v>44</v>
      </c>
      <c r="G33" s="110"/>
      <c r="H33" s="18" t="s">
        <v>51</v>
      </c>
      <c r="I33" s="59"/>
      <c r="J33" s="113">
        <v>10</v>
      </c>
      <c r="K33" s="113"/>
      <c r="L33" s="114"/>
      <c r="M33" s="115" t="s">
        <v>21</v>
      </c>
      <c r="N33" s="116">
        <f t="shared" si="0"/>
        <v>10</v>
      </c>
      <c r="O33" s="171"/>
      <c r="P33" s="197"/>
      <c r="Q33" s="198"/>
      <c r="R33" s="198"/>
      <c r="S33" s="198"/>
      <c r="T33" s="198"/>
      <c r="U33" s="199"/>
    </row>
    <row r="34" spans="1:21" ht="15.5">
      <c r="A34" s="85"/>
      <c r="B34" s="37">
        <f t="shared" si="1"/>
        <v>21</v>
      </c>
      <c r="C34" s="107" t="s">
        <v>41</v>
      </c>
      <c r="D34" s="107"/>
      <c r="E34" s="108"/>
      <c r="F34" s="109" t="s">
        <v>81</v>
      </c>
      <c r="G34" s="110"/>
      <c r="H34" s="18" t="s">
        <v>86</v>
      </c>
      <c r="I34" s="59"/>
      <c r="J34" s="113"/>
      <c r="K34" s="113"/>
      <c r="L34" s="114"/>
      <c r="M34" s="115" t="s">
        <v>21</v>
      </c>
      <c r="N34" s="116">
        <f t="shared" si="0"/>
        <v>0</v>
      </c>
      <c r="O34" s="171"/>
      <c r="P34" s="197"/>
      <c r="Q34" s="198"/>
      <c r="R34" s="198"/>
      <c r="S34" s="198"/>
      <c r="T34" s="198"/>
      <c r="U34" s="199"/>
    </row>
    <row r="35" spans="1:21" ht="15.5">
      <c r="A35" s="85"/>
      <c r="B35" s="37">
        <f t="shared" si="1"/>
        <v>22</v>
      </c>
      <c r="C35" s="80" t="s">
        <v>46</v>
      </c>
      <c r="D35" s="80"/>
      <c r="E35" s="81"/>
      <c r="F35" s="84" t="s">
        <v>71</v>
      </c>
      <c r="G35" s="17"/>
      <c r="H35" s="18" t="s">
        <v>62</v>
      </c>
      <c r="I35" s="59"/>
      <c r="J35" s="19">
        <v>8</v>
      </c>
      <c r="K35" s="19"/>
      <c r="L35" s="50" t="s">
        <v>47</v>
      </c>
      <c r="M35" s="73" t="s">
        <v>35</v>
      </c>
      <c r="N35" s="54">
        <f t="shared" si="0"/>
        <v>8</v>
      </c>
      <c r="O35" s="170">
        <v>0</v>
      </c>
      <c r="P35" s="191" t="s">
        <v>48</v>
      </c>
      <c r="Q35" s="192"/>
      <c r="R35" s="192"/>
      <c r="S35" s="192"/>
      <c r="T35" s="192"/>
      <c r="U35" s="193"/>
    </row>
    <row r="36" spans="1:21" ht="16" thickBot="1">
      <c r="A36" s="118"/>
      <c r="B36" s="119"/>
      <c r="C36" s="120"/>
      <c r="D36" s="120"/>
      <c r="E36" s="121"/>
      <c r="F36" s="129"/>
      <c r="G36" s="122"/>
      <c r="H36" s="147"/>
      <c r="I36" s="148"/>
      <c r="J36" s="125"/>
      <c r="K36" s="125"/>
      <c r="L36" s="126"/>
      <c r="M36" s="126"/>
      <c r="N36" s="127"/>
      <c r="O36" s="172"/>
      <c r="P36" s="194"/>
      <c r="Q36" s="195"/>
      <c r="R36" s="195"/>
      <c r="S36" s="195"/>
      <c r="T36" s="195"/>
      <c r="U36" s="196"/>
    </row>
  </sheetData>
  <mergeCells count="53">
    <mergeCell ref="P34:U34"/>
    <mergeCell ref="P35:U35"/>
    <mergeCell ref="P36:U36"/>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913"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38914"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38915"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38916"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38917"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38918"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D15B1A6-C9AD-442E-BFC0-6B780BCB1108}">
            <xm:f>(AND(H14&lt;&gt;"",ISERROR(VLOOKUP(H14,system!$E:$E,1,FALSE))))</xm:f>
            <x14:dxf>
              <fill>
                <patternFill patternType="solid">
                  <bgColor rgb="FFFF0000"/>
                </patternFill>
              </fill>
            </x14:dxf>
          </x14:cfRule>
          <xm:sqref>H14:H28</xm:sqref>
        </x14:conditionalFormatting>
        <x14:conditionalFormatting xmlns:xm="http://schemas.microsoft.com/office/excel/2006/main">
          <x14:cfRule type="expression" priority="3" id="{CCF82BE4-01F7-4094-8449-5743614B61A9}">
            <xm:f>(AND(H14&lt;&gt;"",ISERROR(VLOOKUP(H14,system!$E:$E,1,FALSE))))</xm:f>
            <x14:dxf>
              <fill>
                <patternFill>
                  <bgColor rgb="FFFF0000"/>
                </patternFill>
              </fill>
            </x14:dxf>
          </x14:cfRule>
          <xm:sqref>I14:I28</xm:sqref>
        </x14:conditionalFormatting>
        <x14:conditionalFormatting xmlns:xm="http://schemas.microsoft.com/office/excel/2006/main">
          <x14:cfRule type="expression" priority="2" id="{C4C0B2EF-5657-4DB0-ADF7-D57FB9D1AE55}">
            <xm:f>(AND(H29&lt;&gt;"",ISERROR(VLOOKUP(H29,system!$E:$E,1,FALSE))))</xm:f>
            <x14:dxf>
              <fill>
                <patternFill patternType="solid">
                  <bgColor rgb="FFFF0000"/>
                </patternFill>
              </fill>
            </x14:dxf>
          </x14:cfRule>
          <xm:sqref>H29:H36</xm:sqref>
        </x14:conditionalFormatting>
        <x14:conditionalFormatting xmlns:xm="http://schemas.microsoft.com/office/excel/2006/main">
          <x14:cfRule type="expression" priority="1" id="{DA53786D-8748-47C4-A016-217A2D541C2E}">
            <xm:f>(AND(H29&lt;&gt;"",ISERROR(VLOOKUP(H29,system!$E:$E,1,FALSE))))</xm:f>
            <x14:dxf>
              <fill>
                <patternFill>
                  <bgColor rgb="FFFF0000"/>
                </patternFill>
              </fill>
            </x14:dxf>
          </x14:cfRule>
          <xm:sqref>I29:I36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6D18-347B-4274-81A0-70EDAE1CAD02}">
  <sheetPr codeName="Sheet38">
    <pageSetUpPr fitToPage="1"/>
  </sheetPr>
  <dimension ref="A1:U2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552</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156</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SUM(N14:N26)</f>
        <v>145</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553</v>
      </c>
      <c r="D14" s="80"/>
      <c r="E14" s="81"/>
      <c r="F14" s="146"/>
      <c r="G14" s="17"/>
      <c r="H14" s="18" t="s">
        <v>49</v>
      </c>
      <c r="I14" s="59"/>
      <c r="J14" s="19">
        <v>12</v>
      </c>
      <c r="K14" s="19"/>
      <c r="L14" s="50" t="s">
        <v>189</v>
      </c>
      <c r="M14" s="73" t="s">
        <v>21</v>
      </c>
      <c r="N14" s="54">
        <f t="shared" ref="N14:N24" si="0">IF(H14="NUMBER",IF(J14&gt;0,INT((J14+1)/2+0.9),0),IF(H14="DATE",7,IF(OR(H14="LONG",H14="LONG RAW"),100000,J14)))</f>
        <v>12</v>
      </c>
      <c r="O14" s="170"/>
      <c r="P14" s="191"/>
      <c r="Q14" s="192"/>
      <c r="R14" s="192"/>
      <c r="S14" s="192"/>
      <c r="T14" s="192"/>
      <c r="U14" s="193"/>
    </row>
    <row r="15" spans="1:21" ht="15.75" customHeight="1">
      <c r="A15" s="85"/>
      <c r="B15" s="37">
        <f>ROW()-13</f>
        <v>2</v>
      </c>
      <c r="C15" s="145" t="s">
        <v>554</v>
      </c>
      <c r="D15" s="80"/>
      <c r="E15" s="81"/>
      <c r="F15" s="146"/>
      <c r="G15" s="17"/>
      <c r="H15" s="18" t="s">
        <v>51</v>
      </c>
      <c r="I15" s="59"/>
      <c r="J15" s="19">
        <v>30</v>
      </c>
      <c r="K15" s="19"/>
      <c r="L15" s="50" t="s">
        <v>189</v>
      </c>
      <c r="M15" s="73" t="s">
        <v>21</v>
      </c>
      <c r="N15" s="54">
        <f t="shared" si="0"/>
        <v>30</v>
      </c>
      <c r="O15" s="170"/>
      <c r="P15" s="191"/>
      <c r="Q15" s="192"/>
      <c r="R15" s="192"/>
      <c r="S15" s="192"/>
      <c r="T15" s="192"/>
      <c r="U15" s="193"/>
    </row>
    <row r="16" spans="1:21" ht="27.5" customHeight="1">
      <c r="A16" s="85"/>
      <c r="B16" s="37">
        <f>ROW()-13</f>
        <v>3</v>
      </c>
      <c r="C16" s="145" t="s">
        <v>227</v>
      </c>
      <c r="D16" s="80"/>
      <c r="E16" s="81"/>
      <c r="F16" s="146"/>
      <c r="G16" s="17"/>
      <c r="H16" s="18" t="s">
        <v>49</v>
      </c>
      <c r="I16" s="59"/>
      <c r="J16" s="19">
        <v>1</v>
      </c>
      <c r="K16" s="19"/>
      <c r="L16" s="50"/>
      <c r="M16" s="73" t="s">
        <v>21</v>
      </c>
      <c r="N16" s="54">
        <f t="shared" si="0"/>
        <v>1</v>
      </c>
      <c r="O16" s="170"/>
      <c r="P16" s="251" t="s">
        <v>228</v>
      </c>
      <c r="Q16" s="192"/>
      <c r="R16" s="192"/>
      <c r="S16" s="192"/>
      <c r="T16" s="192"/>
      <c r="U16" s="193"/>
    </row>
    <row r="17" spans="1:21" ht="15.75" customHeight="1">
      <c r="A17" s="85"/>
      <c r="B17" s="37">
        <f>ROW()-13</f>
        <v>4</v>
      </c>
      <c r="C17" s="145" t="s">
        <v>276</v>
      </c>
      <c r="D17" s="80"/>
      <c r="E17" s="81"/>
      <c r="F17" s="146" t="s">
        <v>534</v>
      </c>
      <c r="G17" s="17"/>
      <c r="H17" s="18" t="s">
        <v>51</v>
      </c>
      <c r="I17" s="59"/>
      <c r="J17" s="19">
        <v>50</v>
      </c>
      <c r="K17" s="19"/>
      <c r="L17" s="50"/>
      <c r="M17" s="73" t="s">
        <v>21</v>
      </c>
      <c r="N17" s="54">
        <f t="shared" si="0"/>
        <v>50</v>
      </c>
      <c r="O17" s="170"/>
      <c r="P17" s="191"/>
      <c r="Q17" s="192"/>
      <c r="R17" s="192"/>
      <c r="S17" s="192"/>
      <c r="T17" s="192"/>
      <c r="U17" s="193"/>
    </row>
    <row r="18" spans="1:21" ht="15.5">
      <c r="A18" s="85"/>
      <c r="B18" s="37">
        <f t="shared" ref="B18:B24" si="1">ROW()-13</f>
        <v>5</v>
      </c>
      <c r="C18" s="107" t="s">
        <v>36</v>
      </c>
      <c r="D18" s="107"/>
      <c r="E18" s="108"/>
      <c r="F18" s="109" t="s">
        <v>78</v>
      </c>
      <c r="G18" s="110"/>
      <c r="H18" s="18" t="s">
        <v>51</v>
      </c>
      <c r="I18" s="59"/>
      <c r="J18" s="113">
        <v>12</v>
      </c>
      <c r="K18" s="113"/>
      <c r="L18" s="114"/>
      <c r="M18" s="115" t="s">
        <v>35</v>
      </c>
      <c r="N18" s="116">
        <f t="shared" si="0"/>
        <v>12</v>
      </c>
      <c r="O18" s="171"/>
      <c r="P18" s="197"/>
      <c r="Q18" s="198"/>
      <c r="R18" s="198"/>
      <c r="S18" s="198"/>
      <c r="T18" s="198"/>
      <c r="U18" s="199"/>
    </row>
    <row r="19" spans="1:21" ht="15.5">
      <c r="A19" s="85"/>
      <c r="B19" s="37">
        <f t="shared" si="1"/>
        <v>6</v>
      </c>
      <c r="C19" s="107" t="s">
        <v>37</v>
      </c>
      <c r="D19" s="107"/>
      <c r="E19" s="108"/>
      <c r="F19" s="109" t="s">
        <v>43</v>
      </c>
      <c r="G19" s="110"/>
      <c r="H19" s="18" t="s">
        <v>51</v>
      </c>
      <c r="I19" s="59"/>
      <c r="J19" s="113">
        <v>10</v>
      </c>
      <c r="K19" s="113"/>
      <c r="L19" s="114"/>
      <c r="M19" s="115" t="s">
        <v>21</v>
      </c>
      <c r="N19" s="116">
        <f t="shared" si="0"/>
        <v>10</v>
      </c>
      <c r="O19" s="171"/>
      <c r="P19" s="197"/>
      <c r="Q19" s="198"/>
      <c r="R19" s="198"/>
      <c r="S19" s="198"/>
      <c r="T19" s="198"/>
      <c r="U19" s="199"/>
    </row>
    <row r="20" spans="1:21" ht="15.5">
      <c r="A20" s="85"/>
      <c r="B20" s="37">
        <f t="shared" si="1"/>
        <v>7</v>
      </c>
      <c r="C20" s="107" t="s">
        <v>38</v>
      </c>
      <c r="D20" s="107"/>
      <c r="E20" s="108"/>
      <c r="F20" s="109" t="s">
        <v>80</v>
      </c>
      <c r="G20" s="110"/>
      <c r="H20" s="18" t="s">
        <v>86</v>
      </c>
      <c r="I20" s="59"/>
      <c r="J20" s="113"/>
      <c r="K20" s="113"/>
      <c r="L20" s="114"/>
      <c r="M20" s="115" t="s">
        <v>21</v>
      </c>
      <c r="N20" s="116">
        <f t="shared" si="0"/>
        <v>0</v>
      </c>
      <c r="O20" s="171"/>
      <c r="P20" s="197"/>
      <c r="Q20" s="198"/>
      <c r="R20" s="198"/>
      <c r="S20" s="198"/>
      <c r="T20" s="198"/>
      <c r="U20" s="199"/>
    </row>
    <row r="21" spans="1:21" ht="15.5">
      <c r="A21" s="85"/>
      <c r="B21" s="37">
        <f t="shared" si="1"/>
        <v>8</v>
      </c>
      <c r="C21" s="107" t="s">
        <v>39</v>
      </c>
      <c r="D21" s="107"/>
      <c r="E21" s="108"/>
      <c r="F21" s="109" t="s">
        <v>79</v>
      </c>
      <c r="G21" s="110"/>
      <c r="H21" s="18" t="s">
        <v>51</v>
      </c>
      <c r="I21" s="59"/>
      <c r="J21" s="113">
        <v>12</v>
      </c>
      <c r="K21" s="113"/>
      <c r="L21" s="114"/>
      <c r="M21" s="115" t="s">
        <v>35</v>
      </c>
      <c r="N21" s="116">
        <f t="shared" si="0"/>
        <v>12</v>
      </c>
      <c r="O21" s="171"/>
      <c r="P21" s="197"/>
      <c r="Q21" s="198"/>
      <c r="R21" s="198"/>
      <c r="S21" s="198"/>
      <c r="T21" s="198"/>
      <c r="U21" s="199"/>
    </row>
    <row r="22" spans="1:21" ht="15.5">
      <c r="A22" s="85"/>
      <c r="B22" s="37">
        <f t="shared" si="1"/>
        <v>9</v>
      </c>
      <c r="C22" s="107" t="s">
        <v>40</v>
      </c>
      <c r="D22" s="107"/>
      <c r="E22" s="108"/>
      <c r="F22" s="109" t="s">
        <v>44</v>
      </c>
      <c r="G22" s="110"/>
      <c r="H22" s="18" t="s">
        <v>51</v>
      </c>
      <c r="I22" s="59"/>
      <c r="J22" s="113">
        <v>10</v>
      </c>
      <c r="K22" s="113"/>
      <c r="L22" s="114"/>
      <c r="M22" s="115" t="s">
        <v>21</v>
      </c>
      <c r="N22" s="116">
        <f t="shared" si="0"/>
        <v>10</v>
      </c>
      <c r="O22" s="171"/>
      <c r="P22" s="197"/>
      <c r="Q22" s="198"/>
      <c r="R22" s="198"/>
      <c r="S22" s="198"/>
      <c r="T22" s="198"/>
      <c r="U22" s="199"/>
    </row>
    <row r="23" spans="1:21" ht="15.5">
      <c r="A23" s="85"/>
      <c r="B23" s="37">
        <f t="shared" si="1"/>
        <v>10</v>
      </c>
      <c r="C23" s="107" t="s">
        <v>41</v>
      </c>
      <c r="D23" s="107"/>
      <c r="E23" s="108"/>
      <c r="F23" s="109" t="s">
        <v>81</v>
      </c>
      <c r="G23" s="110"/>
      <c r="H23" s="18" t="s">
        <v>86</v>
      </c>
      <c r="I23" s="59"/>
      <c r="J23" s="113"/>
      <c r="K23" s="113"/>
      <c r="L23" s="114"/>
      <c r="M23" s="115" t="s">
        <v>21</v>
      </c>
      <c r="N23" s="116">
        <f t="shared" si="0"/>
        <v>0</v>
      </c>
      <c r="O23" s="171"/>
      <c r="P23" s="197"/>
      <c r="Q23" s="198"/>
      <c r="R23" s="198"/>
      <c r="S23" s="198"/>
      <c r="T23" s="198"/>
      <c r="U23" s="199"/>
    </row>
    <row r="24" spans="1:21" ht="15.5">
      <c r="A24" s="85"/>
      <c r="B24" s="37">
        <f t="shared" si="1"/>
        <v>11</v>
      </c>
      <c r="C24" s="80" t="s">
        <v>46</v>
      </c>
      <c r="D24" s="80"/>
      <c r="E24" s="81"/>
      <c r="F24" s="84" t="s">
        <v>71</v>
      </c>
      <c r="G24" s="17"/>
      <c r="H24" s="18" t="s">
        <v>62</v>
      </c>
      <c r="I24" s="59"/>
      <c r="J24" s="19">
        <v>8</v>
      </c>
      <c r="K24" s="19"/>
      <c r="L24" s="50" t="s">
        <v>47</v>
      </c>
      <c r="M24" s="73" t="s">
        <v>35</v>
      </c>
      <c r="N24" s="54">
        <f t="shared" si="0"/>
        <v>8</v>
      </c>
      <c r="O24" s="170">
        <v>0</v>
      </c>
      <c r="P24" s="191" t="s">
        <v>48</v>
      </c>
      <c r="Q24" s="192"/>
      <c r="R24" s="192"/>
      <c r="S24" s="192"/>
      <c r="T24" s="192"/>
      <c r="U24" s="193"/>
    </row>
    <row r="25" spans="1:21" ht="16" thickBot="1">
      <c r="A25" s="118"/>
      <c r="B25" s="119"/>
      <c r="C25" s="120"/>
      <c r="D25" s="120"/>
      <c r="E25" s="121"/>
      <c r="F25" s="129"/>
      <c r="G25" s="122"/>
      <c r="H25" s="147"/>
      <c r="I25" s="148"/>
      <c r="J25" s="125"/>
      <c r="K25" s="125"/>
      <c r="L25" s="126"/>
      <c r="M25" s="126"/>
      <c r="N25" s="127"/>
      <c r="O25" s="172"/>
      <c r="P25" s="194"/>
      <c r="Q25" s="195"/>
      <c r="R25" s="195"/>
      <c r="S25" s="195"/>
      <c r="T25" s="195"/>
      <c r="U25" s="196"/>
    </row>
  </sheetData>
  <mergeCells count="42">
    <mergeCell ref="P22:U22"/>
    <mergeCell ref="P23:U23"/>
    <mergeCell ref="P24:U24"/>
    <mergeCell ref="P25:U25"/>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37"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39938"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39939"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39940"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39941"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39942"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616C443-8CC1-4485-B254-50A68CF4810A}">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9FBA4150-91BC-48A8-AA36-DD1130E18855}">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942B88E6-AB2E-4CBB-BCDB-35DB03FE4ECD}">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3D17743B-A6F8-43EF-9904-53DA854E784B}">
            <xm:f>(AND(H18&lt;&gt;"",ISERROR(VLOOKUP(H18,system!$E:$E,1,FALSE))))</xm:f>
            <x14:dxf>
              <fill>
                <patternFill>
                  <bgColor rgb="FFFF0000"/>
                </patternFill>
              </fill>
            </x14:dxf>
          </x14:cfRule>
          <xm:sqref>I18:I25</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8311-F0C4-4854-8C2F-C70E12D8EF3B}">
  <sheetPr codeName="Sheet39">
    <pageSetUpPr fitToPage="1"/>
  </sheetPr>
  <dimension ref="A1:U33"/>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556</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157</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SUM(N14:N34)</f>
        <v>167</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197</v>
      </c>
      <c r="D14" s="80"/>
      <c r="E14" s="81"/>
      <c r="F14" s="146"/>
      <c r="G14" s="17"/>
      <c r="H14" s="18" t="s">
        <v>49</v>
      </c>
      <c r="I14" s="59"/>
      <c r="J14" s="19">
        <v>1</v>
      </c>
      <c r="K14" s="19"/>
      <c r="L14" s="50" t="s">
        <v>189</v>
      </c>
      <c r="M14" s="73" t="s">
        <v>21</v>
      </c>
      <c r="N14" s="54">
        <f t="shared" ref="N14:N32" si="0">IF(H14="NUMBER",IF(J14&gt;0,INT((J14+1)/2+0.9),0),IF(H14="DATE",7,IF(OR(H14="LONG",H14="LONG RAW"),100000,J14)))</f>
        <v>1</v>
      </c>
      <c r="O14" s="170"/>
      <c r="P14" s="191"/>
      <c r="Q14" s="192"/>
      <c r="R14" s="192"/>
      <c r="S14" s="192"/>
      <c r="T14" s="192"/>
      <c r="U14" s="193"/>
    </row>
    <row r="15" spans="1:21" ht="15.75" customHeight="1">
      <c r="A15" s="85" t="s">
        <v>190</v>
      </c>
      <c r="B15" s="37">
        <f>ROW()-13</f>
        <v>2</v>
      </c>
      <c r="C15" s="145" t="s">
        <v>199</v>
      </c>
      <c r="D15" s="80"/>
      <c r="E15" s="81"/>
      <c r="F15" s="146"/>
      <c r="G15" s="17"/>
      <c r="H15" s="18" t="s">
        <v>51</v>
      </c>
      <c r="I15" s="59"/>
      <c r="J15" s="19">
        <v>25</v>
      </c>
      <c r="K15" s="19"/>
      <c r="L15" s="50" t="s">
        <v>189</v>
      </c>
      <c r="M15" s="73" t="s">
        <v>21</v>
      </c>
      <c r="N15" s="54">
        <f t="shared" si="0"/>
        <v>25</v>
      </c>
      <c r="O15" s="170"/>
      <c r="P15" s="191"/>
      <c r="Q15" s="192"/>
      <c r="R15" s="192"/>
      <c r="S15" s="192"/>
      <c r="T15" s="192"/>
      <c r="U15" s="193"/>
    </row>
    <row r="16" spans="1:21" ht="15.75" customHeight="1">
      <c r="A16" s="85" t="s">
        <v>190</v>
      </c>
      <c r="B16" s="37">
        <f>ROW()-13</f>
        <v>3</v>
      </c>
      <c r="C16" s="145" t="s">
        <v>201</v>
      </c>
      <c r="D16" s="80"/>
      <c r="E16" s="81"/>
      <c r="F16" s="146"/>
      <c r="G16" s="17"/>
      <c r="H16" s="18" t="s">
        <v>51</v>
      </c>
      <c r="I16" s="59"/>
      <c r="J16" s="19">
        <v>4</v>
      </c>
      <c r="K16" s="19"/>
      <c r="L16" s="50" t="s">
        <v>189</v>
      </c>
      <c r="M16" s="73" t="s">
        <v>21</v>
      </c>
      <c r="N16" s="54">
        <f t="shared" si="0"/>
        <v>4</v>
      </c>
      <c r="O16" s="170"/>
      <c r="P16" s="191" t="s">
        <v>203</v>
      </c>
      <c r="Q16" s="192"/>
      <c r="R16" s="192"/>
      <c r="S16" s="192"/>
      <c r="T16" s="192"/>
      <c r="U16" s="193"/>
    </row>
    <row r="17" spans="1:21" ht="74.5" customHeight="1">
      <c r="A17" s="85" t="s">
        <v>190</v>
      </c>
      <c r="B17" s="37">
        <f>ROW()-13</f>
        <v>4</v>
      </c>
      <c r="C17" s="145" t="s">
        <v>204</v>
      </c>
      <c r="D17" s="80"/>
      <c r="E17" s="81"/>
      <c r="F17" s="146"/>
      <c r="G17" s="17"/>
      <c r="H17" s="18" t="s">
        <v>49</v>
      </c>
      <c r="I17" s="59"/>
      <c r="J17" s="19">
        <v>1</v>
      </c>
      <c r="K17" s="19"/>
      <c r="L17" s="50" t="s">
        <v>189</v>
      </c>
      <c r="M17" s="73" t="s">
        <v>21</v>
      </c>
      <c r="N17" s="54">
        <f t="shared" si="0"/>
        <v>1</v>
      </c>
      <c r="O17" s="170"/>
      <c r="P17" s="251" t="s">
        <v>206</v>
      </c>
      <c r="Q17" s="192"/>
      <c r="R17" s="192"/>
      <c r="S17" s="192"/>
      <c r="T17" s="192"/>
      <c r="U17" s="193"/>
    </row>
    <row r="18" spans="1:21" ht="27.5" customHeight="1">
      <c r="A18" s="85" t="s">
        <v>190</v>
      </c>
      <c r="B18" s="37">
        <f>ROW()-13</f>
        <v>5</v>
      </c>
      <c r="C18" s="145" t="s">
        <v>207</v>
      </c>
      <c r="D18" s="80"/>
      <c r="E18" s="81"/>
      <c r="F18" s="146"/>
      <c r="G18" s="17"/>
      <c r="H18" s="18" t="s">
        <v>49</v>
      </c>
      <c r="I18" s="59"/>
      <c r="J18" s="19">
        <v>1</v>
      </c>
      <c r="K18" s="19"/>
      <c r="L18" s="50" t="s">
        <v>189</v>
      </c>
      <c r="M18" s="73" t="s">
        <v>21</v>
      </c>
      <c r="N18" s="54">
        <f t="shared" si="0"/>
        <v>1</v>
      </c>
      <c r="O18" s="170"/>
      <c r="P18" s="251" t="s">
        <v>208</v>
      </c>
      <c r="Q18" s="192"/>
      <c r="R18" s="192"/>
      <c r="S18" s="192"/>
      <c r="T18" s="192"/>
      <c r="U18" s="193"/>
    </row>
    <row r="19" spans="1:21" ht="15.75" customHeight="1">
      <c r="A19" s="85" t="s">
        <v>190</v>
      </c>
      <c r="B19" s="37">
        <f>ROW()-13</f>
        <v>6</v>
      </c>
      <c r="C19" s="145" t="s">
        <v>193</v>
      </c>
      <c r="D19" s="80"/>
      <c r="E19" s="81"/>
      <c r="F19" s="146"/>
      <c r="G19" s="17"/>
      <c r="H19" s="18" t="s">
        <v>49</v>
      </c>
      <c r="I19" s="59"/>
      <c r="J19" s="19">
        <v>2</v>
      </c>
      <c r="K19" s="19"/>
      <c r="L19" s="50" t="s">
        <v>189</v>
      </c>
      <c r="M19" s="73" t="s">
        <v>21</v>
      </c>
      <c r="N19" s="54">
        <f t="shared" si="0"/>
        <v>2</v>
      </c>
      <c r="O19" s="170"/>
      <c r="P19" s="191" t="s">
        <v>478</v>
      </c>
      <c r="Q19" s="192"/>
      <c r="R19" s="192"/>
      <c r="S19" s="192"/>
      <c r="T19" s="192"/>
      <c r="U19" s="193"/>
    </row>
    <row r="20" spans="1:21" ht="27.5" customHeight="1">
      <c r="A20" s="85" t="s">
        <v>190</v>
      </c>
      <c r="B20" s="37">
        <f>ROW()-13</f>
        <v>7</v>
      </c>
      <c r="C20" s="145" t="s">
        <v>322</v>
      </c>
      <c r="D20" s="80"/>
      <c r="E20" s="81"/>
      <c r="F20" s="146"/>
      <c r="G20" s="17"/>
      <c r="H20" s="18" t="s">
        <v>51</v>
      </c>
      <c r="I20" s="59"/>
      <c r="J20" s="19">
        <v>10</v>
      </c>
      <c r="K20" s="19"/>
      <c r="L20" s="50" t="s">
        <v>189</v>
      </c>
      <c r="M20" s="73" t="s">
        <v>21</v>
      </c>
      <c r="N20" s="54">
        <f t="shared" si="0"/>
        <v>10</v>
      </c>
      <c r="O20" s="170"/>
      <c r="P20" s="251" t="s">
        <v>557</v>
      </c>
      <c r="Q20" s="192"/>
      <c r="R20" s="192"/>
      <c r="S20" s="192"/>
      <c r="T20" s="192"/>
      <c r="U20" s="193"/>
    </row>
    <row r="21" spans="1:21" ht="15.75" customHeight="1">
      <c r="A21" s="85" t="s">
        <v>190</v>
      </c>
      <c r="B21" s="37">
        <f>ROW()-13</f>
        <v>8</v>
      </c>
      <c r="C21" s="145" t="s">
        <v>553</v>
      </c>
      <c r="D21" s="80"/>
      <c r="E21" s="81"/>
      <c r="F21" s="146"/>
      <c r="G21" s="17"/>
      <c r="H21" s="18" t="s">
        <v>49</v>
      </c>
      <c r="I21" s="59"/>
      <c r="J21" s="19">
        <v>12</v>
      </c>
      <c r="K21" s="19"/>
      <c r="L21" s="50" t="s">
        <v>189</v>
      </c>
      <c r="M21" s="73" t="s">
        <v>21</v>
      </c>
      <c r="N21" s="54">
        <f t="shared" si="0"/>
        <v>12</v>
      </c>
      <c r="O21" s="170"/>
      <c r="P21" s="191" t="s">
        <v>156</v>
      </c>
      <c r="Q21" s="192"/>
      <c r="R21" s="192"/>
      <c r="S21" s="192"/>
      <c r="T21" s="192"/>
      <c r="U21" s="193"/>
    </row>
    <row r="22" spans="1:21" ht="15.75" customHeight="1">
      <c r="A22" s="85"/>
      <c r="B22" s="37">
        <f>ROW()-13</f>
        <v>9</v>
      </c>
      <c r="C22" s="145" t="s">
        <v>547</v>
      </c>
      <c r="D22" s="80"/>
      <c r="E22" s="81"/>
      <c r="F22" s="146"/>
      <c r="G22" s="17"/>
      <c r="H22" s="18" t="s">
        <v>56</v>
      </c>
      <c r="I22" s="59"/>
      <c r="J22" s="19">
        <v>6</v>
      </c>
      <c r="K22" s="19">
        <v>2</v>
      </c>
      <c r="L22" s="50" t="s">
        <v>189</v>
      </c>
      <c r="M22" s="73" t="s">
        <v>21</v>
      </c>
      <c r="N22" s="54">
        <f t="shared" si="0"/>
        <v>6</v>
      </c>
      <c r="O22" s="170"/>
      <c r="P22" s="191"/>
      <c r="Q22" s="192"/>
      <c r="R22" s="192"/>
      <c r="S22" s="192"/>
      <c r="T22" s="192"/>
      <c r="U22" s="193"/>
    </row>
    <row r="23" spans="1:21" ht="15.75" customHeight="1">
      <c r="A23" s="85"/>
      <c r="B23" s="37">
        <f>ROW()-13</f>
        <v>10</v>
      </c>
      <c r="C23" s="145" t="s">
        <v>558</v>
      </c>
      <c r="D23" s="80"/>
      <c r="E23" s="81"/>
      <c r="F23" s="146"/>
      <c r="G23" s="17"/>
      <c r="H23" s="18" t="s">
        <v>51</v>
      </c>
      <c r="I23" s="59"/>
      <c r="J23" s="19">
        <v>2</v>
      </c>
      <c r="K23" s="19"/>
      <c r="L23" s="50" t="s">
        <v>189</v>
      </c>
      <c r="M23" s="73" t="s">
        <v>21</v>
      </c>
      <c r="N23" s="54">
        <f t="shared" si="0"/>
        <v>2</v>
      </c>
      <c r="O23" s="170"/>
      <c r="P23" s="191" t="s">
        <v>559</v>
      </c>
      <c r="Q23" s="192"/>
      <c r="R23" s="192"/>
      <c r="S23" s="192"/>
      <c r="T23" s="192"/>
      <c r="U23" s="193"/>
    </row>
    <row r="24" spans="1:21" ht="27.5" customHeight="1">
      <c r="A24" s="85"/>
      <c r="B24" s="37">
        <f>ROW()-13</f>
        <v>11</v>
      </c>
      <c r="C24" s="145" t="s">
        <v>227</v>
      </c>
      <c r="D24" s="80"/>
      <c r="E24" s="81"/>
      <c r="F24" s="146"/>
      <c r="G24" s="17"/>
      <c r="H24" s="18" t="s">
        <v>49</v>
      </c>
      <c r="I24" s="59"/>
      <c r="J24" s="19">
        <v>1</v>
      </c>
      <c r="K24" s="19"/>
      <c r="L24" s="50"/>
      <c r="M24" s="73" t="s">
        <v>21</v>
      </c>
      <c r="N24" s="54">
        <f t="shared" si="0"/>
        <v>1</v>
      </c>
      <c r="O24" s="170"/>
      <c r="P24" s="251" t="s">
        <v>228</v>
      </c>
      <c r="Q24" s="192"/>
      <c r="R24" s="192"/>
      <c r="S24" s="192"/>
      <c r="T24" s="192"/>
      <c r="U24" s="193"/>
    </row>
    <row r="25" spans="1:21" ht="15.75" customHeight="1">
      <c r="A25" s="85"/>
      <c r="B25" s="37">
        <f>ROW()-13</f>
        <v>12</v>
      </c>
      <c r="C25" s="145" t="s">
        <v>276</v>
      </c>
      <c r="D25" s="80"/>
      <c r="E25" s="81"/>
      <c r="F25" s="146" t="s">
        <v>534</v>
      </c>
      <c r="G25" s="17"/>
      <c r="H25" s="18" t="s">
        <v>51</v>
      </c>
      <c r="I25" s="59"/>
      <c r="J25" s="19">
        <v>50</v>
      </c>
      <c r="K25" s="19"/>
      <c r="L25" s="50"/>
      <c r="M25" s="73" t="s">
        <v>21</v>
      </c>
      <c r="N25" s="54">
        <f t="shared" si="0"/>
        <v>50</v>
      </c>
      <c r="O25" s="170"/>
      <c r="P25" s="191"/>
      <c r="Q25" s="192"/>
      <c r="R25" s="192"/>
      <c r="S25" s="192"/>
      <c r="T25" s="192"/>
      <c r="U25" s="193"/>
    </row>
    <row r="26" spans="1:21" ht="15.5">
      <c r="A26" s="85"/>
      <c r="B26" s="37">
        <f t="shared" ref="B26:B32" si="1">ROW()-13</f>
        <v>13</v>
      </c>
      <c r="C26" s="107" t="s">
        <v>36</v>
      </c>
      <c r="D26" s="107"/>
      <c r="E26" s="108"/>
      <c r="F26" s="109" t="s">
        <v>78</v>
      </c>
      <c r="G26" s="110"/>
      <c r="H26" s="18" t="s">
        <v>51</v>
      </c>
      <c r="I26" s="59"/>
      <c r="J26" s="113">
        <v>12</v>
      </c>
      <c r="K26" s="113"/>
      <c r="L26" s="114"/>
      <c r="M26" s="115" t="s">
        <v>35</v>
      </c>
      <c r="N26" s="116">
        <f t="shared" si="0"/>
        <v>12</v>
      </c>
      <c r="O26" s="171"/>
      <c r="P26" s="197"/>
      <c r="Q26" s="198"/>
      <c r="R26" s="198"/>
      <c r="S26" s="198"/>
      <c r="T26" s="198"/>
      <c r="U26" s="199"/>
    </row>
    <row r="27" spans="1:21" ht="15.5">
      <c r="A27" s="85"/>
      <c r="B27" s="37">
        <f t="shared" si="1"/>
        <v>14</v>
      </c>
      <c r="C27" s="107" t="s">
        <v>37</v>
      </c>
      <c r="D27" s="107"/>
      <c r="E27" s="108"/>
      <c r="F27" s="109" t="s">
        <v>43</v>
      </c>
      <c r="G27" s="110"/>
      <c r="H27" s="18" t="s">
        <v>51</v>
      </c>
      <c r="I27" s="59"/>
      <c r="J27" s="113">
        <v>10</v>
      </c>
      <c r="K27" s="113"/>
      <c r="L27" s="114"/>
      <c r="M27" s="115" t="s">
        <v>21</v>
      </c>
      <c r="N27" s="116">
        <f t="shared" si="0"/>
        <v>10</v>
      </c>
      <c r="O27" s="171"/>
      <c r="P27" s="197"/>
      <c r="Q27" s="198"/>
      <c r="R27" s="198"/>
      <c r="S27" s="198"/>
      <c r="T27" s="198"/>
      <c r="U27" s="199"/>
    </row>
    <row r="28" spans="1:21" ht="15.5">
      <c r="A28" s="85"/>
      <c r="B28" s="37">
        <f t="shared" si="1"/>
        <v>15</v>
      </c>
      <c r="C28" s="107" t="s">
        <v>38</v>
      </c>
      <c r="D28" s="107"/>
      <c r="E28" s="108"/>
      <c r="F28" s="109" t="s">
        <v>80</v>
      </c>
      <c r="G28" s="110"/>
      <c r="H28" s="18" t="s">
        <v>86</v>
      </c>
      <c r="I28" s="59"/>
      <c r="J28" s="113"/>
      <c r="K28" s="113"/>
      <c r="L28" s="114"/>
      <c r="M28" s="115" t="s">
        <v>21</v>
      </c>
      <c r="N28" s="116">
        <f t="shared" si="0"/>
        <v>0</v>
      </c>
      <c r="O28" s="171"/>
      <c r="P28" s="197"/>
      <c r="Q28" s="198"/>
      <c r="R28" s="198"/>
      <c r="S28" s="198"/>
      <c r="T28" s="198"/>
      <c r="U28" s="199"/>
    </row>
    <row r="29" spans="1:21" ht="15.5">
      <c r="A29" s="85"/>
      <c r="B29" s="37">
        <f t="shared" si="1"/>
        <v>16</v>
      </c>
      <c r="C29" s="107" t="s">
        <v>39</v>
      </c>
      <c r="D29" s="107"/>
      <c r="E29" s="108"/>
      <c r="F29" s="109" t="s">
        <v>79</v>
      </c>
      <c r="G29" s="110"/>
      <c r="H29" s="18" t="s">
        <v>51</v>
      </c>
      <c r="I29" s="59"/>
      <c r="J29" s="113">
        <v>12</v>
      </c>
      <c r="K29" s="113"/>
      <c r="L29" s="114"/>
      <c r="M29" s="115" t="s">
        <v>35</v>
      </c>
      <c r="N29" s="116">
        <f t="shared" si="0"/>
        <v>12</v>
      </c>
      <c r="O29" s="171"/>
      <c r="P29" s="197"/>
      <c r="Q29" s="198"/>
      <c r="R29" s="198"/>
      <c r="S29" s="198"/>
      <c r="T29" s="198"/>
      <c r="U29" s="199"/>
    </row>
    <row r="30" spans="1:21" ht="15.5">
      <c r="A30" s="85"/>
      <c r="B30" s="37">
        <f t="shared" si="1"/>
        <v>17</v>
      </c>
      <c r="C30" s="107" t="s">
        <v>40</v>
      </c>
      <c r="D30" s="107"/>
      <c r="E30" s="108"/>
      <c r="F30" s="109" t="s">
        <v>44</v>
      </c>
      <c r="G30" s="110"/>
      <c r="H30" s="18" t="s">
        <v>51</v>
      </c>
      <c r="I30" s="59"/>
      <c r="J30" s="113">
        <v>10</v>
      </c>
      <c r="K30" s="113"/>
      <c r="L30" s="114"/>
      <c r="M30" s="115" t="s">
        <v>21</v>
      </c>
      <c r="N30" s="116">
        <f t="shared" si="0"/>
        <v>10</v>
      </c>
      <c r="O30" s="171"/>
      <c r="P30" s="197"/>
      <c r="Q30" s="198"/>
      <c r="R30" s="198"/>
      <c r="S30" s="198"/>
      <c r="T30" s="198"/>
      <c r="U30" s="199"/>
    </row>
    <row r="31" spans="1:21" ht="15.5">
      <c r="A31" s="85"/>
      <c r="B31" s="37">
        <f t="shared" si="1"/>
        <v>18</v>
      </c>
      <c r="C31" s="107" t="s">
        <v>41</v>
      </c>
      <c r="D31" s="107"/>
      <c r="E31" s="108"/>
      <c r="F31" s="109" t="s">
        <v>81</v>
      </c>
      <c r="G31" s="110"/>
      <c r="H31" s="18" t="s">
        <v>86</v>
      </c>
      <c r="I31" s="59"/>
      <c r="J31" s="113"/>
      <c r="K31" s="113"/>
      <c r="L31" s="114"/>
      <c r="M31" s="115" t="s">
        <v>21</v>
      </c>
      <c r="N31" s="116">
        <f t="shared" si="0"/>
        <v>0</v>
      </c>
      <c r="O31" s="171"/>
      <c r="P31" s="197"/>
      <c r="Q31" s="198"/>
      <c r="R31" s="198"/>
      <c r="S31" s="198"/>
      <c r="T31" s="198"/>
      <c r="U31" s="199"/>
    </row>
    <row r="32" spans="1:21" ht="15.5">
      <c r="A32" s="85"/>
      <c r="B32" s="37">
        <f t="shared" si="1"/>
        <v>19</v>
      </c>
      <c r="C32" s="80" t="s">
        <v>46</v>
      </c>
      <c r="D32" s="80"/>
      <c r="E32" s="81"/>
      <c r="F32" s="84" t="s">
        <v>71</v>
      </c>
      <c r="G32" s="17"/>
      <c r="H32" s="18" t="s">
        <v>62</v>
      </c>
      <c r="I32" s="59"/>
      <c r="J32" s="19">
        <v>8</v>
      </c>
      <c r="K32" s="19"/>
      <c r="L32" s="50" t="s">
        <v>47</v>
      </c>
      <c r="M32" s="73" t="s">
        <v>35</v>
      </c>
      <c r="N32" s="54">
        <f t="shared" si="0"/>
        <v>8</v>
      </c>
      <c r="O32" s="170">
        <v>0</v>
      </c>
      <c r="P32" s="191" t="s">
        <v>48</v>
      </c>
      <c r="Q32" s="192"/>
      <c r="R32" s="192"/>
      <c r="S32" s="192"/>
      <c r="T32" s="192"/>
      <c r="U32" s="193"/>
    </row>
    <row r="33" spans="1:21" ht="16" thickBot="1">
      <c r="A33" s="118"/>
      <c r="B33" s="119"/>
      <c r="C33" s="120"/>
      <c r="D33" s="120"/>
      <c r="E33" s="121"/>
      <c r="F33" s="129"/>
      <c r="G33" s="122"/>
      <c r="H33" s="147"/>
      <c r="I33" s="148"/>
      <c r="J33" s="125"/>
      <c r="K33" s="125"/>
      <c r="L33" s="126"/>
      <c r="M33" s="126"/>
      <c r="N33" s="127"/>
      <c r="O33" s="172"/>
      <c r="P33" s="194"/>
      <c r="Q33" s="195"/>
      <c r="R33" s="195"/>
      <c r="S33" s="195"/>
      <c r="T33" s="195"/>
      <c r="U33" s="196"/>
    </row>
  </sheetData>
  <mergeCells count="50">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40962"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40963"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40964"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40965"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40966"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9338912-12F6-4C9A-96B0-44E6C2ADF997}">
            <xm:f>(AND(H14&lt;&gt;"",ISERROR(VLOOKUP(H14,system!$E:$E,1,FALSE))))</xm:f>
            <x14:dxf>
              <fill>
                <patternFill patternType="solid">
                  <bgColor rgb="FFFF0000"/>
                </patternFill>
              </fill>
            </x14:dxf>
          </x14:cfRule>
          <xm:sqref>H14:H25</xm:sqref>
        </x14:conditionalFormatting>
        <x14:conditionalFormatting xmlns:xm="http://schemas.microsoft.com/office/excel/2006/main">
          <x14:cfRule type="expression" priority="3" id="{95B8F36C-07CC-41FF-80A3-EA8B8ABBA045}">
            <xm:f>(AND(H14&lt;&gt;"",ISERROR(VLOOKUP(H14,system!$E:$E,1,FALSE))))</xm:f>
            <x14:dxf>
              <fill>
                <patternFill>
                  <bgColor rgb="FFFF0000"/>
                </patternFill>
              </fill>
            </x14:dxf>
          </x14:cfRule>
          <xm:sqref>I14:I25</xm:sqref>
        </x14:conditionalFormatting>
        <x14:conditionalFormatting xmlns:xm="http://schemas.microsoft.com/office/excel/2006/main">
          <x14:cfRule type="expression" priority="2" id="{63DE33C4-779C-4DAC-A068-64A9CA712BCD}">
            <xm:f>(AND(H26&lt;&gt;"",ISERROR(VLOOKUP(H26,system!$E:$E,1,FALSE))))</xm:f>
            <x14:dxf>
              <fill>
                <patternFill patternType="solid">
                  <bgColor rgb="FFFF0000"/>
                </patternFill>
              </fill>
            </x14:dxf>
          </x14:cfRule>
          <xm:sqref>H26:H33</xm:sqref>
        </x14:conditionalFormatting>
        <x14:conditionalFormatting xmlns:xm="http://schemas.microsoft.com/office/excel/2006/main">
          <x14:cfRule type="expression" priority="1" id="{9C555F79-3652-434B-8041-B925FDB58910}">
            <xm:f>(AND(H26&lt;&gt;"",ISERROR(VLOOKUP(H26,system!$E:$E,1,FALSE))))</xm:f>
            <x14:dxf>
              <fill>
                <patternFill>
                  <bgColor rgb="FFFF0000"/>
                </patternFill>
              </fill>
            </x14:dxf>
          </x14:cfRule>
          <xm:sqref>I26:I33</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B99D2-A4B4-49F2-9E90-1503C0044669}">
  <sheetPr codeName="Sheet40">
    <pageSetUpPr fitToPage="1"/>
  </sheetPr>
  <dimension ref="A1:U34"/>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561</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158</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SUM(N14:N35)</f>
        <v>212</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197</v>
      </c>
      <c r="D14" s="80"/>
      <c r="E14" s="81"/>
      <c r="F14" s="146"/>
      <c r="G14" s="17"/>
      <c r="H14" s="18" t="s">
        <v>49</v>
      </c>
      <c r="I14" s="59"/>
      <c r="J14" s="19">
        <v>1</v>
      </c>
      <c r="K14" s="19"/>
      <c r="L14" s="50" t="s">
        <v>189</v>
      </c>
      <c r="M14" s="73" t="s">
        <v>21</v>
      </c>
      <c r="N14" s="54">
        <f t="shared" ref="N14:N33" si="0">IF(H14="NUMBER",IF(J14&gt;0,INT((J14+1)/2+0.9),0),IF(H14="DATE",7,IF(OR(H14="LONG",H14="LONG RAW"),100000,J14)))</f>
        <v>1</v>
      </c>
      <c r="O14" s="170"/>
      <c r="P14" s="191"/>
      <c r="Q14" s="192"/>
      <c r="R14" s="192"/>
      <c r="S14" s="192"/>
      <c r="T14" s="192"/>
      <c r="U14" s="193"/>
    </row>
    <row r="15" spans="1:21" ht="15.75" customHeight="1">
      <c r="A15" s="85" t="s">
        <v>190</v>
      </c>
      <c r="B15" s="37">
        <f>ROW()-13</f>
        <v>2</v>
      </c>
      <c r="C15" s="145" t="s">
        <v>199</v>
      </c>
      <c r="D15" s="80"/>
      <c r="E15" s="81"/>
      <c r="F15" s="146"/>
      <c r="G15" s="17"/>
      <c r="H15" s="18" t="s">
        <v>51</v>
      </c>
      <c r="I15" s="59"/>
      <c r="J15" s="19">
        <v>25</v>
      </c>
      <c r="K15" s="19"/>
      <c r="L15" s="50" t="s">
        <v>189</v>
      </c>
      <c r="M15" s="73" t="s">
        <v>21</v>
      </c>
      <c r="N15" s="54">
        <f t="shared" si="0"/>
        <v>25</v>
      </c>
      <c r="O15" s="170"/>
      <c r="P15" s="191"/>
      <c r="Q15" s="192"/>
      <c r="R15" s="192"/>
      <c r="S15" s="192"/>
      <c r="T15" s="192"/>
      <c r="U15" s="193"/>
    </row>
    <row r="16" spans="1:21" ht="15.75" customHeight="1">
      <c r="A16" s="85" t="s">
        <v>190</v>
      </c>
      <c r="B16" s="37">
        <f>ROW()-13</f>
        <v>3</v>
      </c>
      <c r="C16" s="145" t="s">
        <v>201</v>
      </c>
      <c r="D16" s="80"/>
      <c r="E16" s="81"/>
      <c r="F16" s="146"/>
      <c r="G16" s="17"/>
      <c r="H16" s="18" t="s">
        <v>51</v>
      </c>
      <c r="I16" s="59"/>
      <c r="J16" s="19">
        <v>4</v>
      </c>
      <c r="K16" s="19"/>
      <c r="L16" s="50" t="s">
        <v>189</v>
      </c>
      <c r="M16" s="73" t="s">
        <v>21</v>
      </c>
      <c r="N16" s="54">
        <f t="shared" si="0"/>
        <v>4</v>
      </c>
      <c r="O16" s="170"/>
      <c r="P16" s="191" t="s">
        <v>203</v>
      </c>
      <c r="Q16" s="192"/>
      <c r="R16" s="192"/>
      <c r="S16" s="192"/>
      <c r="T16" s="192"/>
      <c r="U16" s="193"/>
    </row>
    <row r="17" spans="1:21" ht="62.75" customHeight="1">
      <c r="A17" s="85" t="s">
        <v>190</v>
      </c>
      <c r="B17" s="37">
        <f>ROW()-13</f>
        <v>4</v>
      </c>
      <c r="C17" s="145" t="s">
        <v>204</v>
      </c>
      <c r="D17" s="80"/>
      <c r="E17" s="81"/>
      <c r="F17" s="146"/>
      <c r="G17" s="17"/>
      <c r="H17" s="18" t="s">
        <v>49</v>
      </c>
      <c r="I17" s="59"/>
      <c r="J17" s="19">
        <v>1</v>
      </c>
      <c r="K17" s="19"/>
      <c r="L17" s="50" t="s">
        <v>189</v>
      </c>
      <c r="M17" s="73" t="s">
        <v>21</v>
      </c>
      <c r="N17" s="54">
        <f t="shared" si="0"/>
        <v>1</v>
      </c>
      <c r="O17" s="170"/>
      <c r="P17" s="251" t="s">
        <v>265</v>
      </c>
      <c r="Q17" s="192"/>
      <c r="R17" s="192"/>
      <c r="S17" s="192"/>
      <c r="T17" s="192"/>
      <c r="U17" s="193"/>
    </row>
    <row r="18" spans="1:21" ht="27.5" customHeight="1">
      <c r="A18" s="85" t="s">
        <v>190</v>
      </c>
      <c r="B18" s="37">
        <f>ROW()-13</f>
        <v>5</v>
      </c>
      <c r="C18" s="145" t="s">
        <v>207</v>
      </c>
      <c r="D18" s="80"/>
      <c r="E18" s="81"/>
      <c r="F18" s="146"/>
      <c r="G18" s="17"/>
      <c r="H18" s="18" t="s">
        <v>49</v>
      </c>
      <c r="I18" s="59"/>
      <c r="J18" s="19">
        <v>1</v>
      </c>
      <c r="K18" s="19"/>
      <c r="L18" s="50" t="s">
        <v>189</v>
      </c>
      <c r="M18" s="73" t="s">
        <v>21</v>
      </c>
      <c r="N18" s="54">
        <f t="shared" si="0"/>
        <v>1</v>
      </c>
      <c r="O18" s="170"/>
      <c r="P18" s="251" t="s">
        <v>208</v>
      </c>
      <c r="Q18" s="192"/>
      <c r="R18" s="192"/>
      <c r="S18" s="192"/>
      <c r="T18" s="192"/>
      <c r="U18" s="193"/>
    </row>
    <row r="19" spans="1:21" ht="15.75" customHeight="1">
      <c r="A19" s="85"/>
      <c r="B19" s="37">
        <f>ROW()-13</f>
        <v>6</v>
      </c>
      <c r="C19" s="145" t="s">
        <v>432</v>
      </c>
      <c r="D19" s="80"/>
      <c r="E19" s="81"/>
      <c r="F19" s="146"/>
      <c r="G19" s="17"/>
      <c r="H19" s="18" t="s">
        <v>51</v>
      </c>
      <c r="I19" s="59"/>
      <c r="J19" s="19">
        <v>15</v>
      </c>
      <c r="K19" s="19"/>
      <c r="L19" s="50" t="s">
        <v>189</v>
      </c>
      <c r="M19" s="73" t="s">
        <v>21</v>
      </c>
      <c r="N19" s="54">
        <f t="shared" si="0"/>
        <v>15</v>
      </c>
      <c r="O19" s="170"/>
      <c r="P19" s="191"/>
      <c r="Q19" s="192"/>
      <c r="R19" s="192"/>
      <c r="S19" s="192"/>
      <c r="T19" s="192"/>
      <c r="U19" s="193"/>
    </row>
    <row r="20" spans="1:21" ht="15.75" customHeight="1">
      <c r="A20" s="85"/>
      <c r="B20" s="37">
        <f>ROW()-13</f>
        <v>7</v>
      </c>
      <c r="C20" s="145" t="s">
        <v>562</v>
      </c>
      <c r="D20" s="80"/>
      <c r="E20" s="81"/>
      <c r="F20" s="146"/>
      <c r="G20" s="17"/>
      <c r="H20" s="18" t="s">
        <v>49</v>
      </c>
      <c r="I20" s="59"/>
      <c r="J20" s="19">
        <v>2</v>
      </c>
      <c r="K20" s="19"/>
      <c r="L20" s="50" t="s">
        <v>189</v>
      </c>
      <c r="M20" s="73" t="s">
        <v>21</v>
      </c>
      <c r="N20" s="54">
        <f t="shared" si="0"/>
        <v>2</v>
      </c>
      <c r="O20" s="170"/>
      <c r="P20" s="191" t="s">
        <v>176</v>
      </c>
      <c r="Q20" s="192"/>
      <c r="R20" s="192"/>
      <c r="S20" s="192"/>
      <c r="T20" s="192"/>
      <c r="U20" s="193"/>
    </row>
    <row r="21" spans="1:21" ht="15.75" customHeight="1">
      <c r="A21" s="85"/>
      <c r="B21" s="37">
        <f>ROW()-13</f>
        <v>8</v>
      </c>
      <c r="C21" s="145" t="s">
        <v>376</v>
      </c>
      <c r="D21" s="80"/>
      <c r="E21" s="81"/>
      <c r="F21" s="146"/>
      <c r="G21" s="17"/>
      <c r="H21" s="18" t="s">
        <v>49</v>
      </c>
      <c r="I21" s="59"/>
      <c r="J21" s="19">
        <v>4</v>
      </c>
      <c r="K21" s="19"/>
      <c r="L21" s="50" t="s">
        <v>189</v>
      </c>
      <c r="M21" s="73" t="s">
        <v>21</v>
      </c>
      <c r="N21" s="54">
        <f t="shared" si="0"/>
        <v>4</v>
      </c>
      <c r="O21" s="170"/>
      <c r="P21" s="191" t="s">
        <v>160</v>
      </c>
      <c r="Q21" s="192"/>
      <c r="R21" s="192"/>
      <c r="S21" s="192"/>
      <c r="T21" s="192"/>
      <c r="U21" s="193"/>
    </row>
    <row r="22" spans="1:21" ht="15.75" customHeight="1">
      <c r="A22" s="85"/>
      <c r="B22" s="37">
        <f>ROW()-13</f>
        <v>9</v>
      </c>
      <c r="C22" s="145" t="s">
        <v>563</v>
      </c>
      <c r="D22" s="80"/>
      <c r="E22" s="81"/>
      <c r="F22" s="146"/>
      <c r="G22" s="17"/>
      <c r="H22" s="18" t="s">
        <v>51</v>
      </c>
      <c r="I22" s="59"/>
      <c r="J22" s="19">
        <v>5</v>
      </c>
      <c r="K22" s="19"/>
      <c r="L22" s="50" t="s">
        <v>189</v>
      </c>
      <c r="M22" s="73" t="s">
        <v>21</v>
      </c>
      <c r="N22" s="54">
        <f t="shared" si="0"/>
        <v>5</v>
      </c>
      <c r="O22" s="170"/>
      <c r="P22" s="191"/>
      <c r="Q22" s="192"/>
      <c r="R22" s="192"/>
      <c r="S22" s="192"/>
      <c r="T22" s="192"/>
      <c r="U22" s="193"/>
    </row>
    <row r="23" spans="1:21" ht="15.75" customHeight="1">
      <c r="A23" s="85"/>
      <c r="B23" s="37">
        <f>ROW()-13</f>
        <v>10</v>
      </c>
      <c r="C23" s="145" t="s">
        <v>564</v>
      </c>
      <c r="D23" s="80"/>
      <c r="E23" s="81"/>
      <c r="F23" s="146"/>
      <c r="G23" s="17"/>
      <c r="H23" s="18" t="s">
        <v>56</v>
      </c>
      <c r="I23" s="59"/>
      <c r="J23" s="19">
        <v>1</v>
      </c>
      <c r="K23" s="19">
        <v>0</v>
      </c>
      <c r="L23" s="50" t="s">
        <v>189</v>
      </c>
      <c r="M23" s="73" t="s">
        <v>21</v>
      </c>
      <c r="N23" s="54">
        <f t="shared" si="0"/>
        <v>1</v>
      </c>
      <c r="O23" s="170"/>
      <c r="P23" s="191"/>
      <c r="Q23" s="192"/>
      <c r="R23" s="192"/>
      <c r="S23" s="192"/>
      <c r="T23" s="192"/>
      <c r="U23" s="193"/>
    </row>
    <row r="24" spans="1:21" ht="15.75" customHeight="1">
      <c r="A24" s="85"/>
      <c r="B24" s="37">
        <f>ROW()-13</f>
        <v>11</v>
      </c>
      <c r="C24" s="145" t="s">
        <v>565</v>
      </c>
      <c r="D24" s="80"/>
      <c r="E24" s="81"/>
      <c r="F24" s="146"/>
      <c r="G24" s="17"/>
      <c r="H24" s="18" t="s">
        <v>51</v>
      </c>
      <c r="I24" s="59"/>
      <c r="J24" s="19">
        <v>50</v>
      </c>
      <c r="K24" s="19"/>
      <c r="L24" s="50"/>
      <c r="M24" s="73" t="s">
        <v>21</v>
      </c>
      <c r="N24" s="54">
        <f t="shared" si="0"/>
        <v>50</v>
      </c>
      <c r="O24" s="170"/>
      <c r="P24" s="191"/>
      <c r="Q24" s="192"/>
      <c r="R24" s="192"/>
      <c r="S24" s="192"/>
      <c r="T24" s="192"/>
      <c r="U24" s="193"/>
    </row>
    <row r="25" spans="1:21" ht="27.5" customHeight="1">
      <c r="A25" s="85"/>
      <c r="B25" s="37">
        <f>ROW()-13</f>
        <v>12</v>
      </c>
      <c r="C25" s="145" t="s">
        <v>227</v>
      </c>
      <c r="D25" s="80"/>
      <c r="E25" s="81"/>
      <c r="F25" s="146"/>
      <c r="G25" s="17"/>
      <c r="H25" s="18" t="s">
        <v>49</v>
      </c>
      <c r="I25" s="59"/>
      <c r="J25" s="19">
        <v>1</v>
      </c>
      <c r="K25" s="19"/>
      <c r="L25" s="50"/>
      <c r="M25" s="73" t="s">
        <v>21</v>
      </c>
      <c r="N25" s="54">
        <f t="shared" si="0"/>
        <v>1</v>
      </c>
      <c r="O25" s="170"/>
      <c r="P25" s="251" t="s">
        <v>228</v>
      </c>
      <c r="Q25" s="192"/>
      <c r="R25" s="192"/>
      <c r="S25" s="192"/>
      <c r="T25" s="192"/>
      <c r="U25" s="193"/>
    </row>
    <row r="26" spans="1:21" ht="15.75" customHeight="1">
      <c r="A26" s="85"/>
      <c r="B26" s="37">
        <f>ROW()-13</f>
        <v>13</v>
      </c>
      <c r="C26" s="145" t="s">
        <v>276</v>
      </c>
      <c r="D26" s="80"/>
      <c r="E26" s="81"/>
      <c r="F26" s="146" t="s">
        <v>534</v>
      </c>
      <c r="G26" s="17"/>
      <c r="H26" s="18" t="s">
        <v>51</v>
      </c>
      <c r="I26" s="59"/>
      <c r="J26" s="19">
        <v>50</v>
      </c>
      <c r="K26" s="19"/>
      <c r="L26" s="50"/>
      <c r="M26" s="73" t="s">
        <v>21</v>
      </c>
      <c r="N26" s="54">
        <f t="shared" si="0"/>
        <v>50</v>
      </c>
      <c r="O26" s="170"/>
      <c r="P26" s="191"/>
      <c r="Q26" s="192"/>
      <c r="R26" s="192"/>
      <c r="S26" s="192"/>
      <c r="T26" s="192"/>
      <c r="U26" s="193"/>
    </row>
    <row r="27" spans="1:21" ht="15.5">
      <c r="A27" s="85"/>
      <c r="B27" s="37">
        <f t="shared" ref="B27:B33" si="1">ROW()-13</f>
        <v>14</v>
      </c>
      <c r="C27" s="107" t="s">
        <v>36</v>
      </c>
      <c r="D27" s="107"/>
      <c r="E27" s="108"/>
      <c r="F27" s="109" t="s">
        <v>78</v>
      </c>
      <c r="G27" s="110"/>
      <c r="H27" s="18" t="s">
        <v>51</v>
      </c>
      <c r="I27" s="59"/>
      <c r="J27" s="113">
        <v>12</v>
      </c>
      <c r="K27" s="113"/>
      <c r="L27" s="114"/>
      <c r="M27" s="115" t="s">
        <v>35</v>
      </c>
      <c r="N27" s="116">
        <f t="shared" si="0"/>
        <v>12</v>
      </c>
      <c r="O27" s="171"/>
      <c r="P27" s="197"/>
      <c r="Q27" s="198"/>
      <c r="R27" s="198"/>
      <c r="S27" s="198"/>
      <c r="T27" s="198"/>
      <c r="U27" s="199"/>
    </row>
    <row r="28" spans="1:21" ht="15.5">
      <c r="A28" s="85"/>
      <c r="B28" s="37">
        <f t="shared" si="1"/>
        <v>15</v>
      </c>
      <c r="C28" s="107" t="s">
        <v>37</v>
      </c>
      <c r="D28" s="107"/>
      <c r="E28" s="108"/>
      <c r="F28" s="109" t="s">
        <v>43</v>
      </c>
      <c r="G28" s="110"/>
      <c r="H28" s="18" t="s">
        <v>51</v>
      </c>
      <c r="I28" s="59"/>
      <c r="J28" s="113">
        <v>10</v>
      </c>
      <c r="K28" s="113"/>
      <c r="L28" s="114"/>
      <c r="M28" s="115" t="s">
        <v>21</v>
      </c>
      <c r="N28" s="116">
        <f t="shared" si="0"/>
        <v>10</v>
      </c>
      <c r="O28" s="171"/>
      <c r="P28" s="197"/>
      <c r="Q28" s="198"/>
      <c r="R28" s="198"/>
      <c r="S28" s="198"/>
      <c r="T28" s="198"/>
      <c r="U28" s="199"/>
    </row>
    <row r="29" spans="1:21" ht="15.5">
      <c r="A29" s="85"/>
      <c r="B29" s="37">
        <f t="shared" si="1"/>
        <v>16</v>
      </c>
      <c r="C29" s="107" t="s">
        <v>38</v>
      </c>
      <c r="D29" s="107"/>
      <c r="E29" s="108"/>
      <c r="F29" s="109" t="s">
        <v>80</v>
      </c>
      <c r="G29" s="110"/>
      <c r="H29" s="18" t="s">
        <v>86</v>
      </c>
      <c r="I29" s="59"/>
      <c r="J29" s="113"/>
      <c r="K29" s="113"/>
      <c r="L29" s="114"/>
      <c r="M29" s="115" t="s">
        <v>21</v>
      </c>
      <c r="N29" s="116">
        <f t="shared" si="0"/>
        <v>0</v>
      </c>
      <c r="O29" s="171"/>
      <c r="P29" s="197"/>
      <c r="Q29" s="198"/>
      <c r="R29" s="198"/>
      <c r="S29" s="198"/>
      <c r="T29" s="198"/>
      <c r="U29" s="199"/>
    </row>
    <row r="30" spans="1:21" ht="15.5">
      <c r="A30" s="85"/>
      <c r="B30" s="37">
        <f t="shared" si="1"/>
        <v>17</v>
      </c>
      <c r="C30" s="107" t="s">
        <v>39</v>
      </c>
      <c r="D30" s="107"/>
      <c r="E30" s="108"/>
      <c r="F30" s="109" t="s">
        <v>79</v>
      </c>
      <c r="G30" s="110"/>
      <c r="H30" s="18" t="s">
        <v>51</v>
      </c>
      <c r="I30" s="59"/>
      <c r="J30" s="113">
        <v>12</v>
      </c>
      <c r="K30" s="113"/>
      <c r="L30" s="114"/>
      <c r="M30" s="115" t="s">
        <v>35</v>
      </c>
      <c r="N30" s="116">
        <f t="shared" si="0"/>
        <v>12</v>
      </c>
      <c r="O30" s="171"/>
      <c r="P30" s="197"/>
      <c r="Q30" s="198"/>
      <c r="R30" s="198"/>
      <c r="S30" s="198"/>
      <c r="T30" s="198"/>
      <c r="U30" s="199"/>
    </row>
    <row r="31" spans="1:21" ht="15.5">
      <c r="A31" s="85"/>
      <c r="B31" s="37">
        <f t="shared" si="1"/>
        <v>18</v>
      </c>
      <c r="C31" s="107" t="s">
        <v>40</v>
      </c>
      <c r="D31" s="107"/>
      <c r="E31" s="108"/>
      <c r="F31" s="109" t="s">
        <v>44</v>
      </c>
      <c r="G31" s="110"/>
      <c r="H31" s="18" t="s">
        <v>51</v>
      </c>
      <c r="I31" s="59"/>
      <c r="J31" s="113">
        <v>10</v>
      </c>
      <c r="K31" s="113"/>
      <c r="L31" s="114"/>
      <c r="M31" s="115" t="s">
        <v>21</v>
      </c>
      <c r="N31" s="116">
        <f t="shared" si="0"/>
        <v>10</v>
      </c>
      <c r="O31" s="171"/>
      <c r="P31" s="197"/>
      <c r="Q31" s="198"/>
      <c r="R31" s="198"/>
      <c r="S31" s="198"/>
      <c r="T31" s="198"/>
      <c r="U31" s="199"/>
    </row>
    <row r="32" spans="1:21" ht="15.5">
      <c r="A32" s="85"/>
      <c r="B32" s="37">
        <f t="shared" si="1"/>
        <v>19</v>
      </c>
      <c r="C32" s="107" t="s">
        <v>41</v>
      </c>
      <c r="D32" s="107"/>
      <c r="E32" s="108"/>
      <c r="F32" s="109" t="s">
        <v>81</v>
      </c>
      <c r="G32" s="110"/>
      <c r="H32" s="18" t="s">
        <v>86</v>
      </c>
      <c r="I32" s="59"/>
      <c r="J32" s="113"/>
      <c r="K32" s="113"/>
      <c r="L32" s="114"/>
      <c r="M32" s="115" t="s">
        <v>21</v>
      </c>
      <c r="N32" s="116">
        <f t="shared" si="0"/>
        <v>0</v>
      </c>
      <c r="O32" s="171"/>
      <c r="P32" s="197"/>
      <c r="Q32" s="198"/>
      <c r="R32" s="198"/>
      <c r="S32" s="198"/>
      <c r="T32" s="198"/>
      <c r="U32" s="199"/>
    </row>
    <row r="33" spans="1:21" ht="15.5">
      <c r="A33" s="85"/>
      <c r="B33" s="37">
        <f t="shared" si="1"/>
        <v>20</v>
      </c>
      <c r="C33" s="80" t="s">
        <v>46</v>
      </c>
      <c r="D33" s="80"/>
      <c r="E33" s="81"/>
      <c r="F33" s="84" t="s">
        <v>71</v>
      </c>
      <c r="G33" s="17"/>
      <c r="H33" s="18" t="s">
        <v>62</v>
      </c>
      <c r="I33" s="59"/>
      <c r="J33" s="19">
        <v>8</v>
      </c>
      <c r="K33" s="19"/>
      <c r="L33" s="50" t="s">
        <v>47</v>
      </c>
      <c r="M33" s="73" t="s">
        <v>35</v>
      </c>
      <c r="N33" s="54">
        <f t="shared" si="0"/>
        <v>8</v>
      </c>
      <c r="O33" s="170">
        <v>0</v>
      </c>
      <c r="P33" s="191" t="s">
        <v>48</v>
      </c>
      <c r="Q33" s="192"/>
      <c r="R33" s="192"/>
      <c r="S33" s="192"/>
      <c r="T33" s="192"/>
      <c r="U33" s="193"/>
    </row>
    <row r="34" spans="1:21" ht="16" thickBot="1">
      <c r="A34" s="118"/>
      <c r="B34" s="119"/>
      <c r="C34" s="120"/>
      <c r="D34" s="120"/>
      <c r="E34" s="121"/>
      <c r="F34" s="129"/>
      <c r="G34" s="122"/>
      <c r="H34" s="147"/>
      <c r="I34" s="148"/>
      <c r="J34" s="125"/>
      <c r="K34" s="125"/>
      <c r="L34" s="126"/>
      <c r="M34" s="126"/>
      <c r="N34" s="127"/>
      <c r="O34" s="172"/>
      <c r="P34" s="194"/>
      <c r="Q34" s="195"/>
      <c r="R34" s="195"/>
      <c r="S34" s="195"/>
      <c r="T34" s="195"/>
      <c r="U34" s="196"/>
    </row>
  </sheetData>
  <mergeCells count="51">
    <mergeCell ref="P34:U34"/>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5"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41986"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41987"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41988"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41989"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41990"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7A1DEFD-979D-4188-A156-C71C06AA89D9}">
            <xm:f>(AND(H14&lt;&gt;"",ISERROR(VLOOKUP(H14,system!$E:$E,1,FALSE))))</xm:f>
            <x14:dxf>
              <fill>
                <patternFill patternType="solid">
                  <bgColor rgb="FFFF0000"/>
                </patternFill>
              </fill>
            </x14:dxf>
          </x14:cfRule>
          <xm:sqref>H14:H26</xm:sqref>
        </x14:conditionalFormatting>
        <x14:conditionalFormatting xmlns:xm="http://schemas.microsoft.com/office/excel/2006/main">
          <x14:cfRule type="expression" priority="3" id="{1EF4C36C-6CCD-4452-AA8F-75E698035AD3}">
            <xm:f>(AND(H14&lt;&gt;"",ISERROR(VLOOKUP(H14,system!$E:$E,1,FALSE))))</xm:f>
            <x14:dxf>
              <fill>
                <patternFill>
                  <bgColor rgb="FFFF0000"/>
                </patternFill>
              </fill>
            </x14:dxf>
          </x14:cfRule>
          <xm:sqref>I14:I26</xm:sqref>
        </x14:conditionalFormatting>
        <x14:conditionalFormatting xmlns:xm="http://schemas.microsoft.com/office/excel/2006/main">
          <x14:cfRule type="expression" priority="2" id="{1031E92D-478A-43BF-BD55-30CBCA463785}">
            <xm:f>(AND(H27&lt;&gt;"",ISERROR(VLOOKUP(H27,system!$E:$E,1,FALSE))))</xm:f>
            <x14:dxf>
              <fill>
                <patternFill patternType="solid">
                  <bgColor rgb="FFFF0000"/>
                </patternFill>
              </fill>
            </x14:dxf>
          </x14:cfRule>
          <xm:sqref>H27:H34</xm:sqref>
        </x14:conditionalFormatting>
        <x14:conditionalFormatting xmlns:xm="http://schemas.microsoft.com/office/excel/2006/main">
          <x14:cfRule type="expression" priority="1" id="{769E46E0-5FDF-443F-9089-477C2104DC99}">
            <xm:f>(AND(H27&lt;&gt;"",ISERROR(VLOOKUP(H27,system!$E:$E,1,FALSE))))</xm:f>
            <x14:dxf>
              <fill>
                <patternFill>
                  <bgColor rgb="FFFF0000"/>
                </patternFill>
              </fill>
            </x14:dxf>
          </x14:cfRule>
          <xm:sqref>I27:I34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44F02-9882-4CE3-849A-E3DA6024DD58}">
  <sheetPr codeName="Sheet41">
    <pageSetUpPr fitToPage="1"/>
  </sheetPr>
  <dimension ref="A1:U2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567</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160</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SUM(N14:N28)</f>
        <v>128</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376</v>
      </c>
      <c r="D14" s="80"/>
      <c r="E14" s="81"/>
      <c r="F14" s="146"/>
      <c r="G14" s="17"/>
      <c r="H14" s="18" t="s">
        <v>49</v>
      </c>
      <c r="I14" s="59"/>
      <c r="J14" s="19">
        <v>4</v>
      </c>
      <c r="K14" s="19"/>
      <c r="L14" s="50" t="s">
        <v>189</v>
      </c>
      <c r="M14" s="73" t="s">
        <v>21</v>
      </c>
      <c r="N14" s="54">
        <f t="shared" ref="N14:N26" si="0">IF(H14="NUMBER",IF(J14&gt;0,INT((J14+1)/2+0.9),0),IF(H14="DATE",7,IF(OR(H14="LONG",H14="LONG RAW"),100000,J14)))</f>
        <v>4</v>
      </c>
      <c r="O14" s="170"/>
      <c r="P14" s="191"/>
      <c r="Q14" s="192"/>
      <c r="R14" s="192"/>
      <c r="S14" s="192"/>
      <c r="T14" s="192"/>
      <c r="U14" s="193"/>
    </row>
    <row r="15" spans="1:21" ht="15.75" customHeight="1">
      <c r="A15" s="85"/>
      <c r="B15" s="37">
        <f>ROW()-13</f>
        <v>2</v>
      </c>
      <c r="C15" s="145" t="s">
        <v>568</v>
      </c>
      <c r="D15" s="80"/>
      <c r="E15" s="81"/>
      <c r="F15" s="146"/>
      <c r="G15" s="17"/>
      <c r="H15" s="18" t="s">
        <v>51</v>
      </c>
      <c r="I15" s="59"/>
      <c r="J15" s="19">
        <v>20</v>
      </c>
      <c r="K15" s="19"/>
      <c r="L15" s="50" t="s">
        <v>189</v>
      </c>
      <c r="M15" s="73" t="s">
        <v>21</v>
      </c>
      <c r="N15" s="54">
        <f t="shared" si="0"/>
        <v>20</v>
      </c>
      <c r="O15" s="170"/>
      <c r="P15" s="191"/>
      <c r="Q15" s="192"/>
      <c r="R15" s="192"/>
      <c r="S15" s="192"/>
      <c r="T15" s="192"/>
      <c r="U15" s="193"/>
    </row>
    <row r="16" spans="1:21" ht="15.75" customHeight="1">
      <c r="A16" s="85"/>
      <c r="B16" s="37">
        <f>ROW()-13</f>
        <v>3</v>
      </c>
      <c r="C16" s="145" t="s">
        <v>569</v>
      </c>
      <c r="D16" s="80"/>
      <c r="E16" s="81"/>
      <c r="F16" s="146"/>
      <c r="G16" s="17"/>
      <c r="H16" s="18" t="s">
        <v>211</v>
      </c>
      <c r="I16" s="59"/>
      <c r="J16" s="19"/>
      <c r="K16" s="19"/>
      <c r="L16" s="50" t="s">
        <v>189</v>
      </c>
      <c r="M16" s="73" t="s">
        <v>21</v>
      </c>
      <c r="N16" s="54">
        <f t="shared" si="0"/>
        <v>0</v>
      </c>
      <c r="O16" s="170"/>
      <c r="P16" s="191"/>
      <c r="Q16" s="192"/>
      <c r="R16" s="192"/>
      <c r="S16" s="192"/>
      <c r="T16" s="192"/>
      <c r="U16" s="193"/>
    </row>
    <row r="17" spans="1:21" ht="27.5" customHeight="1">
      <c r="A17" s="85"/>
      <c r="B17" s="37">
        <f>ROW()-13</f>
        <v>4</v>
      </c>
      <c r="C17" s="145" t="s">
        <v>570</v>
      </c>
      <c r="D17" s="80"/>
      <c r="E17" s="81"/>
      <c r="F17" s="146"/>
      <c r="G17" s="17"/>
      <c r="H17" s="18" t="s">
        <v>49</v>
      </c>
      <c r="I17" s="59"/>
      <c r="J17" s="19">
        <v>1</v>
      </c>
      <c r="K17" s="19"/>
      <c r="L17" s="50" t="s">
        <v>189</v>
      </c>
      <c r="M17" s="73" t="s">
        <v>21</v>
      </c>
      <c r="N17" s="54">
        <f t="shared" si="0"/>
        <v>1</v>
      </c>
      <c r="O17" s="170"/>
      <c r="P17" s="251" t="s">
        <v>571</v>
      </c>
      <c r="Q17" s="192"/>
      <c r="R17" s="192"/>
      <c r="S17" s="192"/>
      <c r="T17" s="192"/>
      <c r="U17" s="193"/>
    </row>
    <row r="18" spans="1:21" ht="27.5" customHeight="1">
      <c r="A18" s="85"/>
      <c r="B18" s="37">
        <f>ROW()-13</f>
        <v>5</v>
      </c>
      <c r="C18" s="145" t="s">
        <v>227</v>
      </c>
      <c r="D18" s="80"/>
      <c r="E18" s="81"/>
      <c r="F18" s="146"/>
      <c r="G18" s="17"/>
      <c r="H18" s="18" t="s">
        <v>49</v>
      </c>
      <c r="I18" s="59"/>
      <c r="J18" s="19">
        <v>1</v>
      </c>
      <c r="K18" s="19"/>
      <c r="L18" s="50"/>
      <c r="M18" s="73" t="s">
        <v>21</v>
      </c>
      <c r="N18" s="54">
        <f t="shared" si="0"/>
        <v>1</v>
      </c>
      <c r="O18" s="170"/>
      <c r="P18" s="251" t="s">
        <v>228</v>
      </c>
      <c r="Q18" s="192"/>
      <c r="R18" s="192"/>
      <c r="S18" s="192"/>
      <c r="T18" s="192"/>
      <c r="U18" s="193"/>
    </row>
    <row r="19" spans="1:21" ht="15.75" customHeight="1">
      <c r="A19" s="85"/>
      <c r="B19" s="37">
        <f>ROW()-13</f>
        <v>6</v>
      </c>
      <c r="C19" s="145" t="s">
        <v>276</v>
      </c>
      <c r="D19" s="80"/>
      <c r="E19" s="81"/>
      <c r="F19" s="146" t="s">
        <v>534</v>
      </c>
      <c r="G19" s="17"/>
      <c r="H19" s="18" t="s">
        <v>51</v>
      </c>
      <c r="I19" s="59"/>
      <c r="J19" s="19">
        <v>50</v>
      </c>
      <c r="K19" s="19"/>
      <c r="L19" s="50"/>
      <c r="M19" s="73" t="s">
        <v>21</v>
      </c>
      <c r="N19" s="54">
        <f t="shared" si="0"/>
        <v>50</v>
      </c>
      <c r="O19" s="170"/>
      <c r="P19" s="191"/>
      <c r="Q19" s="192"/>
      <c r="R19" s="192"/>
      <c r="S19" s="192"/>
      <c r="T19" s="192"/>
      <c r="U19" s="193"/>
    </row>
    <row r="20" spans="1:21" ht="15.5">
      <c r="A20" s="85"/>
      <c r="B20" s="37">
        <f t="shared" ref="B20:B26" si="1">ROW()-13</f>
        <v>7</v>
      </c>
      <c r="C20" s="107" t="s">
        <v>36</v>
      </c>
      <c r="D20" s="107"/>
      <c r="E20" s="108"/>
      <c r="F20" s="109" t="s">
        <v>78</v>
      </c>
      <c r="G20" s="110"/>
      <c r="H20" s="18" t="s">
        <v>51</v>
      </c>
      <c r="I20" s="59"/>
      <c r="J20" s="113">
        <v>12</v>
      </c>
      <c r="K20" s="113"/>
      <c r="L20" s="114"/>
      <c r="M20" s="115" t="s">
        <v>35</v>
      </c>
      <c r="N20" s="116">
        <f t="shared" si="0"/>
        <v>12</v>
      </c>
      <c r="O20" s="171"/>
      <c r="P20" s="197"/>
      <c r="Q20" s="198"/>
      <c r="R20" s="198"/>
      <c r="S20" s="198"/>
      <c r="T20" s="198"/>
      <c r="U20" s="199"/>
    </row>
    <row r="21" spans="1:21" ht="15.5">
      <c r="A21" s="85"/>
      <c r="B21" s="37">
        <f t="shared" si="1"/>
        <v>8</v>
      </c>
      <c r="C21" s="107" t="s">
        <v>37</v>
      </c>
      <c r="D21" s="107"/>
      <c r="E21" s="108"/>
      <c r="F21" s="109" t="s">
        <v>43</v>
      </c>
      <c r="G21" s="110"/>
      <c r="H21" s="18" t="s">
        <v>51</v>
      </c>
      <c r="I21" s="59"/>
      <c r="J21" s="113">
        <v>10</v>
      </c>
      <c r="K21" s="113"/>
      <c r="L21" s="114"/>
      <c r="M21" s="115" t="s">
        <v>21</v>
      </c>
      <c r="N21" s="116">
        <f t="shared" si="0"/>
        <v>10</v>
      </c>
      <c r="O21" s="171"/>
      <c r="P21" s="197"/>
      <c r="Q21" s="198"/>
      <c r="R21" s="198"/>
      <c r="S21" s="198"/>
      <c r="T21" s="198"/>
      <c r="U21" s="199"/>
    </row>
    <row r="22" spans="1:21" ht="15.5">
      <c r="A22" s="85"/>
      <c r="B22" s="37">
        <f t="shared" si="1"/>
        <v>9</v>
      </c>
      <c r="C22" s="107" t="s">
        <v>38</v>
      </c>
      <c r="D22" s="107"/>
      <c r="E22" s="108"/>
      <c r="F22" s="109" t="s">
        <v>80</v>
      </c>
      <c r="G22" s="110"/>
      <c r="H22" s="18" t="s">
        <v>86</v>
      </c>
      <c r="I22" s="59"/>
      <c r="J22" s="113"/>
      <c r="K22" s="113"/>
      <c r="L22" s="114"/>
      <c r="M22" s="115" t="s">
        <v>21</v>
      </c>
      <c r="N22" s="116">
        <f t="shared" si="0"/>
        <v>0</v>
      </c>
      <c r="O22" s="171"/>
      <c r="P22" s="197"/>
      <c r="Q22" s="198"/>
      <c r="R22" s="198"/>
      <c r="S22" s="198"/>
      <c r="T22" s="198"/>
      <c r="U22" s="199"/>
    </row>
    <row r="23" spans="1:21" ht="15.5">
      <c r="A23" s="85"/>
      <c r="B23" s="37">
        <f t="shared" si="1"/>
        <v>10</v>
      </c>
      <c r="C23" s="107" t="s">
        <v>39</v>
      </c>
      <c r="D23" s="107"/>
      <c r="E23" s="108"/>
      <c r="F23" s="109" t="s">
        <v>79</v>
      </c>
      <c r="G23" s="110"/>
      <c r="H23" s="18" t="s">
        <v>51</v>
      </c>
      <c r="I23" s="59"/>
      <c r="J23" s="113">
        <v>12</v>
      </c>
      <c r="K23" s="113"/>
      <c r="L23" s="114"/>
      <c r="M23" s="115" t="s">
        <v>35</v>
      </c>
      <c r="N23" s="116">
        <f t="shared" si="0"/>
        <v>12</v>
      </c>
      <c r="O23" s="171"/>
      <c r="P23" s="197"/>
      <c r="Q23" s="198"/>
      <c r="R23" s="198"/>
      <c r="S23" s="198"/>
      <c r="T23" s="198"/>
      <c r="U23" s="199"/>
    </row>
    <row r="24" spans="1:21" ht="15.5">
      <c r="A24" s="85"/>
      <c r="B24" s="37">
        <f t="shared" si="1"/>
        <v>11</v>
      </c>
      <c r="C24" s="107" t="s">
        <v>40</v>
      </c>
      <c r="D24" s="107"/>
      <c r="E24" s="108"/>
      <c r="F24" s="109" t="s">
        <v>44</v>
      </c>
      <c r="G24" s="110"/>
      <c r="H24" s="18" t="s">
        <v>51</v>
      </c>
      <c r="I24" s="59"/>
      <c r="J24" s="113">
        <v>10</v>
      </c>
      <c r="K24" s="113"/>
      <c r="L24" s="114"/>
      <c r="M24" s="115" t="s">
        <v>21</v>
      </c>
      <c r="N24" s="116">
        <f t="shared" si="0"/>
        <v>10</v>
      </c>
      <c r="O24" s="171"/>
      <c r="P24" s="197"/>
      <c r="Q24" s="198"/>
      <c r="R24" s="198"/>
      <c r="S24" s="198"/>
      <c r="T24" s="198"/>
      <c r="U24" s="199"/>
    </row>
    <row r="25" spans="1:21" ht="15.5">
      <c r="A25" s="85"/>
      <c r="B25" s="37">
        <f t="shared" si="1"/>
        <v>12</v>
      </c>
      <c r="C25" s="107" t="s">
        <v>41</v>
      </c>
      <c r="D25" s="107"/>
      <c r="E25" s="108"/>
      <c r="F25" s="109" t="s">
        <v>81</v>
      </c>
      <c r="G25" s="110"/>
      <c r="H25" s="18" t="s">
        <v>86</v>
      </c>
      <c r="I25" s="59"/>
      <c r="J25" s="113"/>
      <c r="K25" s="113"/>
      <c r="L25" s="114"/>
      <c r="M25" s="115" t="s">
        <v>21</v>
      </c>
      <c r="N25" s="116">
        <f t="shared" si="0"/>
        <v>0</v>
      </c>
      <c r="O25" s="171"/>
      <c r="P25" s="197"/>
      <c r="Q25" s="198"/>
      <c r="R25" s="198"/>
      <c r="S25" s="198"/>
      <c r="T25" s="198"/>
      <c r="U25" s="199"/>
    </row>
    <row r="26" spans="1:21" ht="15.5">
      <c r="A26" s="85"/>
      <c r="B26" s="37">
        <f t="shared" si="1"/>
        <v>13</v>
      </c>
      <c r="C26" s="80" t="s">
        <v>46</v>
      </c>
      <c r="D26" s="80"/>
      <c r="E26" s="81"/>
      <c r="F26" s="84" t="s">
        <v>71</v>
      </c>
      <c r="G26" s="17"/>
      <c r="H26" s="18" t="s">
        <v>62</v>
      </c>
      <c r="I26" s="59"/>
      <c r="J26" s="19">
        <v>8</v>
      </c>
      <c r="K26" s="19"/>
      <c r="L26" s="50" t="s">
        <v>47</v>
      </c>
      <c r="M26" s="73" t="s">
        <v>35</v>
      </c>
      <c r="N26" s="54">
        <f t="shared" si="0"/>
        <v>8</v>
      </c>
      <c r="O26" s="170">
        <v>0</v>
      </c>
      <c r="P26" s="191" t="s">
        <v>48</v>
      </c>
      <c r="Q26" s="192"/>
      <c r="R26" s="192"/>
      <c r="S26" s="192"/>
      <c r="T26" s="192"/>
      <c r="U26" s="193"/>
    </row>
    <row r="27" spans="1:21" ht="16" thickBot="1">
      <c r="A27" s="118"/>
      <c r="B27" s="119"/>
      <c r="C27" s="120"/>
      <c r="D27" s="120"/>
      <c r="E27" s="121"/>
      <c r="F27" s="129"/>
      <c r="G27" s="122"/>
      <c r="H27" s="147"/>
      <c r="I27" s="148"/>
      <c r="J27" s="125"/>
      <c r="K27" s="125"/>
      <c r="L27" s="126"/>
      <c r="M27" s="126"/>
      <c r="N27" s="127"/>
      <c r="O27" s="172"/>
      <c r="P27" s="194"/>
      <c r="Q27" s="195"/>
      <c r="R27" s="195"/>
      <c r="S27" s="195"/>
      <c r="T27" s="195"/>
      <c r="U27" s="196"/>
    </row>
  </sheetData>
  <mergeCells count="44">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09"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43010"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43011"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43012"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43013"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43014"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4F63811-1C6A-421F-A019-31B1F0A38AEA}">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B9D1CA11-D072-4F23-A98A-3F1D522FA347}">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AE7B671F-F0ED-46E8-AD43-B566E40F12E1}">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154B0DD7-DA77-45AA-B172-E89C800E3303}">
            <xm:f>(AND(H20&lt;&gt;"",ISERROR(VLOOKUP(H20,system!$E:$E,1,FALSE))))</xm:f>
            <x14:dxf>
              <fill>
                <patternFill>
                  <bgColor rgb="FFFF0000"/>
                </patternFill>
              </fill>
            </x14:dxf>
          </x14:cfRule>
          <xm:sqref>I20:I27</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878AD-1419-4EE2-B8A7-B5B5AB79E8BB}">
  <sheetPr codeName="Sheet42">
    <pageSetUpPr fitToPage="1"/>
  </sheetPr>
  <dimension ref="A1:U32"/>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573</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161</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SUM(N14:N33)</f>
        <v>146</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31" si="0">IF(H14="NUMBER",IF(J14&gt;0,INT((J14+1)/2+0.9),0),IF(H14="DATE",7,IF(OR(H14="LONG",H14="LONG RAW"),100000,J14)))</f>
        <v>1</v>
      </c>
      <c r="O14" s="170"/>
      <c r="P14" s="191" t="s">
        <v>175</v>
      </c>
      <c r="Q14" s="192"/>
      <c r="R14" s="192"/>
      <c r="S14" s="192"/>
      <c r="T14" s="192"/>
      <c r="U14" s="193"/>
    </row>
    <row r="15" spans="1:21" ht="15.75" customHeight="1">
      <c r="A15" s="85" t="s">
        <v>190</v>
      </c>
      <c r="B15" s="37">
        <f>ROW()-13</f>
        <v>2</v>
      </c>
      <c r="C15" s="145" t="s">
        <v>212</v>
      </c>
      <c r="D15" s="80"/>
      <c r="E15" s="81"/>
      <c r="F15" s="146"/>
      <c r="G15" s="17"/>
      <c r="H15" s="18" t="s">
        <v>49</v>
      </c>
      <c r="I15" s="59"/>
      <c r="J15" s="19">
        <v>4</v>
      </c>
      <c r="K15" s="19"/>
      <c r="L15" s="50" t="s">
        <v>189</v>
      </c>
      <c r="M15" s="73" t="s">
        <v>21</v>
      </c>
      <c r="N15" s="54">
        <f t="shared" si="0"/>
        <v>4</v>
      </c>
      <c r="O15" s="170"/>
      <c r="P15" s="191"/>
      <c r="Q15" s="192"/>
      <c r="R15" s="192"/>
      <c r="S15" s="192"/>
      <c r="T15" s="192"/>
      <c r="U15" s="193"/>
    </row>
    <row r="16" spans="1:21" ht="15.75" customHeight="1">
      <c r="A16" s="85"/>
      <c r="B16" s="37">
        <f>ROW()-13</f>
        <v>3</v>
      </c>
      <c r="C16" s="145" t="s">
        <v>574</v>
      </c>
      <c r="D16" s="80"/>
      <c r="E16" s="81"/>
      <c r="F16" s="146"/>
      <c r="G16" s="17"/>
      <c r="H16" s="18" t="s">
        <v>51</v>
      </c>
      <c r="I16" s="59"/>
      <c r="J16" s="19">
        <v>20</v>
      </c>
      <c r="K16" s="19"/>
      <c r="L16" s="50" t="s">
        <v>189</v>
      </c>
      <c r="M16" s="73" t="s">
        <v>21</v>
      </c>
      <c r="N16" s="54">
        <f t="shared" si="0"/>
        <v>20</v>
      </c>
      <c r="O16" s="170"/>
      <c r="P16" s="191"/>
      <c r="Q16" s="192"/>
      <c r="R16" s="192"/>
      <c r="S16" s="192"/>
      <c r="T16" s="192"/>
      <c r="U16" s="193"/>
    </row>
    <row r="17" spans="1:21" ht="15.75" customHeight="1">
      <c r="A17" s="85"/>
      <c r="B17" s="37">
        <f>ROW()-13</f>
        <v>4</v>
      </c>
      <c r="C17" s="145" t="s">
        <v>575</v>
      </c>
      <c r="D17" s="80"/>
      <c r="E17" s="81"/>
      <c r="F17" s="146"/>
      <c r="G17" s="17"/>
      <c r="H17" s="18" t="s">
        <v>49</v>
      </c>
      <c r="I17" s="59"/>
      <c r="J17" s="19">
        <v>1</v>
      </c>
      <c r="K17" s="19"/>
      <c r="L17" s="50" t="s">
        <v>189</v>
      </c>
      <c r="M17" s="73" t="s">
        <v>21</v>
      </c>
      <c r="N17" s="54">
        <f t="shared" si="0"/>
        <v>1</v>
      </c>
      <c r="O17" s="170"/>
      <c r="P17" s="191"/>
      <c r="Q17" s="192"/>
      <c r="R17" s="192"/>
      <c r="S17" s="192"/>
      <c r="T17" s="192"/>
      <c r="U17" s="193"/>
    </row>
    <row r="18" spans="1:21" ht="15.75" customHeight="1">
      <c r="A18" s="85"/>
      <c r="B18" s="37">
        <f>ROW()-13</f>
        <v>5</v>
      </c>
      <c r="C18" s="145" t="s">
        <v>193</v>
      </c>
      <c r="D18" s="80"/>
      <c r="E18" s="81"/>
      <c r="F18" s="146"/>
      <c r="G18" s="17"/>
      <c r="H18" s="18" t="s">
        <v>49</v>
      </c>
      <c r="I18" s="59"/>
      <c r="J18" s="19">
        <v>2</v>
      </c>
      <c r="K18" s="19"/>
      <c r="L18" s="50"/>
      <c r="M18" s="73" t="s">
        <v>21</v>
      </c>
      <c r="N18" s="54">
        <f t="shared" si="0"/>
        <v>2</v>
      </c>
      <c r="O18" s="170"/>
      <c r="P18" s="191" t="s">
        <v>162</v>
      </c>
      <c r="Q18" s="192"/>
      <c r="R18" s="192"/>
      <c r="S18" s="192"/>
      <c r="T18" s="192"/>
      <c r="U18" s="193"/>
    </row>
    <row r="19" spans="1:21" ht="15.75" customHeight="1">
      <c r="A19" s="85"/>
      <c r="B19" s="37">
        <f>ROW()-13</f>
        <v>6</v>
      </c>
      <c r="C19" s="145" t="s">
        <v>322</v>
      </c>
      <c r="D19" s="80"/>
      <c r="E19" s="81"/>
      <c r="F19" s="146"/>
      <c r="G19" s="17"/>
      <c r="H19" s="18" t="s">
        <v>51</v>
      </c>
      <c r="I19" s="59"/>
      <c r="J19" s="19">
        <v>10</v>
      </c>
      <c r="K19" s="19"/>
      <c r="L19" s="50" t="s">
        <v>189</v>
      </c>
      <c r="M19" s="73" t="s">
        <v>21</v>
      </c>
      <c r="N19" s="54">
        <f t="shared" si="0"/>
        <v>10</v>
      </c>
      <c r="O19" s="170"/>
      <c r="P19" s="191" t="s">
        <v>163</v>
      </c>
      <c r="Q19" s="192"/>
      <c r="R19" s="192"/>
      <c r="S19" s="192"/>
      <c r="T19" s="192"/>
      <c r="U19" s="193"/>
    </row>
    <row r="20" spans="1:21" ht="15.75" customHeight="1">
      <c r="A20" s="85"/>
      <c r="B20" s="37">
        <f>ROW()-13</f>
        <v>7</v>
      </c>
      <c r="C20" s="145" t="s">
        <v>576</v>
      </c>
      <c r="D20" s="80"/>
      <c r="E20" s="81"/>
      <c r="F20" s="146"/>
      <c r="G20" s="17"/>
      <c r="H20" s="18" t="s">
        <v>51</v>
      </c>
      <c r="I20" s="59"/>
      <c r="J20" s="19">
        <v>4</v>
      </c>
      <c r="K20" s="19"/>
      <c r="L20" s="50"/>
      <c r="M20" s="73" t="s">
        <v>21</v>
      </c>
      <c r="N20" s="54">
        <f t="shared" si="0"/>
        <v>4</v>
      </c>
      <c r="O20" s="170"/>
      <c r="P20" s="191" t="s">
        <v>203</v>
      </c>
      <c r="Q20" s="192"/>
      <c r="R20" s="192"/>
      <c r="S20" s="192"/>
      <c r="T20" s="192"/>
      <c r="U20" s="193"/>
    </row>
    <row r="21" spans="1:21" ht="15.75" customHeight="1">
      <c r="A21" s="85"/>
      <c r="B21" s="37">
        <f>ROW()-13</f>
        <v>8</v>
      </c>
      <c r="C21" s="145" t="s">
        <v>569</v>
      </c>
      <c r="D21" s="80"/>
      <c r="E21" s="81"/>
      <c r="F21" s="146"/>
      <c r="G21" s="17"/>
      <c r="H21" s="18" t="s">
        <v>211</v>
      </c>
      <c r="I21" s="59"/>
      <c r="J21" s="19"/>
      <c r="K21" s="19"/>
      <c r="L21" s="50"/>
      <c r="M21" s="73" t="s">
        <v>21</v>
      </c>
      <c r="N21" s="54">
        <f t="shared" si="0"/>
        <v>0</v>
      </c>
      <c r="O21" s="170"/>
      <c r="P21" s="191"/>
      <c r="Q21" s="192"/>
      <c r="R21" s="192"/>
      <c r="S21" s="192"/>
      <c r="T21" s="192"/>
      <c r="U21" s="193"/>
    </row>
    <row r="22" spans="1:21" ht="27.5" customHeight="1">
      <c r="A22" s="85"/>
      <c r="B22" s="37">
        <f>ROW()-13</f>
        <v>9</v>
      </c>
      <c r="C22" s="145" t="s">
        <v>577</v>
      </c>
      <c r="D22" s="80"/>
      <c r="E22" s="81"/>
      <c r="F22" s="146"/>
      <c r="G22" s="17"/>
      <c r="H22" s="18" t="s">
        <v>49</v>
      </c>
      <c r="I22" s="59"/>
      <c r="J22" s="19">
        <v>1</v>
      </c>
      <c r="K22" s="19"/>
      <c r="L22" s="50"/>
      <c r="M22" s="73" t="s">
        <v>21</v>
      </c>
      <c r="N22" s="54">
        <f t="shared" si="0"/>
        <v>1</v>
      </c>
      <c r="O22" s="170"/>
      <c r="P22" s="251" t="s">
        <v>578</v>
      </c>
      <c r="Q22" s="192"/>
      <c r="R22" s="192"/>
      <c r="S22" s="192"/>
      <c r="T22" s="192"/>
      <c r="U22" s="193"/>
    </row>
    <row r="23" spans="1:21" ht="27.5" customHeight="1">
      <c r="A23" s="85"/>
      <c r="B23" s="37">
        <f>ROW()-13</f>
        <v>10</v>
      </c>
      <c r="C23" s="145" t="s">
        <v>227</v>
      </c>
      <c r="D23" s="80"/>
      <c r="E23" s="81"/>
      <c r="F23" s="146"/>
      <c r="G23" s="17"/>
      <c r="H23" s="18" t="s">
        <v>49</v>
      </c>
      <c r="I23" s="59"/>
      <c r="J23" s="19">
        <v>1</v>
      </c>
      <c r="K23" s="19"/>
      <c r="L23" s="50"/>
      <c r="M23" s="73" t="s">
        <v>21</v>
      </c>
      <c r="N23" s="54">
        <f t="shared" si="0"/>
        <v>1</v>
      </c>
      <c r="O23" s="170"/>
      <c r="P23" s="251" t="s">
        <v>228</v>
      </c>
      <c r="Q23" s="192"/>
      <c r="R23" s="192"/>
      <c r="S23" s="192"/>
      <c r="T23" s="192"/>
      <c r="U23" s="193"/>
    </row>
    <row r="24" spans="1:21" ht="15.75" customHeight="1">
      <c r="A24" s="85"/>
      <c r="B24" s="37">
        <f>ROW()-13</f>
        <v>11</v>
      </c>
      <c r="C24" s="145" t="s">
        <v>276</v>
      </c>
      <c r="D24" s="80"/>
      <c r="E24" s="81"/>
      <c r="F24" s="146" t="s">
        <v>534</v>
      </c>
      <c r="G24" s="17"/>
      <c r="H24" s="18" t="s">
        <v>51</v>
      </c>
      <c r="I24" s="59"/>
      <c r="J24" s="19">
        <v>50</v>
      </c>
      <c r="K24" s="19"/>
      <c r="L24" s="50"/>
      <c r="M24" s="73" t="s">
        <v>21</v>
      </c>
      <c r="N24" s="54">
        <f t="shared" si="0"/>
        <v>50</v>
      </c>
      <c r="O24" s="170"/>
      <c r="P24" s="191"/>
      <c r="Q24" s="192"/>
      <c r="R24" s="192"/>
      <c r="S24" s="192"/>
      <c r="T24" s="192"/>
      <c r="U24" s="193"/>
    </row>
    <row r="25" spans="1:21" ht="15.5">
      <c r="A25" s="85"/>
      <c r="B25" s="37">
        <f t="shared" ref="B25:B31" si="1">ROW()-13</f>
        <v>12</v>
      </c>
      <c r="C25" s="107" t="s">
        <v>36</v>
      </c>
      <c r="D25" s="107"/>
      <c r="E25" s="108"/>
      <c r="F25" s="109" t="s">
        <v>78</v>
      </c>
      <c r="G25" s="110"/>
      <c r="H25" s="18" t="s">
        <v>51</v>
      </c>
      <c r="I25" s="59"/>
      <c r="J25" s="113">
        <v>12</v>
      </c>
      <c r="K25" s="113"/>
      <c r="L25" s="114"/>
      <c r="M25" s="115" t="s">
        <v>35</v>
      </c>
      <c r="N25" s="116">
        <f t="shared" si="0"/>
        <v>12</v>
      </c>
      <c r="O25" s="171"/>
      <c r="P25" s="197"/>
      <c r="Q25" s="198"/>
      <c r="R25" s="198"/>
      <c r="S25" s="198"/>
      <c r="T25" s="198"/>
      <c r="U25" s="199"/>
    </row>
    <row r="26" spans="1:21" ht="15.5">
      <c r="A26" s="85"/>
      <c r="B26" s="37">
        <f t="shared" si="1"/>
        <v>13</v>
      </c>
      <c r="C26" s="107" t="s">
        <v>37</v>
      </c>
      <c r="D26" s="107"/>
      <c r="E26" s="108"/>
      <c r="F26" s="109" t="s">
        <v>43</v>
      </c>
      <c r="G26" s="110"/>
      <c r="H26" s="18" t="s">
        <v>51</v>
      </c>
      <c r="I26" s="59"/>
      <c r="J26" s="113">
        <v>10</v>
      </c>
      <c r="K26" s="113"/>
      <c r="L26" s="114"/>
      <c r="M26" s="115" t="s">
        <v>21</v>
      </c>
      <c r="N26" s="116">
        <f t="shared" si="0"/>
        <v>10</v>
      </c>
      <c r="O26" s="171"/>
      <c r="P26" s="197"/>
      <c r="Q26" s="198"/>
      <c r="R26" s="198"/>
      <c r="S26" s="198"/>
      <c r="T26" s="198"/>
      <c r="U26" s="199"/>
    </row>
    <row r="27" spans="1:21" ht="15.5">
      <c r="A27" s="85"/>
      <c r="B27" s="37">
        <f t="shared" si="1"/>
        <v>14</v>
      </c>
      <c r="C27" s="107" t="s">
        <v>38</v>
      </c>
      <c r="D27" s="107"/>
      <c r="E27" s="108"/>
      <c r="F27" s="109" t="s">
        <v>80</v>
      </c>
      <c r="G27" s="110"/>
      <c r="H27" s="18" t="s">
        <v>86</v>
      </c>
      <c r="I27" s="59"/>
      <c r="J27" s="113"/>
      <c r="K27" s="113"/>
      <c r="L27" s="114"/>
      <c r="M27" s="115" t="s">
        <v>21</v>
      </c>
      <c r="N27" s="116">
        <f t="shared" si="0"/>
        <v>0</v>
      </c>
      <c r="O27" s="171"/>
      <c r="P27" s="197"/>
      <c r="Q27" s="198"/>
      <c r="R27" s="198"/>
      <c r="S27" s="198"/>
      <c r="T27" s="198"/>
      <c r="U27" s="199"/>
    </row>
    <row r="28" spans="1:21" ht="15.5">
      <c r="A28" s="85"/>
      <c r="B28" s="37">
        <f t="shared" si="1"/>
        <v>15</v>
      </c>
      <c r="C28" s="107" t="s">
        <v>39</v>
      </c>
      <c r="D28" s="107"/>
      <c r="E28" s="108"/>
      <c r="F28" s="109" t="s">
        <v>79</v>
      </c>
      <c r="G28" s="110"/>
      <c r="H28" s="18" t="s">
        <v>51</v>
      </c>
      <c r="I28" s="59"/>
      <c r="J28" s="113">
        <v>12</v>
      </c>
      <c r="K28" s="113"/>
      <c r="L28" s="114"/>
      <c r="M28" s="115" t="s">
        <v>35</v>
      </c>
      <c r="N28" s="116">
        <f t="shared" si="0"/>
        <v>12</v>
      </c>
      <c r="O28" s="171"/>
      <c r="P28" s="197"/>
      <c r="Q28" s="198"/>
      <c r="R28" s="198"/>
      <c r="S28" s="198"/>
      <c r="T28" s="198"/>
      <c r="U28" s="199"/>
    </row>
    <row r="29" spans="1:21" ht="15.5">
      <c r="A29" s="85"/>
      <c r="B29" s="37">
        <f t="shared" si="1"/>
        <v>16</v>
      </c>
      <c r="C29" s="107" t="s">
        <v>40</v>
      </c>
      <c r="D29" s="107"/>
      <c r="E29" s="108"/>
      <c r="F29" s="109" t="s">
        <v>44</v>
      </c>
      <c r="G29" s="110"/>
      <c r="H29" s="18" t="s">
        <v>51</v>
      </c>
      <c r="I29" s="59"/>
      <c r="J29" s="113">
        <v>10</v>
      </c>
      <c r="K29" s="113"/>
      <c r="L29" s="114"/>
      <c r="M29" s="115" t="s">
        <v>21</v>
      </c>
      <c r="N29" s="116">
        <f t="shared" si="0"/>
        <v>10</v>
      </c>
      <c r="O29" s="171"/>
      <c r="P29" s="197"/>
      <c r="Q29" s="198"/>
      <c r="R29" s="198"/>
      <c r="S29" s="198"/>
      <c r="T29" s="198"/>
      <c r="U29" s="199"/>
    </row>
    <row r="30" spans="1:21" ht="15.5">
      <c r="A30" s="85"/>
      <c r="B30" s="37">
        <f t="shared" si="1"/>
        <v>17</v>
      </c>
      <c r="C30" s="107" t="s">
        <v>41</v>
      </c>
      <c r="D30" s="107"/>
      <c r="E30" s="108"/>
      <c r="F30" s="109" t="s">
        <v>81</v>
      </c>
      <c r="G30" s="110"/>
      <c r="H30" s="18" t="s">
        <v>86</v>
      </c>
      <c r="I30" s="59"/>
      <c r="J30" s="113"/>
      <c r="K30" s="113"/>
      <c r="L30" s="114"/>
      <c r="M30" s="115" t="s">
        <v>21</v>
      </c>
      <c r="N30" s="116">
        <f t="shared" si="0"/>
        <v>0</v>
      </c>
      <c r="O30" s="171"/>
      <c r="P30" s="197"/>
      <c r="Q30" s="198"/>
      <c r="R30" s="198"/>
      <c r="S30" s="198"/>
      <c r="T30" s="198"/>
      <c r="U30" s="199"/>
    </row>
    <row r="31" spans="1:21" ht="15.5">
      <c r="A31" s="85"/>
      <c r="B31" s="37">
        <f t="shared" si="1"/>
        <v>18</v>
      </c>
      <c r="C31" s="80" t="s">
        <v>46</v>
      </c>
      <c r="D31" s="80"/>
      <c r="E31" s="81"/>
      <c r="F31" s="84" t="s">
        <v>71</v>
      </c>
      <c r="G31" s="17"/>
      <c r="H31" s="18" t="s">
        <v>62</v>
      </c>
      <c r="I31" s="59"/>
      <c r="J31" s="19">
        <v>8</v>
      </c>
      <c r="K31" s="19"/>
      <c r="L31" s="50" t="s">
        <v>47</v>
      </c>
      <c r="M31" s="73" t="s">
        <v>35</v>
      </c>
      <c r="N31" s="54">
        <f t="shared" si="0"/>
        <v>8</v>
      </c>
      <c r="O31" s="170">
        <v>0</v>
      </c>
      <c r="P31" s="191" t="s">
        <v>48</v>
      </c>
      <c r="Q31" s="192"/>
      <c r="R31" s="192"/>
      <c r="S31" s="192"/>
      <c r="T31" s="192"/>
      <c r="U31" s="193"/>
    </row>
    <row r="32" spans="1:21" ht="16" thickBot="1">
      <c r="A32" s="118"/>
      <c r="B32" s="119"/>
      <c r="C32" s="120"/>
      <c r="D32" s="120"/>
      <c r="E32" s="121"/>
      <c r="F32" s="129"/>
      <c r="G32" s="122"/>
      <c r="H32" s="147"/>
      <c r="I32" s="148"/>
      <c r="J32" s="125"/>
      <c r="K32" s="125"/>
      <c r="L32" s="126"/>
      <c r="M32" s="126"/>
      <c r="N32" s="127"/>
      <c r="O32" s="172"/>
      <c r="P32" s="194"/>
      <c r="Q32" s="195"/>
      <c r="R32" s="195"/>
      <c r="S32" s="195"/>
      <c r="T32" s="195"/>
      <c r="U32" s="196"/>
    </row>
  </sheetData>
  <mergeCells count="49">
    <mergeCell ref="P28:U28"/>
    <mergeCell ref="P29:U29"/>
    <mergeCell ref="P30:U30"/>
    <mergeCell ref="P31:U31"/>
    <mergeCell ref="P32:U32"/>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3"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44034"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44035"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44036"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44037"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44038"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9A14C93-2381-40C2-8432-1F5B8FD5FB0F}">
            <xm:f>(AND(H14&lt;&gt;"",ISERROR(VLOOKUP(H14,system!$E:$E,1,FALSE))))</xm:f>
            <x14:dxf>
              <fill>
                <patternFill patternType="solid">
                  <bgColor rgb="FFFF0000"/>
                </patternFill>
              </fill>
            </x14:dxf>
          </x14:cfRule>
          <xm:sqref>H14:H24</xm:sqref>
        </x14:conditionalFormatting>
        <x14:conditionalFormatting xmlns:xm="http://schemas.microsoft.com/office/excel/2006/main">
          <x14:cfRule type="expression" priority="3" id="{153967AD-EFD3-4E6E-85CD-432FB3B7BD99}">
            <xm:f>(AND(H14&lt;&gt;"",ISERROR(VLOOKUP(H14,system!$E:$E,1,FALSE))))</xm:f>
            <x14:dxf>
              <fill>
                <patternFill>
                  <bgColor rgb="FFFF0000"/>
                </patternFill>
              </fill>
            </x14:dxf>
          </x14:cfRule>
          <xm:sqref>I14:I24</xm:sqref>
        </x14:conditionalFormatting>
        <x14:conditionalFormatting xmlns:xm="http://schemas.microsoft.com/office/excel/2006/main">
          <x14:cfRule type="expression" priority="2" id="{95DB69F5-0952-4D7F-9827-E290F66887D0}">
            <xm:f>(AND(H25&lt;&gt;"",ISERROR(VLOOKUP(H25,system!$E:$E,1,FALSE))))</xm:f>
            <x14:dxf>
              <fill>
                <patternFill patternType="solid">
                  <bgColor rgb="FFFF0000"/>
                </patternFill>
              </fill>
            </x14:dxf>
          </x14:cfRule>
          <xm:sqref>H25:H32</xm:sqref>
        </x14:conditionalFormatting>
        <x14:conditionalFormatting xmlns:xm="http://schemas.microsoft.com/office/excel/2006/main">
          <x14:cfRule type="expression" priority="1" id="{8A168B2C-DD09-4A5A-911B-50D2029DFADB}">
            <xm:f>(AND(H25&lt;&gt;"",ISERROR(VLOOKUP(H25,system!$E:$E,1,FALSE))))</xm:f>
            <x14:dxf>
              <fill>
                <patternFill>
                  <bgColor rgb="FFFF0000"/>
                </patternFill>
              </fill>
            </x14:dxf>
          </x14:cfRule>
          <xm:sqref>I25:I32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14183-DD9D-4431-9DA2-95CB10755F80}">
  <sheetPr codeName="Sheet43">
    <pageSetUpPr fitToPage="1"/>
  </sheetPr>
  <dimension ref="A1:U2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580</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162</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SUM(N14:N27)</f>
        <v>126</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193</v>
      </c>
      <c r="D14" s="80"/>
      <c r="E14" s="81"/>
      <c r="F14" s="146"/>
      <c r="G14" s="17"/>
      <c r="H14" s="18" t="s">
        <v>49</v>
      </c>
      <c r="I14" s="59"/>
      <c r="J14" s="19">
        <v>2</v>
      </c>
      <c r="K14" s="19"/>
      <c r="L14" s="50" t="s">
        <v>189</v>
      </c>
      <c r="M14" s="73" t="s">
        <v>21</v>
      </c>
      <c r="N14" s="54">
        <f t="shared" ref="N14:N25" si="0">IF(H14="NUMBER",IF(J14&gt;0,INT((J14+1)/2+0.9),0),IF(H14="DATE",7,IF(OR(H14="LONG",H14="LONG RAW"),100000,J14)))</f>
        <v>2</v>
      </c>
      <c r="O14" s="170"/>
      <c r="P14" s="191"/>
      <c r="Q14" s="192"/>
      <c r="R14" s="192"/>
      <c r="S14" s="192"/>
      <c r="T14" s="192"/>
      <c r="U14" s="193"/>
    </row>
    <row r="15" spans="1:21" ht="15.75" customHeight="1">
      <c r="A15" s="85"/>
      <c r="B15" s="37">
        <f>ROW()-13</f>
        <v>2</v>
      </c>
      <c r="C15" s="145" t="s">
        <v>581</v>
      </c>
      <c r="D15" s="80"/>
      <c r="E15" s="81"/>
      <c r="F15" s="146"/>
      <c r="G15" s="17"/>
      <c r="H15" s="18" t="s">
        <v>51</v>
      </c>
      <c r="I15" s="59"/>
      <c r="J15" s="19">
        <v>20</v>
      </c>
      <c r="K15" s="19"/>
      <c r="L15" s="50" t="s">
        <v>189</v>
      </c>
      <c r="M15" s="73" t="s">
        <v>21</v>
      </c>
      <c r="N15" s="54">
        <f t="shared" si="0"/>
        <v>20</v>
      </c>
      <c r="O15" s="170"/>
      <c r="P15" s="191"/>
      <c r="Q15" s="192"/>
      <c r="R15" s="192"/>
      <c r="S15" s="192"/>
      <c r="T15" s="192"/>
      <c r="U15" s="193"/>
    </row>
    <row r="16" spans="1:21" ht="27.5" customHeight="1">
      <c r="A16" s="85"/>
      <c r="B16" s="37">
        <f>ROW()-13</f>
        <v>3</v>
      </c>
      <c r="C16" s="145" t="s">
        <v>582</v>
      </c>
      <c r="D16" s="80"/>
      <c r="E16" s="81"/>
      <c r="F16" s="146"/>
      <c r="G16" s="17"/>
      <c r="H16" s="18" t="s">
        <v>49</v>
      </c>
      <c r="I16" s="59"/>
      <c r="J16" s="19">
        <v>1</v>
      </c>
      <c r="K16" s="19"/>
      <c r="L16" s="50" t="s">
        <v>189</v>
      </c>
      <c r="M16" s="73" t="s">
        <v>21</v>
      </c>
      <c r="N16" s="54">
        <f t="shared" si="0"/>
        <v>1</v>
      </c>
      <c r="O16" s="170"/>
      <c r="P16" s="251" t="s">
        <v>583</v>
      </c>
      <c r="Q16" s="192"/>
      <c r="R16" s="192"/>
      <c r="S16" s="192"/>
      <c r="T16" s="192"/>
      <c r="U16" s="193"/>
    </row>
    <row r="17" spans="1:21" ht="27.5" customHeight="1">
      <c r="A17" s="85"/>
      <c r="B17" s="37">
        <f>ROW()-13</f>
        <v>4</v>
      </c>
      <c r="C17" s="145" t="s">
        <v>227</v>
      </c>
      <c r="D17" s="80"/>
      <c r="E17" s="81"/>
      <c r="F17" s="146"/>
      <c r="G17" s="17"/>
      <c r="H17" s="18" t="s">
        <v>49</v>
      </c>
      <c r="I17" s="59"/>
      <c r="J17" s="19">
        <v>1</v>
      </c>
      <c r="K17" s="19"/>
      <c r="L17" s="50"/>
      <c r="M17" s="73" t="s">
        <v>21</v>
      </c>
      <c r="N17" s="54">
        <f t="shared" si="0"/>
        <v>1</v>
      </c>
      <c r="O17" s="170"/>
      <c r="P17" s="251" t="s">
        <v>228</v>
      </c>
      <c r="Q17" s="192"/>
      <c r="R17" s="192"/>
      <c r="S17" s="192"/>
      <c r="T17" s="192"/>
      <c r="U17" s="193"/>
    </row>
    <row r="18" spans="1:21" ht="15.75" customHeight="1">
      <c r="A18" s="85"/>
      <c r="B18" s="37">
        <f>ROW()-13</f>
        <v>5</v>
      </c>
      <c r="C18" s="145" t="s">
        <v>276</v>
      </c>
      <c r="D18" s="80"/>
      <c r="E18" s="81"/>
      <c r="F18" s="146" t="s">
        <v>534</v>
      </c>
      <c r="G18" s="17"/>
      <c r="H18" s="18" t="s">
        <v>51</v>
      </c>
      <c r="I18" s="59"/>
      <c r="J18" s="19">
        <v>50</v>
      </c>
      <c r="K18" s="19"/>
      <c r="L18" s="50"/>
      <c r="M18" s="73" t="s">
        <v>21</v>
      </c>
      <c r="N18" s="54">
        <f t="shared" si="0"/>
        <v>50</v>
      </c>
      <c r="O18" s="170"/>
      <c r="P18" s="191"/>
      <c r="Q18" s="192"/>
      <c r="R18" s="192"/>
      <c r="S18" s="192"/>
      <c r="T18" s="192"/>
      <c r="U18" s="193"/>
    </row>
    <row r="19" spans="1:21" ht="15.5">
      <c r="A19" s="85"/>
      <c r="B19" s="37">
        <f t="shared" ref="B19:B25" si="1">ROW()-13</f>
        <v>6</v>
      </c>
      <c r="C19" s="107" t="s">
        <v>36</v>
      </c>
      <c r="D19" s="107"/>
      <c r="E19" s="108"/>
      <c r="F19" s="109" t="s">
        <v>78</v>
      </c>
      <c r="G19" s="110"/>
      <c r="H19" s="18" t="s">
        <v>51</v>
      </c>
      <c r="I19" s="59"/>
      <c r="J19" s="113">
        <v>12</v>
      </c>
      <c r="K19" s="113"/>
      <c r="L19" s="114"/>
      <c r="M19" s="115" t="s">
        <v>35</v>
      </c>
      <c r="N19" s="116">
        <f t="shared" si="0"/>
        <v>12</v>
      </c>
      <c r="O19" s="171"/>
      <c r="P19" s="197"/>
      <c r="Q19" s="198"/>
      <c r="R19" s="198"/>
      <c r="S19" s="198"/>
      <c r="T19" s="198"/>
      <c r="U19" s="199"/>
    </row>
    <row r="20" spans="1:21" ht="15.5">
      <c r="A20" s="85"/>
      <c r="B20" s="37">
        <f t="shared" si="1"/>
        <v>7</v>
      </c>
      <c r="C20" s="107" t="s">
        <v>37</v>
      </c>
      <c r="D20" s="107"/>
      <c r="E20" s="108"/>
      <c r="F20" s="109" t="s">
        <v>43</v>
      </c>
      <c r="G20" s="110"/>
      <c r="H20" s="18" t="s">
        <v>51</v>
      </c>
      <c r="I20" s="59"/>
      <c r="J20" s="113">
        <v>10</v>
      </c>
      <c r="K20" s="113"/>
      <c r="L20" s="114"/>
      <c r="M20" s="115" t="s">
        <v>21</v>
      </c>
      <c r="N20" s="116">
        <f t="shared" si="0"/>
        <v>10</v>
      </c>
      <c r="O20" s="171"/>
      <c r="P20" s="197"/>
      <c r="Q20" s="198"/>
      <c r="R20" s="198"/>
      <c r="S20" s="198"/>
      <c r="T20" s="198"/>
      <c r="U20" s="199"/>
    </row>
    <row r="21" spans="1:21" ht="15.5">
      <c r="A21" s="85"/>
      <c r="B21" s="37">
        <f t="shared" si="1"/>
        <v>8</v>
      </c>
      <c r="C21" s="107" t="s">
        <v>38</v>
      </c>
      <c r="D21" s="107"/>
      <c r="E21" s="108"/>
      <c r="F21" s="109" t="s">
        <v>80</v>
      </c>
      <c r="G21" s="110"/>
      <c r="H21" s="18" t="s">
        <v>86</v>
      </c>
      <c r="I21" s="59"/>
      <c r="J21" s="113"/>
      <c r="K21" s="113"/>
      <c r="L21" s="114"/>
      <c r="M21" s="115" t="s">
        <v>21</v>
      </c>
      <c r="N21" s="116">
        <f t="shared" si="0"/>
        <v>0</v>
      </c>
      <c r="O21" s="171"/>
      <c r="P21" s="197"/>
      <c r="Q21" s="198"/>
      <c r="R21" s="198"/>
      <c r="S21" s="198"/>
      <c r="T21" s="198"/>
      <c r="U21" s="199"/>
    </row>
    <row r="22" spans="1:21" ht="15.5">
      <c r="A22" s="85"/>
      <c r="B22" s="37">
        <f t="shared" si="1"/>
        <v>9</v>
      </c>
      <c r="C22" s="107" t="s">
        <v>39</v>
      </c>
      <c r="D22" s="107"/>
      <c r="E22" s="108"/>
      <c r="F22" s="109" t="s">
        <v>79</v>
      </c>
      <c r="G22" s="110"/>
      <c r="H22" s="18" t="s">
        <v>51</v>
      </c>
      <c r="I22" s="59"/>
      <c r="J22" s="113">
        <v>12</v>
      </c>
      <c r="K22" s="113"/>
      <c r="L22" s="114"/>
      <c r="M22" s="115" t="s">
        <v>35</v>
      </c>
      <c r="N22" s="116">
        <f t="shared" si="0"/>
        <v>12</v>
      </c>
      <c r="O22" s="171"/>
      <c r="P22" s="197"/>
      <c r="Q22" s="198"/>
      <c r="R22" s="198"/>
      <c r="S22" s="198"/>
      <c r="T22" s="198"/>
      <c r="U22" s="199"/>
    </row>
    <row r="23" spans="1:21" ht="15.5">
      <c r="A23" s="85"/>
      <c r="B23" s="37">
        <f t="shared" si="1"/>
        <v>10</v>
      </c>
      <c r="C23" s="107" t="s">
        <v>40</v>
      </c>
      <c r="D23" s="107"/>
      <c r="E23" s="108"/>
      <c r="F23" s="109" t="s">
        <v>44</v>
      </c>
      <c r="G23" s="110"/>
      <c r="H23" s="18" t="s">
        <v>51</v>
      </c>
      <c r="I23" s="59"/>
      <c r="J23" s="113">
        <v>10</v>
      </c>
      <c r="K23" s="113"/>
      <c r="L23" s="114"/>
      <c r="M23" s="115" t="s">
        <v>21</v>
      </c>
      <c r="N23" s="116">
        <f t="shared" si="0"/>
        <v>10</v>
      </c>
      <c r="O23" s="171"/>
      <c r="P23" s="197"/>
      <c r="Q23" s="198"/>
      <c r="R23" s="198"/>
      <c r="S23" s="198"/>
      <c r="T23" s="198"/>
      <c r="U23" s="199"/>
    </row>
    <row r="24" spans="1:21" ht="15.5">
      <c r="A24" s="85"/>
      <c r="B24" s="37">
        <f t="shared" si="1"/>
        <v>11</v>
      </c>
      <c r="C24" s="107" t="s">
        <v>41</v>
      </c>
      <c r="D24" s="107"/>
      <c r="E24" s="108"/>
      <c r="F24" s="109" t="s">
        <v>81</v>
      </c>
      <c r="G24" s="110"/>
      <c r="H24" s="18" t="s">
        <v>86</v>
      </c>
      <c r="I24" s="59"/>
      <c r="J24" s="113"/>
      <c r="K24" s="113"/>
      <c r="L24" s="114"/>
      <c r="M24" s="115" t="s">
        <v>21</v>
      </c>
      <c r="N24" s="116">
        <f t="shared" si="0"/>
        <v>0</v>
      </c>
      <c r="O24" s="171"/>
      <c r="P24" s="197"/>
      <c r="Q24" s="198"/>
      <c r="R24" s="198"/>
      <c r="S24" s="198"/>
      <c r="T24" s="198"/>
      <c r="U24" s="199"/>
    </row>
    <row r="25" spans="1:21" ht="15.5">
      <c r="A25" s="85"/>
      <c r="B25" s="37">
        <f t="shared" si="1"/>
        <v>12</v>
      </c>
      <c r="C25" s="80" t="s">
        <v>46</v>
      </c>
      <c r="D25" s="80"/>
      <c r="E25" s="81"/>
      <c r="F25" s="84" t="s">
        <v>71</v>
      </c>
      <c r="G25" s="17"/>
      <c r="H25" s="18" t="s">
        <v>62</v>
      </c>
      <c r="I25" s="59"/>
      <c r="J25" s="19">
        <v>8</v>
      </c>
      <c r="K25" s="19"/>
      <c r="L25" s="50" t="s">
        <v>47</v>
      </c>
      <c r="M25" s="73" t="s">
        <v>35</v>
      </c>
      <c r="N25" s="54">
        <f t="shared" si="0"/>
        <v>8</v>
      </c>
      <c r="O25" s="170">
        <v>0</v>
      </c>
      <c r="P25" s="191" t="s">
        <v>48</v>
      </c>
      <c r="Q25" s="192"/>
      <c r="R25" s="192"/>
      <c r="S25" s="192"/>
      <c r="T25" s="192"/>
      <c r="U25" s="193"/>
    </row>
    <row r="26" spans="1:21" ht="16" thickBot="1">
      <c r="A26" s="118"/>
      <c r="B26" s="119"/>
      <c r="C26" s="120"/>
      <c r="D26" s="120"/>
      <c r="E26" s="121"/>
      <c r="F26" s="129"/>
      <c r="G26" s="122"/>
      <c r="H26" s="147"/>
      <c r="I26" s="148"/>
      <c r="J26" s="125"/>
      <c r="K26" s="125"/>
      <c r="L26" s="126"/>
      <c r="M26" s="126"/>
      <c r="N26" s="127"/>
      <c r="O26" s="172"/>
      <c r="P26" s="194"/>
      <c r="Q26" s="195"/>
      <c r="R26" s="195"/>
      <c r="S26" s="195"/>
      <c r="T26" s="195"/>
      <c r="U26" s="196"/>
    </row>
  </sheetData>
  <mergeCells count="43">
    <mergeCell ref="P22:U22"/>
    <mergeCell ref="P23:U23"/>
    <mergeCell ref="P24:U24"/>
    <mergeCell ref="P25:U25"/>
    <mergeCell ref="P26:U26"/>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45058"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45059"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45060"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45061"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45062"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BEE46DC-A982-4B9E-A3D2-85627DEB479D}">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78CF452F-40D7-433C-B725-31FC2747F9E4}">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F0F95AA5-C35F-48FC-8D9F-99F242E456DA}">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0CFFF9F8-F24B-46FA-BE93-CAE3B7C0DA2C}">
            <xm:f>(AND(H19&lt;&gt;"",ISERROR(VLOOKUP(H19,system!$E:$E,1,FALSE))))</xm:f>
            <x14:dxf>
              <fill>
                <patternFill>
                  <bgColor rgb="FFFF0000"/>
                </patternFill>
              </fill>
            </x14:dxf>
          </x14:cfRule>
          <xm:sqref>I19:I26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ED446-6FE6-4F65-997F-B4D672DF78A6}">
  <sheetPr codeName="Sheet44">
    <pageSetUpPr fitToPage="1"/>
  </sheetPr>
  <dimension ref="A1:U2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585</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163</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SUM(N14:N28)</f>
        <v>137</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322</v>
      </c>
      <c r="D14" s="80"/>
      <c r="E14" s="81"/>
      <c r="F14" s="146"/>
      <c r="G14" s="17"/>
      <c r="H14" s="18" t="s">
        <v>51</v>
      </c>
      <c r="I14" s="59"/>
      <c r="J14" s="19">
        <v>10</v>
      </c>
      <c r="K14" s="19"/>
      <c r="L14" s="50" t="s">
        <v>189</v>
      </c>
      <c r="M14" s="73" t="s">
        <v>21</v>
      </c>
      <c r="N14" s="54">
        <f t="shared" ref="N14:N26" si="0">IF(H14="NUMBER",IF(J14&gt;0,INT((J14+1)/2+0.9),0),IF(H14="DATE",7,IF(OR(H14="LONG",H14="LONG RAW"),100000,J14)))</f>
        <v>10</v>
      </c>
      <c r="O14" s="170"/>
      <c r="P14" s="191"/>
      <c r="Q14" s="192"/>
      <c r="R14" s="192"/>
      <c r="S14" s="192"/>
      <c r="T14" s="192"/>
      <c r="U14" s="193"/>
    </row>
    <row r="15" spans="1:21" ht="15.75" customHeight="1">
      <c r="A15" s="85"/>
      <c r="B15" s="37">
        <f>ROW()-13</f>
        <v>2</v>
      </c>
      <c r="C15" s="145" t="s">
        <v>586</v>
      </c>
      <c r="D15" s="80"/>
      <c r="E15" s="81"/>
      <c r="F15" s="146"/>
      <c r="G15" s="17"/>
      <c r="H15" s="18" t="s">
        <v>51</v>
      </c>
      <c r="I15" s="59"/>
      <c r="J15" s="19">
        <v>20</v>
      </c>
      <c r="K15" s="19"/>
      <c r="L15" s="50" t="s">
        <v>189</v>
      </c>
      <c r="M15" s="73" t="s">
        <v>21</v>
      </c>
      <c r="N15" s="54">
        <f t="shared" si="0"/>
        <v>20</v>
      </c>
      <c r="O15" s="170"/>
      <c r="P15" s="191"/>
      <c r="Q15" s="192"/>
      <c r="R15" s="192"/>
      <c r="S15" s="192"/>
      <c r="T15" s="192"/>
      <c r="U15" s="193"/>
    </row>
    <row r="16" spans="1:21" ht="15.75" customHeight="1">
      <c r="A16" s="85"/>
      <c r="B16" s="37">
        <f>ROW()-13</f>
        <v>3</v>
      </c>
      <c r="C16" s="145" t="s">
        <v>311</v>
      </c>
      <c r="D16" s="80"/>
      <c r="E16" s="81"/>
      <c r="F16" s="146"/>
      <c r="G16" s="17"/>
      <c r="H16" s="18" t="s">
        <v>51</v>
      </c>
      <c r="I16" s="59"/>
      <c r="J16" s="19">
        <v>4</v>
      </c>
      <c r="K16" s="19"/>
      <c r="L16" s="50" t="s">
        <v>189</v>
      </c>
      <c r="M16" s="73" t="s">
        <v>21</v>
      </c>
      <c r="N16" s="54">
        <f t="shared" si="0"/>
        <v>4</v>
      </c>
      <c r="O16" s="170"/>
      <c r="P16" s="191" t="s">
        <v>587</v>
      </c>
      <c r="Q16" s="192"/>
      <c r="R16" s="192"/>
      <c r="S16" s="192"/>
      <c r="T16" s="192"/>
      <c r="U16" s="193"/>
    </row>
    <row r="17" spans="1:21" ht="15.75" customHeight="1">
      <c r="A17" s="85"/>
      <c r="B17" s="37">
        <f>ROW()-13</f>
        <v>4</v>
      </c>
      <c r="C17" s="145" t="s">
        <v>569</v>
      </c>
      <c r="D17" s="80"/>
      <c r="E17" s="81"/>
      <c r="F17" s="146"/>
      <c r="G17" s="17"/>
      <c r="H17" s="18" t="s">
        <v>211</v>
      </c>
      <c r="I17" s="59"/>
      <c r="J17" s="19"/>
      <c r="K17" s="19"/>
      <c r="L17" s="50" t="s">
        <v>189</v>
      </c>
      <c r="M17" s="73" t="s">
        <v>21</v>
      </c>
      <c r="N17" s="54">
        <f t="shared" si="0"/>
        <v>0</v>
      </c>
      <c r="O17" s="170"/>
      <c r="P17" s="191" t="s">
        <v>588</v>
      </c>
      <c r="Q17" s="192"/>
      <c r="R17" s="192"/>
      <c r="S17" s="192"/>
      <c r="T17" s="192"/>
      <c r="U17" s="193"/>
    </row>
    <row r="18" spans="1:21" ht="27.5" customHeight="1">
      <c r="A18" s="85"/>
      <c r="B18" s="37">
        <f>ROW()-13</f>
        <v>5</v>
      </c>
      <c r="C18" s="145" t="s">
        <v>227</v>
      </c>
      <c r="D18" s="80"/>
      <c r="E18" s="81"/>
      <c r="F18" s="146"/>
      <c r="G18" s="17"/>
      <c r="H18" s="18" t="s">
        <v>49</v>
      </c>
      <c r="I18" s="59"/>
      <c r="J18" s="19">
        <v>1</v>
      </c>
      <c r="K18" s="19"/>
      <c r="L18" s="50"/>
      <c r="M18" s="73" t="s">
        <v>21</v>
      </c>
      <c r="N18" s="54">
        <f t="shared" si="0"/>
        <v>1</v>
      </c>
      <c r="O18" s="170"/>
      <c r="P18" s="251" t="s">
        <v>228</v>
      </c>
      <c r="Q18" s="192"/>
      <c r="R18" s="192"/>
      <c r="S18" s="192"/>
      <c r="T18" s="192"/>
      <c r="U18" s="193"/>
    </row>
    <row r="19" spans="1:21" ht="15.75" customHeight="1">
      <c r="A19" s="85"/>
      <c r="B19" s="37">
        <f>ROW()-13</f>
        <v>6</v>
      </c>
      <c r="C19" s="145" t="s">
        <v>276</v>
      </c>
      <c r="D19" s="80"/>
      <c r="E19" s="81"/>
      <c r="F19" s="146" t="s">
        <v>534</v>
      </c>
      <c r="G19" s="17"/>
      <c r="H19" s="18" t="s">
        <v>51</v>
      </c>
      <c r="I19" s="59"/>
      <c r="J19" s="19">
        <v>50</v>
      </c>
      <c r="K19" s="19"/>
      <c r="L19" s="50"/>
      <c r="M19" s="73" t="s">
        <v>21</v>
      </c>
      <c r="N19" s="54">
        <f t="shared" si="0"/>
        <v>50</v>
      </c>
      <c r="O19" s="170"/>
      <c r="P19" s="191"/>
      <c r="Q19" s="192"/>
      <c r="R19" s="192"/>
      <c r="S19" s="192"/>
      <c r="T19" s="192"/>
      <c r="U19" s="193"/>
    </row>
    <row r="20" spans="1:21" ht="15.5">
      <c r="A20" s="85"/>
      <c r="B20" s="37">
        <f t="shared" ref="B20:B26" si="1">ROW()-13</f>
        <v>7</v>
      </c>
      <c r="C20" s="107" t="s">
        <v>36</v>
      </c>
      <c r="D20" s="107"/>
      <c r="E20" s="108"/>
      <c r="F20" s="109" t="s">
        <v>78</v>
      </c>
      <c r="G20" s="110"/>
      <c r="H20" s="18" t="s">
        <v>51</v>
      </c>
      <c r="I20" s="59"/>
      <c r="J20" s="113">
        <v>12</v>
      </c>
      <c r="K20" s="113"/>
      <c r="L20" s="114"/>
      <c r="M20" s="115" t="s">
        <v>35</v>
      </c>
      <c r="N20" s="116">
        <f t="shared" si="0"/>
        <v>12</v>
      </c>
      <c r="O20" s="171"/>
      <c r="P20" s="197"/>
      <c r="Q20" s="198"/>
      <c r="R20" s="198"/>
      <c r="S20" s="198"/>
      <c r="T20" s="198"/>
      <c r="U20" s="199"/>
    </row>
    <row r="21" spans="1:21" ht="15.5">
      <c r="A21" s="85"/>
      <c r="B21" s="37">
        <f t="shared" si="1"/>
        <v>8</v>
      </c>
      <c r="C21" s="107" t="s">
        <v>37</v>
      </c>
      <c r="D21" s="107"/>
      <c r="E21" s="108"/>
      <c r="F21" s="109" t="s">
        <v>43</v>
      </c>
      <c r="G21" s="110"/>
      <c r="H21" s="18" t="s">
        <v>51</v>
      </c>
      <c r="I21" s="59"/>
      <c r="J21" s="113">
        <v>10</v>
      </c>
      <c r="K21" s="113"/>
      <c r="L21" s="114"/>
      <c r="M21" s="115" t="s">
        <v>21</v>
      </c>
      <c r="N21" s="116">
        <f t="shared" si="0"/>
        <v>10</v>
      </c>
      <c r="O21" s="171"/>
      <c r="P21" s="197"/>
      <c r="Q21" s="198"/>
      <c r="R21" s="198"/>
      <c r="S21" s="198"/>
      <c r="T21" s="198"/>
      <c r="U21" s="199"/>
    </row>
    <row r="22" spans="1:21" ht="15.5">
      <c r="A22" s="85"/>
      <c r="B22" s="37">
        <f t="shared" si="1"/>
        <v>9</v>
      </c>
      <c r="C22" s="107" t="s">
        <v>38</v>
      </c>
      <c r="D22" s="107"/>
      <c r="E22" s="108"/>
      <c r="F22" s="109" t="s">
        <v>80</v>
      </c>
      <c r="G22" s="110"/>
      <c r="H22" s="18" t="s">
        <v>86</v>
      </c>
      <c r="I22" s="59"/>
      <c r="J22" s="113"/>
      <c r="K22" s="113"/>
      <c r="L22" s="114"/>
      <c r="M22" s="115" t="s">
        <v>21</v>
      </c>
      <c r="N22" s="116">
        <f t="shared" si="0"/>
        <v>0</v>
      </c>
      <c r="O22" s="171"/>
      <c r="P22" s="197"/>
      <c r="Q22" s="198"/>
      <c r="R22" s="198"/>
      <c r="S22" s="198"/>
      <c r="T22" s="198"/>
      <c r="U22" s="199"/>
    </row>
    <row r="23" spans="1:21" ht="15.5">
      <c r="A23" s="85"/>
      <c r="B23" s="37">
        <f t="shared" si="1"/>
        <v>10</v>
      </c>
      <c r="C23" s="107" t="s">
        <v>39</v>
      </c>
      <c r="D23" s="107"/>
      <c r="E23" s="108"/>
      <c r="F23" s="109" t="s">
        <v>79</v>
      </c>
      <c r="G23" s="110"/>
      <c r="H23" s="18" t="s">
        <v>51</v>
      </c>
      <c r="I23" s="59"/>
      <c r="J23" s="113">
        <v>12</v>
      </c>
      <c r="K23" s="113"/>
      <c r="L23" s="114"/>
      <c r="M23" s="115" t="s">
        <v>35</v>
      </c>
      <c r="N23" s="116">
        <f t="shared" si="0"/>
        <v>12</v>
      </c>
      <c r="O23" s="171"/>
      <c r="P23" s="197"/>
      <c r="Q23" s="198"/>
      <c r="R23" s="198"/>
      <c r="S23" s="198"/>
      <c r="T23" s="198"/>
      <c r="U23" s="199"/>
    </row>
    <row r="24" spans="1:21" ht="15.5">
      <c r="A24" s="85"/>
      <c r="B24" s="37">
        <f t="shared" si="1"/>
        <v>11</v>
      </c>
      <c r="C24" s="107" t="s">
        <v>40</v>
      </c>
      <c r="D24" s="107"/>
      <c r="E24" s="108"/>
      <c r="F24" s="109" t="s">
        <v>44</v>
      </c>
      <c r="G24" s="110"/>
      <c r="H24" s="18" t="s">
        <v>51</v>
      </c>
      <c r="I24" s="59"/>
      <c r="J24" s="113">
        <v>10</v>
      </c>
      <c r="K24" s="113"/>
      <c r="L24" s="114"/>
      <c r="M24" s="115" t="s">
        <v>21</v>
      </c>
      <c r="N24" s="116">
        <f t="shared" si="0"/>
        <v>10</v>
      </c>
      <c r="O24" s="171"/>
      <c r="P24" s="197"/>
      <c r="Q24" s="198"/>
      <c r="R24" s="198"/>
      <c r="S24" s="198"/>
      <c r="T24" s="198"/>
      <c r="U24" s="199"/>
    </row>
    <row r="25" spans="1:21" ht="15.5">
      <c r="A25" s="85"/>
      <c r="B25" s="37">
        <f t="shared" si="1"/>
        <v>12</v>
      </c>
      <c r="C25" s="107" t="s">
        <v>41</v>
      </c>
      <c r="D25" s="107"/>
      <c r="E25" s="108"/>
      <c r="F25" s="109" t="s">
        <v>81</v>
      </c>
      <c r="G25" s="110"/>
      <c r="H25" s="18" t="s">
        <v>86</v>
      </c>
      <c r="I25" s="59"/>
      <c r="J25" s="113"/>
      <c r="K25" s="113"/>
      <c r="L25" s="114"/>
      <c r="M25" s="115" t="s">
        <v>21</v>
      </c>
      <c r="N25" s="116">
        <f t="shared" si="0"/>
        <v>0</v>
      </c>
      <c r="O25" s="171"/>
      <c r="P25" s="197"/>
      <c r="Q25" s="198"/>
      <c r="R25" s="198"/>
      <c r="S25" s="198"/>
      <c r="T25" s="198"/>
      <c r="U25" s="199"/>
    </row>
    <row r="26" spans="1:21" ht="15.5">
      <c r="A26" s="85"/>
      <c r="B26" s="37">
        <f t="shared" si="1"/>
        <v>13</v>
      </c>
      <c r="C26" s="80" t="s">
        <v>46</v>
      </c>
      <c r="D26" s="80"/>
      <c r="E26" s="81"/>
      <c r="F26" s="84" t="s">
        <v>71</v>
      </c>
      <c r="G26" s="17"/>
      <c r="H26" s="18" t="s">
        <v>62</v>
      </c>
      <c r="I26" s="59"/>
      <c r="J26" s="19">
        <v>8</v>
      </c>
      <c r="K26" s="19"/>
      <c r="L26" s="50" t="s">
        <v>47</v>
      </c>
      <c r="M26" s="73" t="s">
        <v>35</v>
      </c>
      <c r="N26" s="54">
        <f t="shared" si="0"/>
        <v>8</v>
      </c>
      <c r="O26" s="170">
        <v>0</v>
      </c>
      <c r="P26" s="191" t="s">
        <v>48</v>
      </c>
      <c r="Q26" s="192"/>
      <c r="R26" s="192"/>
      <c r="S26" s="192"/>
      <c r="T26" s="192"/>
      <c r="U26" s="193"/>
    </row>
    <row r="27" spans="1:21" ht="16" thickBot="1">
      <c r="A27" s="118"/>
      <c r="B27" s="119"/>
      <c r="C27" s="120"/>
      <c r="D27" s="120"/>
      <c r="E27" s="121"/>
      <c r="F27" s="129"/>
      <c r="G27" s="122"/>
      <c r="H27" s="147"/>
      <c r="I27" s="148"/>
      <c r="J27" s="125"/>
      <c r="K27" s="125"/>
      <c r="L27" s="126"/>
      <c r="M27" s="126"/>
      <c r="N27" s="127"/>
      <c r="O27" s="172"/>
      <c r="P27" s="194"/>
      <c r="Q27" s="195"/>
      <c r="R27" s="195"/>
      <c r="S27" s="195"/>
      <c r="T27" s="195"/>
      <c r="U27" s="196"/>
    </row>
  </sheetData>
  <mergeCells count="44">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46082"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46083"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46084"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46085"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46086"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1958D1E1-D51D-4531-8083-9A45321B3ABB}">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57F76CD0-BD29-498D-A1B4-1CFAE212D8EB}">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E8B8C29D-FCCD-4922-9517-21E5B75CA660}">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C28F464D-58F5-4F0B-90FC-7D438B38B036}">
            <xm:f>(AND(H20&lt;&gt;"",ISERROR(VLOOKUP(H20,system!$E:$E,1,FALSE))))</xm:f>
            <x14:dxf>
              <fill>
                <patternFill>
                  <bgColor rgb="FFFF0000"/>
                </patternFill>
              </fill>
            </x14:dxf>
          </x14:cfRule>
          <xm:sqref>I20:I27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050F4-E22E-4B09-A946-477D91AFB721}">
  <sheetPr codeName="Sheet45">
    <pageSetUpPr fitToPage="1"/>
  </sheetPr>
  <dimension ref="A1:U2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580</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164</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SUM(N14:N27)</f>
        <v>115</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193</v>
      </c>
      <c r="D14" s="80"/>
      <c r="E14" s="81"/>
      <c r="F14" s="146"/>
      <c r="G14" s="17"/>
      <c r="H14" s="18" t="s">
        <v>51</v>
      </c>
      <c r="I14" s="59"/>
      <c r="J14" s="19">
        <v>2</v>
      </c>
      <c r="K14" s="19"/>
      <c r="L14" s="50" t="s">
        <v>189</v>
      </c>
      <c r="M14" s="73" t="s">
        <v>21</v>
      </c>
      <c r="N14" s="54">
        <f t="shared" ref="N14:N25" si="0">IF(H14="NUMBER",IF(J14&gt;0,INT((J14+1)/2+0.9),0),IF(H14="DATE",7,IF(OR(H14="LONG",H14="LONG RAW"),100000,J14)))</f>
        <v>2</v>
      </c>
      <c r="O14" s="170"/>
      <c r="P14" s="191" t="s">
        <v>162</v>
      </c>
      <c r="Q14" s="192"/>
      <c r="R14" s="192"/>
      <c r="S14" s="192"/>
      <c r="T14" s="192"/>
      <c r="U14" s="193"/>
    </row>
    <row r="15" spans="1:21" ht="15.75" customHeight="1">
      <c r="A15" s="85" t="s">
        <v>190</v>
      </c>
      <c r="B15" s="37">
        <f>ROW()-13</f>
        <v>2</v>
      </c>
      <c r="C15" s="145" t="s">
        <v>322</v>
      </c>
      <c r="D15" s="80"/>
      <c r="E15" s="81"/>
      <c r="F15" s="146"/>
      <c r="G15" s="17"/>
      <c r="H15" s="18" t="s">
        <v>51</v>
      </c>
      <c r="I15" s="59"/>
      <c r="J15" s="19">
        <v>10</v>
      </c>
      <c r="K15" s="19"/>
      <c r="L15" s="50" t="s">
        <v>189</v>
      </c>
      <c r="M15" s="73" t="s">
        <v>21</v>
      </c>
      <c r="N15" s="54">
        <f t="shared" si="0"/>
        <v>10</v>
      </c>
      <c r="O15" s="170"/>
      <c r="P15" s="191" t="s">
        <v>163</v>
      </c>
      <c r="Q15" s="192"/>
      <c r="R15" s="192"/>
      <c r="S15" s="192"/>
      <c r="T15" s="192"/>
      <c r="U15" s="193"/>
    </row>
    <row r="16" spans="1:21" ht="15.75" customHeight="1">
      <c r="A16" s="85"/>
      <c r="B16" s="37">
        <f>ROW()-13</f>
        <v>3</v>
      </c>
      <c r="C16" s="145" t="s">
        <v>569</v>
      </c>
      <c r="D16" s="80"/>
      <c r="E16" s="81"/>
      <c r="F16" s="146"/>
      <c r="G16" s="17"/>
      <c r="H16" s="18" t="s">
        <v>211</v>
      </c>
      <c r="I16" s="59"/>
      <c r="J16" s="19"/>
      <c r="K16" s="19"/>
      <c r="L16" s="50" t="s">
        <v>189</v>
      </c>
      <c r="M16" s="73" t="s">
        <v>21</v>
      </c>
      <c r="N16" s="54">
        <f t="shared" si="0"/>
        <v>0</v>
      </c>
      <c r="O16" s="170"/>
      <c r="P16" s="191" t="s">
        <v>588</v>
      </c>
      <c r="Q16" s="192"/>
      <c r="R16" s="192"/>
      <c r="S16" s="192"/>
      <c r="T16" s="192"/>
      <c r="U16" s="193"/>
    </row>
    <row r="17" spans="1:21" ht="27.5" customHeight="1">
      <c r="A17" s="85"/>
      <c r="B17" s="37">
        <f>ROW()-13</f>
        <v>4</v>
      </c>
      <c r="C17" s="145" t="s">
        <v>227</v>
      </c>
      <c r="D17" s="80"/>
      <c r="E17" s="81"/>
      <c r="F17" s="146"/>
      <c r="G17" s="17"/>
      <c r="H17" s="18" t="s">
        <v>49</v>
      </c>
      <c r="I17" s="59"/>
      <c r="J17" s="19">
        <v>1</v>
      </c>
      <c r="K17" s="19"/>
      <c r="L17" s="50"/>
      <c r="M17" s="73" t="s">
        <v>21</v>
      </c>
      <c r="N17" s="54">
        <f t="shared" si="0"/>
        <v>1</v>
      </c>
      <c r="O17" s="170"/>
      <c r="P17" s="251" t="s">
        <v>228</v>
      </c>
      <c r="Q17" s="192"/>
      <c r="R17" s="192"/>
      <c r="S17" s="192"/>
      <c r="T17" s="192"/>
      <c r="U17" s="193"/>
    </row>
    <row r="18" spans="1:21" ht="15.75" customHeight="1">
      <c r="A18" s="85"/>
      <c r="B18" s="37">
        <f>ROW()-13</f>
        <v>5</v>
      </c>
      <c r="C18" s="145" t="s">
        <v>276</v>
      </c>
      <c r="D18" s="80"/>
      <c r="E18" s="81"/>
      <c r="F18" s="146" t="s">
        <v>534</v>
      </c>
      <c r="G18" s="17"/>
      <c r="H18" s="18" t="s">
        <v>51</v>
      </c>
      <c r="I18" s="59"/>
      <c r="J18" s="19">
        <v>50</v>
      </c>
      <c r="K18" s="19"/>
      <c r="L18" s="50"/>
      <c r="M18" s="73" t="s">
        <v>21</v>
      </c>
      <c r="N18" s="54">
        <f t="shared" si="0"/>
        <v>50</v>
      </c>
      <c r="O18" s="170"/>
      <c r="P18" s="191"/>
      <c r="Q18" s="192"/>
      <c r="R18" s="192"/>
      <c r="S18" s="192"/>
      <c r="T18" s="192"/>
      <c r="U18" s="193"/>
    </row>
    <row r="19" spans="1:21" ht="15.5">
      <c r="A19" s="85"/>
      <c r="B19" s="37">
        <f t="shared" ref="B19:B25" si="1">ROW()-13</f>
        <v>6</v>
      </c>
      <c r="C19" s="107" t="s">
        <v>36</v>
      </c>
      <c r="D19" s="107"/>
      <c r="E19" s="108"/>
      <c r="F19" s="109" t="s">
        <v>78</v>
      </c>
      <c r="G19" s="110"/>
      <c r="H19" s="18" t="s">
        <v>51</v>
      </c>
      <c r="I19" s="59"/>
      <c r="J19" s="113">
        <v>12</v>
      </c>
      <c r="K19" s="113"/>
      <c r="L19" s="114"/>
      <c r="M19" s="115" t="s">
        <v>35</v>
      </c>
      <c r="N19" s="116">
        <f t="shared" si="0"/>
        <v>12</v>
      </c>
      <c r="O19" s="171"/>
      <c r="P19" s="197"/>
      <c r="Q19" s="198"/>
      <c r="R19" s="198"/>
      <c r="S19" s="198"/>
      <c r="T19" s="198"/>
      <c r="U19" s="199"/>
    </row>
    <row r="20" spans="1:21" ht="15.5">
      <c r="A20" s="85"/>
      <c r="B20" s="37">
        <f t="shared" si="1"/>
        <v>7</v>
      </c>
      <c r="C20" s="107" t="s">
        <v>37</v>
      </c>
      <c r="D20" s="107"/>
      <c r="E20" s="108"/>
      <c r="F20" s="109" t="s">
        <v>43</v>
      </c>
      <c r="G20" s="110"/>
      <c r="H20" s="18" t="s">
        <v>51</v>
      </c>
      <c r="I20" s="59"/>
      <c r="J20" s="113">
        <v>10</v>
      </c>
      <c r="K20" s="113"/>
      <c r="L20" s="114"/>
      <c r="M20" s="115" t="s">
        <v>21</v>
      </c>
      <c r="N20" s="116">
        <f t="shared" si="0"/>
        <v>10</v>
      </c>
      <c r="O20" s="171"/>
      <c r="P20" s="197"/>
      <c r="Q20" s="198"/>
      <c r="R20" s="198"/>
      <c r="S20" s="198"/>
      <c r="T20" s="198"/>
      <c r="U20" s="199"/>
    </row>
    <row r="21" spans="1:21" ht="15.5">
      <c r="A21" s="85"/>
      <c r="B21" s="37">
        <f t="shared" si="1"/>
        <v>8</v>
      </c>
      <c r="C21" s="107" t="s">
        <v>38</v>
      </c>
      <c r="D21" s="107"/>
      <c r="E21" s="108"/>
      <c r="F21" s="109" t="s">
        <v>80</v>
      </c>
      <c r="G21" s="110"/>
      <c r="H21" s="18" t="s">
        <v>86</v>
      </c>
      <c r="I21" s="59"/>
      <c r="J21" s="113"/>
      <c r="K21" s="113"/>
      <c r="L21" s="114"/>
      <c r="M21" s="115" t="s">
        <v>21</v>
      </c>
      <c r="N21" s="116">
        <f t="shared" si="0"/>
        <v>0</v>
      </c>
      <c r="O21" s="171"/>
      <c r="P21" s="197"/>
      <c r="Q21" s="198"/>
      <c r="R21" s="198"/>
      <c r="S21" s="198"/>
      <c r="T21" s="198"/>
      <c r="U21" s="199"/>
    </row>
    <row r="22" spans="1:21" ht="15.5">
      <c r="A22" s="85"/>
      <c r="B22" s="37">
        <f t="shared" si="1"/>
        <v>9</v>
      </c>
      <c r="C22" s="107" t="s">
        <v>39</v>
      </c>
      <c r="D22" s="107"/>
      <c r="E22" s="108"/>
      <c r="F22" s="109" t="s">
        <v>79</v>
      </c>
      <c r="G22" s="110"/>
      <c r="H22" s="18" t="s">
        <v>51</v>
      </c>
      <c r="I22" s="59"/>
      <c r="J22" s="113">
        <v>12</v>
      </c>
      <c r="K22" s="113"/>
      <c r="L22" s="114"/>
      <c r="M22" s="115" t="s">
        <v>35</v>
      </c>
      <c r="N22" s="116">
        <f t="shared" si="0"/>
        <v>12</v>
      </c>
      <c r="O22" s="171"/>
      <c r="P22" s="197"/>
      <c r="Q22" s="198"/>
      <c r="R22" s="198"/>
      <c r="S22" s="198"/>
      <c r="T22" s="198"/>
      <c r="U22" s="199"/>
    </row>
    <row r="23" spans="1:21" ht="15.5">
      <c r="A23" s="85"/>
      <c r="B23" s="37">
        <f t="shared" si="1"/>
        <v>10</v>
      </c>
      <c r="C23" s="107" t="s">
        <v>40</v>
      </c>
      <c r="D23" s="107"/>
      <c r="E23" s="108"/>
      <c r="F23" s="109" t="s">
        <v>44</v>
      </c>
      <c r="G23" s="110"/>
      <c r="H23" s="18" t="s">
        <v>51</v>
      </c>
      <c r="I23" s="59"/>
      <c r="J23" s="113">
        <v>10</v>
      </c>
      <c r="K23" s="113"/>
      <c r="L23" s="114"/>
      <c r="M23" s="115" t="s">
        <v>21</v>
      </c>
      <c r="N23" s="116">
        <f t="shared" si="0"/>
        <v>10</v>
      </c>
      <c r="O23" s="171"/>
      <c r="P23" s="197"/>
      <c r="Q23" s="198"/>
      <c r="R23" s="198"/>
      <c r="S23" s="198"/>
      <c r="T23" s="198"/>
      <c r="U23" s="199"/>
    </row>
    <row r="24" spans="1:21" ht="15.5">
      <c r="A24" s="85"/>
      <c r="B24" s="37">
        <f t="shared" si="1"/>
        <v>11</v>
      </c>
      <c r="C24" s="107" t="s">
        <v>41</v>
      </c>
      <c r="D24" s="107"/>
      <c r="E24" s="108"/>
      <c r="F24" s="109" t="s">
        <v>81</v>
      </c>
      <c r="G24" s="110"/>
      <c r="H24" s="18" t="s">
        <v>86</v>
      </c>
      <c r="I24" s="59"/>
      <c r="J24" s="113"/>
      <c r="K24" s="113"/>
      <c r="L24" s="114"/>
      <c r="M24" s="115" t="s">
        <v>21</v>
      </c>
      <c r="N24" s="116">
        <f t="shared" si="0"/>
        <v>0</v>
      </c>
      <c r="O24" s="171"/>
      <c r="P24" s="197"/>
      <c r="Q24" s="198"/>
      <c r="R24" s="198"/>
      <c r="S24" s="198"/>
      <c r="T24" s="198"/>
      <c r="U24" s="199"/>
    </row>
    <row r="25" spans="1:21" ht="15.5">
      <c r="A25" s="85"/>
      <c r="B25" s="37">
        <f t="shared" si="1"/>
        <v>12</v>
      </c>
      <c r="C25" s="80" t="s">
        <v>46</v>
      </c>
      <c r="D25" s="80"/>
      <c r="E25" s="81"/>
      <c r="F25" s="84" t="s">
        <v>71</v>
      </c>
      <c r="G25" s="17"/>
      <c r="H25" s="18" t="s">
        <v>62</v>
      </c>
      <c r="I25" s="59"/>
      <c r="J25" s="19">
        <v>8</v>
      </c>
      <c r="K25" s="19"/>
      <c r="L25" s="50" t="s">
        <v>47</v>
      </c>
      <c r="M25" s="73" t="s">
        <v>35</v>
      </c>
      <c r="N25" s="54">
        <f t="shared" si="0"/>
        <v>8</v>
      </c>
      <c r="O25" s="170">
        <v>0</v>
      </c>
      <c r="P25" s="191" t="s">
        <v>48</v>
      </c>
      <c r="Q25" s="192"/>
      <c r="R25" s="192"/>
      <c r="S25" s="192"/>
      <c r="T25" s="192"/>
      <c r="U25" s="193"/>
    </row>
    <row r="26" spans="1:21" ht="16" thickBot="1">
      <c r="A26" s="118"/>
      <c r="B26" s="119"/>
      <c r="C26" s="120"/>
      <c r="D26" s="120"/>
      <c r="E26" s="121"/>
      <c r="F26" s="129"/>
      <c r="G26" s="122"/>
      <c r="H26" s="147"/>
      <c r="I26" s="148"/>
      <c r="J26" s="125"/>
      <c r="K26" s="125"/>
      <c r="L26" s="126"/>
      <c r="M26" s="126"/>
      <c r="N26" s="127"/>
      <c r="O26" s="172"/>
      <c r="P26" s="194"/>
      <c r="Q26" s="195"/>
      <c r="R26" s="195"/>
      <c r="S26" s="195"/>
      <c r="T26" s="195"/>
      <c r="U26" s="196"/>
    </row>
  </sheetData>
  <mergeCells count="43">
    <mergeCell ref="P22:U22"/>
    <mergeCell ref="P23:U23"/>
    <mergeCell ref="P24:U24"/>
    <mergeCell ref="P25:U25"/>
    <mergeCell ref="P26:U26"/>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47106"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47107"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47108"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47109"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47110"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A3059C0B-1B8C-47E6-82DC-087E13DB468D}">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1E006631-C5C1-4FB1-A72F-F87B70FF2DBE}">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EF7B8EAD-B7C4-4D26-80F9-D5E38A901012}">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354ABBE4-ED49-4FC9-ABB9-97897C366FEC}">
            <xm:f>(AND(H19&lt;&gt;"",ISERROR(VLOOKUP(H19,system!$E:$E,1,FALSE))))</xm:f>
            <x14:dxf>
              <fill>
                <patternFill>
                  <bgColor rgb="FFFF0000"/>
                </patternFill>
              </fill>
            </x14:dxf>
          </x14:cfRule>
          <xm:sqref>I19:I26</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0DA33-7E13-4A1D-B045-3E295B7B052E}">
  <sheetPr codeName="Sheet46">
    <pageSetUpPr fitToPage="1"/>
  </sheetPr>
  <dimension ref="A1:U3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591</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166</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SUM(N14:N38)</f>
        <v>163</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197</v>
      </c>
      <c r="D14" s="80"/>
      <c r="E14" s="81"/>
      <c r="F14" s="146"/>
      <c r="G14" s="17"/>
      <c r="H14" s="18" t="s">
        <v>49</v>
      </c>
      <c r="I14" s="59"/>
      <c r="J14" s="19">
        <v>1</v>
      </c>
      <c r="K14" s="19"/>
      <c r="L14" s="50" t="s">
        <v>189</v>
      </c>
      <c r="M14" s="73" t="s">
        <v>21</v>
      </c>
      <c r="N14" s="54">
        <f t="shared" ref="N14:N36" si="0">IF(H14="NUMBER",IF(J14&gt;0,INT((J14+1)/2+0.9),0),IF(H14="DATE",7,IF(OR(H14="LONG",H14="LONG RAW"),100000,J14)))</f>
        <v>1</v>
      </c>
      <c r="O14" s="170"/>
      <c r="P14" s="191" t="s">
        <v>592</v>
      </c>
      <c r="Q14" s="192"/>
      <c r="R14" s="192"/>
      <c r="S14" s="192"/>
      <c r="T14" s="192"/>
      <c r="U14" s="193"/>
    </row>
    <row r="15" spans="1:21" ht="15.75" customHeight="1">
      <c r="A15" s="85" t="s">
        <v>190</v>
      </c>
      <c r="B15" s="37">
        <f>ROW()-13</f>
        <v>2</v>
      </c>
      <c r="C15" s="145" t="s">
        <v>199</v>
      </c>
      <c r="D15" s="80"/>
      <c r="E15" s="81"/>
      <c r="F15" s="146"/>
      <c r="G15" s="17"/>
      <c r="H15" s="18" t="s">
        <v>51</v>
      </c>
      <c r="I15" s="59"/>
      <c r="J15" s="19">
        <v>25</v>
      </c>
      <c r="K15" s="19"/>
      <c r="L15" s="50" t="s">
        <v>189</v>
      </c>
      <c r="M15" s="73" t="s">
        <v>21</v>
      </c>
      <c r="N15" s="54">
        <f t="shared" si="0"/>
        <v>25</v>
      </c>
      <c r="O15" s="170"/>
      <c r="P15" s="191" t="s">
        <v>592</v>
      </c>
      <c r="Q15" s="192"/>
      <c r="R15" s="192"/>
      <c r="S15" s="192"/>
      <c r="T15" s="192"/>
      <c r="U15" s="193"/>
    </row>
    <row r="16" spans="1:21" ht="15.75" customHeight="1">
      <c r="A16" s="85" t="s">
        <v>190</v>
      </c>
      <c r="B16" s="37">
        <f>ROW()-13</f>
        <v>3</v>
      </c>
      <c r="C16" s="145" t="s">
        <v>201</v>
      </c>
      <c r="D16" s="80"/>
      <c r="E16" s="81"/>
      <c r="F16" s="146"/>
      <c r="G16" s="17"/>
      <c r="H16" s="18" t="s">
        <v>51</v>
      </c>
      <c r="I16" s="59"/>
      <c r="J16" s="19">
        <v>4</v>
      </c>
      <c r="K16" s="19"/>
      <c r="L16" s="50" t="s">
        <v>189</v>
      </c>
      <c r="M16" s="73" t="s">
        <v>21</v>
      </c>
      <c r="N16" s="54">
        <f t="shared" si="0"/>
        <v>4</v>
      </c>
      <c r="O16" s="170"/>
      <c r="P16" s="191" t="s">
        <v>592</v>
      </c>
      <c r="Q16" s="192"/>
      <c r="R16" s="192"/>
      <c r="S16" s="192"/>
      <c r="T16" s="192"/>
      <c r="U16" s="193"/>
    </row>
    <row r="17" spans="1:21" ht="86.25" customHeight="1">
      <c r="A17" s="85" t="s">
        <v>190</v>
      </c>
      <c r="B17" s="37">
        <f>ROW()-13</f>
        <v>4</v>
      </c>
      <c r="C17" s="145" t="s">
        <v>204</v>
      </c>
      <c r="D17" s="80"/>
      <c r="E17" s="81"/>
      <c r="F17" s="146"/>
      <c r="G17" s="17"/>
      <c r="H17" s="18" t="s">
        <v>49</v>
      </c>
      <c r="I17" s="59"/>
      <c r="J17" s="19">
        <v>1</v>
      </c>
      <c r="K17" s="19"/>
      <c r="L17" s="50" t="s">
        <v>189</v>
      </c>
      <c r="M17" s="73" t="s">
        <v>21</v>
      </c>
      <c r="N17" s="54">
        <f t="shared" si="0"/>
        <v>1</v>
      </c>
      <c r="O17" s="170"/>
      <c r="P17" s="251" t="s">
        <v>593</v>
      </c>
      <c r="Q17" s="192"/>
      <c r="R17" s="192"/>
      <c r="S17" s="192"/>
      <c r="T17" s="192"/>
      <c r="U17" s="193"/>
    </row>
    <row r="18" spans="1:21" ht="39.25" customHeight="1">
      <c r="A18" s="85" t="s">
        <v>190</v>
      </c>
      <c r="B18" s="37">
        <f>ROW()-13</f>
        <v>5</v>
      </c>
      <c r="C18" s="145" t="s">
        <v>207</v>
      </c>
      <c r="D18" s="80"/>
      <c r="E18" s="81"/>
      <c r="F18" s="146"/>
      <c r="G18" s="17"/>
      <c r="H18" s="18" t="s">
        <v>49</v>
      </c>
      <c r="I18" s="59"/>
      <c r="J18" s="19">
        <v>1</v>
      </c>
      <c r="K18" s="19"/>
      <c r="L18" s="50" t="s">
        <v>189</v>
      </c>
      <c r="M18" s="73" t="s">
        <v>21</v>
      </c>
      <c r="N18" s="54">
        <f t="shared" si="0"/>
        <v>1</v>
      </c>
      <c r="O18" s="170"/>
      <c r="P18" s="251" t="s">
        <v>594</v>
      </c>
      <c r="Q18" s="192"/>
      <c r="R18" s="192"/>
      <c r="S18" s="192"/>
      <c r="T18" s="192"/>
      <c r="U18" s="193"/>
    </row>
    <row r="19" spans="1:21" ht="15.75" customHeight="1">
      <c r="A19" s="85" t="s">
        <v>190</v>
      </c>
      <c r="B19" s="37">
        <f>ROW()-13</f>
        <v>6</v>
      </c>
      <c r="C19" s="145" t="s">
        <v>193</v>
      </c>
      <c r="D19" s="80"/>
      <c r="E19" s="81"/>
      <c r="F19" s="146"/>
      <c r="G19" s="17"/>
      <c r="H19" s="18" t="s">
        <v>51</v>
      </c>
      <c r="I19" s="59"/>
      <c r="J19" s="19">
        <v>2</v>
      </c>
      <c r="K19" s="19"/>
      <c r="L19" s="50" t="s">
        <v>189</v>
      </c>
      <c r="M19" s="73" t="s">
        <v>21</v>
      </c>
      <c r="N19" s="54">
        <f t="shared" si="0"/>
        <v>2</v>
      </c>
      <c r="O19" s="170"/>
      <c r="P19" s="191" t="s">
        <v>162</v>
      </c>
      <c r="Q19" s="192"/>
      <c r="R19" s="192"/>
      <c r="S19" s="192"/>
      <c r="T19" s="192"/>
      <c r="U19" s="193"/>
    </row>
    <row r="20" spans="1:21" ht="15.75" customHeight="1">
      <c r="A20" s="85" t="s">
        <v>190</v>
      </c>
      <c r="B20" s="37">
        <f>ROW()-13</f>
        <v>7</v>
      </c>
      <c r="C20" s="145" t="s">
        <v>322</v>
      </c>
      <c r="D20" s="80"/>
      <c r="E20" s="81"/>
      <c r="F20" s="146"/>
      <c r="G20" s="17"/>
      <c r="H20" s="18" t="s">
        <v>51</v>
      </c>
      <c r="I20" s="59"/>
      <c r="J20" s="19">
        <v>10</v>
      </c>
      <c r="K20" s="19"/>
      <c r="L20" s="50" t="s">
        <v>189</v>
      </c>
      <c r="M20" s="73" t="s">
        <v>21</v>
      </c>
      <c r="N20" s="54">
        <f t="shared" si="0"/>
        <v>10</v>
      </c>
      <c r="O20" s="170"/>
      <c r="P20" s="191" t="s">
        <v>163</v>
      </c>
      <c r="Q20" s="192"/>
      <c r="R20" s="192"/>
      <c r="S20" s="192"/>
      <c r="T20" s="192"/>
      <c r="U20" s="193"/>
    </row>
    <row r="21" spans="1:21" ht="15.75" customHeight="1">
      <c r="A21" s="85"/>
      <c r="B21" s="37">
        <f>ROW()-13</f>
        <v>8</v>
      </c>
      <c r="C21" s="145" t="s">
        <v>595</v>
      </c>
      <c r="D21" s="80"/>
      <c r="E21" s="81"/>
      <c r="F21" s="146"/>
      <c r="G21" s="17"/>
      <c r="H21" s="18" t="s">
        <v>51</v>
      </c>
      <c r="I21" s="59"/>
      <c r="J21" s="19">
        <v>2</v>
      </c>
      <c r="K21" s="19"/>
      <c r="L21" s="50" t="s">
        <v>189</v>
      </c>
      <c r="M21" s="73" t="s">
        <v>21</v>
      </c>
      <c r="N21" s="54">
        <f t="shared" si="0"/>
        <v>2</v>
      </c>
      <c r="O21" s="170"/>
      <c r="P21" s="191" t="s">
        <v>162</v>
      </c>
      <c r="Q21" s="192"/>
      <c r="R21" s="192"/>
      <c r="S21" s="192"/>
      <c r="T21" s="192"/>
      <c r="U21" s="193"/>
    </row>
    <row r="22" spans="1:21" ht="15.75" customHeight="1">
      <c r="A22" s="85"/>
      <c r="B22" s="37">
        <f>ROW()-13</f>
        <v>9</v>
      </c>
      <c r="C22" s="145" t="s">
        <v>596</v>
      </c>
      <c r="D22" s="80"/>
      <c r="E22" s="81"/>
      <c r="F22" s="146"/>
      <c r="G22" s="17"/>
      <c r="H22" s="18" t="s">
        <v>51</v>
      </c>
      <c r="I22" s="59"/>
      <c r="J22" s="19">
        <v>10</v>
      </c>
      <c r="K22" s="19"/>
      <c r="L22" s="50" t="s">
        <v>189</v>
      </c>
      <c r="M22" s="73" t="s">
        <v>21</v>
      </c>
      <c r="N22" s="54">
        <f t="shared" si="0"/>
        <v>10</v>
      </c>
      <c r="O22" s="170"/>
      <c r="P22" s="191" t="s">
        <v>163</v>
      </c>
      <c r="Q22" s="192"/>
      <c r="R22" s="192"/>
      <c r="S22" s="192"/>
      <c r="T22" s="192"/>
      <c r="U22" s="193"/>
    </row>
    <row r="23" spans="1:21" ht="15.75" customHeight="1">
      <c r="A23" s="85"/>
      <c r="B23" s="37">
        <f>ROW()-13</f>
        <v>10</v>
      </c>
      <c r="C23" s="145" t="s">
        <v>597</v>
      </c>
      <c r="D23" s="80"/>
      <c r="E23" s="81"/>
      <c r="F23" s="146"/>
      <c r="G23" s="17"/>
      <c r="H23" s="18" t="s">
        <v>49</v>
      </c>
      <c r="I23" s="59"/>
      <c r="J23" s="19">
        <v>1</v>
      </c>
      <c r="K23" s="19"/>
      <c r="L23" s="50" t="s">
        <v>189</v>
      </c>
      <c r="M23" s="73" t="s">
        <v>21</v>
      </c>
      <c r="N23" s="54">
        <f t="shared" si="0"/>
        <v>1</v>
      </c>
      <c r="O23" s="170"/>
      <c r="P23" s="191"/>
      <c r="Q23" s="192"/>
      <c r="R23" s="192"/>
      <c r="S23" s="192"/>
      <c r="T23" s="192"/>
      <c r="U23" s="193"/>
    </row>
    <row r="24" spans="1:21" ht="15.75" customHeight="1">
      <c r="A24" s="85"/>
      <c r="B24" s="37">
        <f>ROW()-13</f>
        <v>11</v>
      </c>
      <c r="C24" s="145" t="s">
        <v>598</v>
      </c>
      <c r="D24" s="80"/>
      <c r="E24" s="81"/>
      <c r="F24" s="146"/>
      <c r="G24" s="17"/>
      <c r="H24" s="18" t="s">
        <v>49</v>
      </c>
      <c r="I24" s="59"/>
      <c r="J24" s="19">
        <v>1</v>
      </c>
      <c r="K24" s="19"/>
      <c r="L24" s="50" t="s">
        <v>189</v>
      </c>
      <c r="M24" s="73" t="s">
        <v>21</v>
      </c>
      <c r="N24" s="54">
        <f t="shared" si="0"/>
        <v>1</v>
      </c>
      <c r="O24" s="170"/>
      <c r="P24" s="191"/>
      <c r="Q24" s="192"/>
      <c r="R24" s="192"/>
      <c r="S24" s="192"/>
      <c r="T24" s="192"/>
      <c r="U24" s="193"/>
    </row>
    <row r="25" spans="1:21" ht="27.5" customHeight="1">
      <c r="A25" s="85"/>
      <c r="B25" s="37">
        <f>ROW()-13</f>
        <v>12</v>
      </c>
      <c r="C25" s="145" t="s">
        <v>599</v>
      </c>
      <c r="D25" s="80"/>
      <c r="E25" s="81"/>
      <c r="F25" s="146"/>
      <c r="G25" s="17"/>
      <c r="H25" s="18" t="s">
        <v>49</v>
      </c>
      <c r="I25" s="59"/>
      <c r="J25" s="19">
        <v>1</v>
      </c>
      <c r="K25" s="19"/>
      <c r="L25" s="50"/>
      <c r="M25" s="73" t="s">
        <v>21</v>
      </c>
      <c r="N25" s="54">
        <f t="shared" si="0"/>
        <v>1</v>
      </c>
      <c r="O25" s="170"/>
      <c r="P25" s="251" t="s">
        <v>600</v>
      </c>
      <c r="Q25" s="192"/>
      <c r="R25" s="192"/>
      <c r="S25" s="192"/>
      <c r="T25" s="192"/>
      <c r="U25" s="193"/>
    </row>
    <row r="26" spans="1:21" ht="39.25" customHeight="1">
      <c r="A26" s="85"/>
      <c r="B26" s="37">
        <f>ROW()-13</f>
        <v>13</v>
      </c>
      <c r="C26" s="145" t="s">
        <v>601</v>
      </c>
      <c r="D26" s="80"/>
      <c r="E26" s="81"/>
      <c r="F26" s="146"/>
      <c r="G26" s="17"/>
      <c r="H26" s="18" t="s">
        <v>49</v>
      </c>
      <c r="I26" s="59"/>
      <c r="J26" s="19">
        <v>1</v>
      </c>
      <c r="K26" s="19"/>
      <c r="L26" s="50"/>
      <c r="M26" s="73" t="s">
        <v>21</v>
      </c>
      <c r="N26" s="54">
        <f t="shared" si="0"/>
        <v>1</v>
      </c>
      <c r="O26" s="170"/>
      <c r="P26" s="251" t="s">
        <v>602</v>
      </c>
      <c r="Q26" s="192"/>
      <c r="R26" s="192"/>
      <c r="S26" s="192"/>
      <c r="T26" s="192"/>
      <c r="U26" s="193"/>
    </row>
    <row r="27" spans="1:21" ht="39.25" customHeight="1">
      <c r="A27" s="85"/>
      <c r="B27" s="37">
        <f>ROW()-13</f>
        <v>14</v>
      </c>
      <c r="C27" s="145" t="s">
        <v>603</v>
      </c>
      <c r="D27" s="80"/>
      <c r="E27" s="81"/>
      <c r="F27" s="146"/>
      <c r="G27" s="17"/>
      <c r="H27" s="18" t="s">
        <v>49</v>
      </c>
      <c r="I27" s="59"/>
      <c r="J27" s="19">
        <v>1</v>
      </c>
      <c r="K27" s="19"/>
      <c r="L27" s="50"/>
      <c r="M27" s="73" t="s">
        <v>21</v>
      </c>
      <c r="N27" s="54">
        <f t="shared" si="0"/>
        <v>1</v>
      </c>
      <c r="O27" s="170"/>
      <c r="P27" s="251" t="s">
        <v>604</v>
      </c>
      <c r="Q27" s="192"/>
      <c r="R27" s="192"/>
      <c r="S27" s="192"/>
      <c r="T27" s="192"/>
      <c r="U27" s="193"/>
    </row>
    <row r="28" spans="1:21" ht="27.5" customHeight="1">
      <c r="A28" s="85"/>
      <c r="B28" s="37">
        <f>ROW()-13</f>
        <v>15</v>
      </c>
      <c r="C28" s="145" t="s">
        <v>605</v>
      </c>
      <c r="D28" s="80"/>
      <c r="E28" s="81"/>
      <c r="F28" s="146"/>
      <c r="G28" s="17"/>
      <c r="H28" s="18" t="s">
        <v>211</v>
      </c>
      <c r="I28" s="59"/>
      <c r="J28" s="19"/>
      <c r="K28" s="19"/>
      <c r="L28" s="50"/>
      <c r="M28" s="73" t="s">
        <v>21</v>
      </c>
      <c r="N28" s="54">
        <f t="shared" si="0"/>
        <v>0</v>
      </c>
      <c r="O28" s="170"/>
      <c r="P28" s="251" t="s">
        <v>606</v>
      </c>
      <c r="Q28" s="192"/>
      <c r="R28" s="192"/>
      <c r="S28" s="192"/>
      <c r="T28" s="192"/>
      <c r="U28" s="193"/>
    </row>
    <row r="29" spans="1:21" ht="15.75" customHeight="1">
      <c r="A29" s="85"/>
      <c r="B29" s="37">
        <f>ROW()-13</f>
        <v>16</v>
      </c>
      <c r="C29" s="145" t="s">
        <v>276</v>
      </c>
      <c r="D29" s="80"/>
      <c r="E29" s="81"/>
      <c r="F29" s="146" t="s">
        <v>534</v>
      </c>
      <c r="G29" s="17"/>
      <c r="H29" s="18" t="s">
        <v>51</v>
      </c>
      <c r="I29" s="59"/>
      <c r="J29" s="19">
        <v>50</v>
      </c>
      <c r="K29" s="19"/>
      <c r="L29" s="50"/>
      <c r="M29" s="73" t="s">
        <v>21</v>
      </c>
      <c r="N29" s="54">
        <f t="shared" si="0"/>
        <v>50</v>
      </c>
      <c r="O29" s="170"/>
      <c r="P29" s="191"/>
      <c r="Q29" s="192"/>
      <c r="R29" s="192"/>
      <c r="S29" s="192"/>
      <c r="T29" s="192"/>
      <c r="U29" s="193"/>
    </row>
    <row r="30" spans="1:21" ht="15.5">
      <c r="A30" s="85"/>
      <c r="B30" s="37">
        <f t="shared" ref="B30:B36" si="1">ROW()-13</f>
        <v>17</v>
      </c>
      <c r="C30" s="107" t="s">
        <v>36</v>
      </c>
      <c r="D30" s="107"/>
      <c r="E30" s="108"/>
      <c r="F30" s="109" t="s">
        <v>78</v>
      </c>
      <c r="G30" s="110"/>
      <c r="H30" s="18" t="s">
        <v>51</v>
      </c>
      <c r="I30" s="59"/>
      <c r="J30" s="113">
        <v>12</v>
      </c>
      <c r="K30" s="113"/>
      <c r="L30" s="114"/>
      <c r="M30" s="115" t="s">
        <v>35</v>
      </c>
      <c r="N30" s="116">
        <f t="shared" si="0"/>
        <v>12</v>
      </c>
      <c r="O30" s="171"/>
      <c r="P30" s="197"/>
      <c r="Q30" s="198"/>
      <c r="R30" s="198"/>
      <c r="S30" s="198"/>
      <c r="T30" s="198"/>
      <c r="U30" s="199"/>
    </row>
    <row r="31" spans="1:21" ht="15.5">
      <c r="A31" s="85"/>
      <c r="B31" s="37">
        <f t="shared" si="1"/>
        <v>18</v>
      </c>
      <c r="C31" s="107" t="s">
        <v>37</v>
      </c>
      <c r="D31" s="107"/>
      <c r="E31" s="108"/>
      <c r="F31" s="109" t="s">
        <v>43</v>
      </c>
      <c r="G31" s="110"/>
      <c r="H31" s="18" t="s">
        <v>51</v>
      </c>
      <c r="I31" s="59"/>
      <c r="J31" s="113">
        <v>10</v>
      </c>
      <c r="K31" s="113"/>
      <c r="L31" s="114"/>
      <c r="M31" s="115" t="s">
        <v>21</v>
      </c>
      <c r="N31" s="116">
        <f t="shared" si="0"/>
        <v>10</v>
      </c>
      <c r="O31" s="171"/>
      <c r="P31" s="197"/>
      <c r="Q31" s="198"/>
      <c r="R31" s="198"/>
      <c r="S31" s="198"/>
      <c r="T31" s="198"/>
      <c r="U31" s="199"/>
    </row>
    <row r="32" spans="1:21" ht="15.5">
      <c r="A32" s="85"/>
      <c r="B32" s="37">
        <f t="shared" si="1"/>
        <v>19</v>
      </c>
      <c r="C32" s="107" t="s">
        <v>38</v>
      </c>
      <c r="D32" s="107"/>
      <c r="E32" s="108"/>
      <c r="F32" s="109" t="s">
        <v>80</v>
      </c>
      <c r="G32" s="110"/>
      <c r="H32" s="18" t="s">
        <v>86</v>
      </c>
      <c r="I32" s="59"/>
      <c r="J32" s="113"/>
      <c r="K32" s="113"/>
      <c r="L32" s="114"/>
      <c r="M32" s="115" t="s">
        <v>21</v>
      </c>
      <c r="N32" s="116">
        <f t="shared" si="0"/>
        <v>0</v>
      </c>
      <c r="O32" s="171"/>
      <c r="P32" s="197"/>
      <c r="Q32" s="198"/>
      <c r="R32" s="198"/>
      <c r="S32" s="198"/>
      <c r="T32" s="198"/>
      <c r="U32" s="199"/>
    </row>
    <row r="33" spans="1:21" ht="15.5">
      <c r="A33" s="85"/>
      <c r="B33" s="37">
        <f t="shared" si="1"/>
        <v>20</v>
      </c>
      <c r="C33" s="107" t="s">
        <v>39</v>
      </c>
      <c r="D33" s="107"/>
      <c r="E33" s="108"/>
      <c r="F33" s="109" t="s">
        <v>79</v>
      </c>
      <c r="G33" s="110"/>
      <c r="H33" s="18" t="s">
        <v>51</v>
      </c>
      <c r="I33" s="59"/>
      <c r="J33" s="113">
        <v>12</v>
      </c>
      <c r="K33" s="113"/>
      <c r="L33" s="114"/>
      <c r="M33" s="115" t="s">
        <v>35</v>
      </c>
      <c r="N33" s="116">
        <f t="shared" si="0"/>
        <v>12</v>
      </c>
      <c r="O33" s="171"/>
      <c r="P33" s="197"/>
      <c r="Q33" s="198"/>
      <c r="R33" s="198"/>
      <c r="S33" s="198"/>
      <c r="T33" s="198"/>
      <c r="U33" s="199"/>
    </row>
    <row r="34" spans="1:21" ht="15.5">
      <c r="A34" s="85"/>
      <c r="B34" s="37">
        <f t="shared" si="1"/>
        <v>21</v>
      </c>
      <c r="C34" s="107" t="s">
        <v>40</v>
      </c>
      <c r="D34" s="107"/>
      <c r="E34" s="108"/>
      <c r="F34" s="109" t="s">
        <v>44</v>
      </c>
      <c r="G34" s="110"/>
      <c r="H34" s="18" t="s">
        <v>51</v>
      </c>
      <c r="I34" s="59"/>
      <c r="J34" s="113">
        <v>10</v>
      </c>
      <c r="K34" s="113"/>
      <c r="L34" s="114"/>
      <c r="M34" s="115" t="s">
        <v>21</v>
      </c>
      <c r="N34" s="116">
        <f t="shared" si="0"/>
        <v>10</v>
      </c>
      <c r="O34" s="171"/>
      <c r="P34" s="197"/>
      <c r="Q34" s="198"/>
      <c r="R34" s="198"/>
      <c r="S34" s="198"/>
      <c r="T34" s="198"/>
      <c r="U34" s="199"/>
    </row>
    <row r="35" spans="1:21" ht="15.5">
      <c r="A35" s="85"/>
      <c r="B35" s="37">
        <f t="shared" si="1"/>
        <v>22</v>
      </c>
      <c r="C35" s="107" t="s">
        <v>41</v>
      </c>
      <c r="D35" s="107"/>
      <c r="E35" s="108"/>
      <c r="F35" s="109" t="s">
        <v>81</v>
      </c>
      <c r="G35" s="110"/>
      <c r="H35" s="18" t="s">
        <v>86</v>
      </c>
      <c r="I35" s="59"/>
      <c r="J35" s="113"/>
      <c r="K35" s="113"/>
      <c r="L35" s="114"/>
      <c r="M35" s="115" t="s">
        <v>21</v>
      </c>
      <c r="N35" s="116">
        <f t="shared" si="0"/>
        <v>0</v>
      </c>
      <c r="O35" s="171"/>
      <c r="P35" s="197"/>
      <c r="Q35" s="198"/>
      <c r="R35" s="198"/>
      <c r="S35" s="198"/>
      <c r="T35" s="198"/>
      <c r="U35" s="199"/>
    </row>
    <row r="36" spans="1:21" ht="15.5">
      <c r="A36" s="85"/>
      <c r="B36" s="37">
        <f t="shared" si="1"/>
        <v>23</v>
      </c>
      <c r="C36" s="80" t="s">
        <v>46</v>
      </c>
      <c r="D36" s="80"/>
      <c r="E36" s="81"/>
      <c r="F36" s="84" t="s">
        <v>71</v>
      </c>
      <c r="G36" s="17"/>
      <c r="H36" s="18" t="s">
        <v>62</v>
      </c>
      <c r="I36" s="59"/>
      <c r="J36" s="19">
        <v>8</v>
      </c>
      <c r="K36" s="19"/>
      <c r="L36" s="50" t="s">
        <v>47</v>
      </c>
      <c r="M36" s="73" t="s">
        <v>35</v>
      </c>
      <c r="N36" s="54">
        <f t="shared" si="0"/>
        <v>8</v>
      </c>
      <c r="O36" s="170">
        <v>0</v>
      </c>
      <c r="P36" s="191" t="s">
        <v>48</v>
      </c>
      <c r="Q36" s="192"/>
      <c r="R36" s="192"/>
      <c r="S36" s="192"/>
      <c r="T36" s="192"/>
      <c r="U36" s="193"/>
    </row>
    <row r="37" spans="1:21" ht="16" thickBot="1">
      <c r="A37" s="118"/>
      <c r="B37" s="119"/>
      <c r="C37" s="120"/>
      <c r="D37" s="120"/>
      <c r="E37" s="121"/>
      <c r="F37" s="129"/>
      <c r="G37" s="122"/>
      <c r="H37" s="147"/>
      <c r="I37" s="148"/>
      <c r="J37" s="125"/>
      <c r="K37" s="125"/>
      <c r="L37" s="126"/>
      <c r="M37" s="126"/>
      <c r="N37" s="127"/>
      <c r="O37" s="172"/>
      <c r="P37" s="194"/>
      <c r="Q37" s="195"/>
      <c r="R37" s="195"/>
      <c r="S37" s="195"/>
      <c r="T37" s="195"/>
      <c r="U37" s="196"/>
    </row>
  </sheetData>
  <mergeCells count="54">
    <mergeCell ref="P34:U34"/>
    <mergeCell ref="P35:U35"/>
    <mergeCell ref="P36:U36"/>
    <mergeCell ref="P37:U37"/>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9"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48130"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48131"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48132"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48133"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48134"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CC2A465-CC92-4CD5-9DD0-E5CEA19B4534}">
            <xm:f>(AND(H14&lt;&gt;"",ISERROR(VLOOKUP(H14,system!$E:$E,1,FALSE))))</xm:f>
            <x14:dxf>
              <fill>
                <patternFill patternType="solid">
                  <bgColor rgb="FFFF0000"/>
                </patternFill>
              </fill>
            </x14:dxf>
          </x14:cfRule>
          <xm:sqref>H14:H29</xm:sqref>
        </x14:conditionalFormatting>
        <x14:conditionalFormatting xmlns:xm="http://schemas.microsoft.com/office/excel/2006/main">
          <x14:cfRule type="expression" priority="3" id="{0A515CC0-5F80-454D-8DD9-713BAE5775F1}">
            <xm:f>(AND(H14&lt;&gt;"",ISERROR(VLOOKUP(H14,system!$E:$E,1,FALSE))))</xm:f>
            <x14:dxf>
              <fill>
                <patternFill>
                  <bgColor rgb="FFFF0000"/>
                </patternFill>
              </fill>
            </x14:dxf>
          </x14:cfRule>
          <xm:sqref>I14:I29</xm:sqref>
        </x14:conditionalFormatting>
        <x14:conditionalFormatting xmlns:xm="http://schemas.microsoft.com/office/excel/2006/main">
          <x14:cfRule type="expression" priority="2" id="{1D11733F-326E-4141-AD1F-5BB985D7195B}">
            <xm:f>(AND(H30&lt;&gt;"",ISERROR(VLOOKUP(H30,system!$E:$E,1,FALSE))))</xm:f>
            <x14:dxf>
              <fill>
                <patternFill patternType="solid">
                  <bgColor rgb="FFFF0000"/>
                </patternFill>
              </fill>
            </x14:dxf>
          </x14:cfRule>
          <xm:sqref>H30:H37</xm:sqref>
        </x14:conditionalFormatting>
        <x14:conditionalFormatting xmlns:xm="http://schemas.microsoft.com/office/excel/2006/main">
          <x14:cfRule type="expression" priority="1" id="{88ED9C71-2703-44BB-BFC9-985366DC6EE3}">
            <xm:f>(AND(H30&lt;&gt;"",ISERROR(VLOOKUP(H30,system!$E:$E,1,FALSE))))</xm:f>
            <x14:dxf>
              <fill>
                <patternFill>
                  <bgColor rgb="FFFF0000"/>
                </patternFill>
              </fill>
            </x14:dxf>
          </x14:cfRule>
          <xm:sqref>I30:I37</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1AE92-81F9-47FC-86B8-504E8FA62C8F}">
  <sheetPr codeName="Sheet47">
    <pageSetUpPr fitToPage="1"/>
  </sheetPr>
  <dimension ref="A1:U2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608</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167</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SUM(N14:N28)</f>
        <v>132</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322</v>
      </c>
      <c r="D14" s="80"/>
      <c r="E14" s="81"/>
      <c r="F14" s="146"/>
      <c r="G14" s="17"/>
      <c r="H14" s="18" t="s">
        <v>51</v>
      </c>
      <c r="I14" s="59"/>
      <c r="J14" s="19">
        <v>10</v>
      </c>
      <c r="K14" s="19"/>
      <c r="L14" s="50" t="s">
        <v>189</v>
      </c>
      <c r="M14" s="73" t="s">
        <v>21</v>
      </c>
      <c r="N14" s="54">
        <f t="shared" ref="N14:N26" si="0">IF(H14="NUMBER",IF(J14&gt;0,INT((J14+1)/2+0.9),0),IF(H14="DATE",7,IF(OR(H14="LONG",H14="LONG RAW"),100000,J14)))</f>
        <v>10</v>
      </c>
      <c r="O14" s="170"/>
      <c r="P14" s="191" t="s">
        <v>163</v>
      </c>
      <c r="Q14" s="192"/>
      <c r="R14" s="192"/>
      <c r="S14" s="192"/>
      <c r="T14" s="192"/>
      <c r="U14" s="193"/>
    </row>
    <row r="15" spans="1:21" ht="15.75" customHeight="1">
      <c r="A15" s="85" t="s">
        <v>190</v>
      </c>
      <c r="B15" s="37">
        <f>ROW()-13</f>
        <v>2</v>
      </c>
      <c r="C15" s="145" t="s">
        <v>609</v>
      </c>
      <c r="D15" s="80"/>
      <c r="E15" s="81"/>
      <c r="F15" s="146"/>
      <c r="G15" s="17"/>
      <c r="H15" s="18" t="s">
        <v>51</v>
      </c>
      <c r="I15" s="59"/>
      <c r="J15" s="19">
        <v>10</v>
      </c>
      <c r="K15" s="19"/>
      <c r="L15" s="50" t="s">
        <v>189</v>
      </c>
      <c r="M15" s="73" t="s">
        <v>21</v>
      </c>
      <c r="N15" s="54">
        <f t="shared" si="0"/>
        <v>10</v>
      </c>
      <c r="O15" s="170"/>
      <c r="P15" s="191" t="s">
        <v>163</v>
      </c>
      <c r="Q15" s="192"/>
      <c r="R15" s="192"/>
      <c r="S15" s="192"/>
      <c r="T15" s="192"/>
      <c r="U15" s="193"/>
    </row>
    <row r="16" spans="1:21" ht="74.5" customHeight="1">
      <c r="A16" s="85"/>
      <c r="B16" s="37">
        <f>ROW()-13</f>
        <v>3</v>
      </c>
      <c r="C16" s="145" t="s">
        <v>610</v>
      </c>
      <c r="D16" s="80"/>
      <c r="E16" s="81"/>
      <c r="F16" s="146"/>
      <c r="G16" s="17"/>
      <c r="H16" s="18" t="s">
        <v>51</v>
      </c>
      <c r="I16" s="59"/>
      <c r="J16" s="19">
        <v>10</v>
      </c>
      <c r="K16" s="19"/>
      <c r="L16" s="50" t="s">
        <v>189</v>
      </c>
      <c r="M16" s="73" t="s">
        <v>21</v>
      </c>
      <c r="N16" s="54">
        <f t="shared" si="0"/>
        <v>10</v>
      </c>
      <c r="O16" s="170"/>
      <c r="P16" s="251" t="s">
        <v>611</v>
      </c>
      <c r="Q16" s="192"/>
      <c r="R16" s="192"/>
      <c r="S16" s="192"/>
      <c r="T16" s="192"/>
      <c r="U16" s="193"/>
    </row>
    <row r="17" spans="1:21" ht="15.75" customHeight="1">
      <c r="A17" s="85"/>
      <c r="B17" s="37">
        <f>ROW()-13</f>
        <v>4</v>
      </c>
      <c r="C17" s="145" t="s">
        <v>612</v>
      </c>
      <c r="D17" s="80"/>
      <c r="E17" s="81"/>
      <c r="F17" s="146"/>
      <c r="G17" s="17"/>
      <c r="H17" s="18" t="s">
        <v>211</v>
      </c>
      <c r="I17" s="59"/>
      <c r="J17" s="19"/>
      <c r="K17" s="19"/>
      <c r="L17" s="50" t="s">
        <v>189</v>
      </c>
      <c r="M17" s="73" t="s">
        <v>21</v>
      </c>
      <c r="N17" s="54">
        <f t="shared" si="0"/>
        <v>0</v>
      </c>
      <c r="O17" s="170"/>
      <c r="P17" s="191" t="s">
        <v>613</v>
      </c>
      <c r="Q17" s="192"/>
      <c r="R17" s="192"/>
      <c r="S17" s="192"/>
      <c r="T17" s="192"/>
      <c r="U17" s="193"/>
    </row>
    <row r="18" spans="1:21" ht="15.75" customHeight="1">
      <c r="A18" s="85"/>
      <c r="B18" s="37">
        <f>ROW()-13</f>
        <v>5</v>
      </c>
      <c r="C18" s="145" t="s">
        <v>614</v>
      </c>
      <c r="D18" s="80"/>
      <c r="E18" s="81"/>
      <c r="F18" s="146"/>
      <c r="G18" s="17"/>
      <c r="H18" s="18" t="s">
        <v>211</v>
      </c>
      <c r="I18" s="59"/>
      <c r="J18" s="19"/>
      <c r="K18" s="19"/>
      <c r="L18" s="50"/>
      <c r="M18" s="73" t="s">
        <v>21</v>
      </c>
      <c r="N18" s="54">
        <f t="shared" si="0"/>
        <v>0</v>
      </c>
      <c r="O18" s="170"/>
      <c r="P18" s="191" t="s">
        <v>615</v>
      </c>
      <c r="Q18" s="192"/>
      <c r="R18" s="192"/>
      <c r="S18" s="192"/>
      <c r="T18" s="192"/>
      <c r="U18" s="193"/>
    </row>
    <row r="19" spans="1:21" ht="15.75" customHeight="1">
      <c r="A19" s="85"/>
      <c r="B19" s="37">
        <f>ROW()-13</f>
        <v>6</v>
      </c>
      <c r="C19" s="145" t="s">
        <v>276</v>
      </c>
      <c r="D19" s="80"/>
      <c r="E19" s="81"/>
      <c r="F19" s="146" t="s">
        <v>534</v>
      </c>
      <c r="G19" s="17"/>
      <c r="H19" s="18" t="s">
        <v>51</v>
      </c>
      <c r="I19" s="59"/>
      <c r="J19" s="19">
        <v>50</v>
      </c>
      <c r="K19" s="19"/>
      <c r="L19" s="50"/>
      <c r="M19" s="73" t="s">
        <v>21</v>
      </c>
      <c r="N19" s="54">
        <f t="shared" si="0"/>
        <v>50</v>
      </c>
      <c r="O19" s="170"/>
      <c r="P19" s="191"/>
      <c r="Q19" s="192"/>
      <c r="R19" s="192"/>
      <c r="S19" s="192"/>
      <c r="T19" s="192"/>
      <c r="U19" s="193"/>
    </row>
    <row r="20" spans="1:21" ht="15.5">
      <c r="A20" s="85"/>
      <c r="B20" s="37">
        <f t="shared" ref="B20:B26" si="1">ROW()-13</f>
        <v>7</v>
      </c>
      <c r="C20" s="107" t="s">
        <v>36</v>
      </c>
      <c r="D20" s="107"/>
      <c r="E20" s="108"/>
      <c r="F20" s="109" t="s">
        <v>78</v>
      </c>
      <c r="G20" s="110"/>
      <c r="H20" s="18" t="s">
        <v>51</v>
      </c>
      <c r="I20" s="59"/>
      <c r="J20" s="113">
        <v>12</v>
      </c>
      <c r="K20" s="113"/>
      <c r="L20" s="114"/>
      <c r="M20" s="115" t="s">
        <v>35</v>
      </c>
      <c r="N20" s="116">
        <f t="shared" si="0"/>
        <v>12</v>
      </c>
      <c r="O20" s="171"/>
      <c r="P20" s="197"/>
      <c r="Q20" s="198"/>
      <c r="R20" s="198"/>
      <c r="S20" s="198"/>
      <c r="T20" s="198"/>
      <c r="U20" s="199"/>
    </row>
    <row r="21" spans="1:21" ht="15.5">
      <c r="A21" s="85"/>
      <c r="B21" s="37">
        <f t="shared" si="1"/>
        <v>8</v>
      </c>
      <c r="C21" s="107" t="s">
        <v>37</v>
      </c>
      <c r="D21" s="107"/>
      <c r="E21" s="108"/>
      <c r="F21" s="109" t="s">
        <v>43</v>
      </c>
      <c r="G21" s="110"/>
      <c r="H21" s="18" t="s">
        <v>51</v>
      </c>
      <c r="I21" s="59"/>
      <c r="J21" s="113">
        <v>10</v>
      </c>
      <c r="K21" s="113"/>
      <c r="L21" s="114"/>
      <c r="M21" s="115" t="s">
        <v>21</v>
      </c>
      <c r="N21" s="116">
        <f t="shared" si="0"/>
        <v>10</v>
      </c>
      <c r="O21" s="171"/>
      <c r="P21" s="197"/>
      <c r="Q21" s="198"/>
      <c r="R21" s="198"/>
      <c r="S21" s="198"/>
      <c r="T21" s="198"/>
      <c r="U21" s="199"/>
    </row>
    <row r="22" spans="1:21" ht="15.5">
      <c r="A22" s="85"/>
      <c r="B22" s="37">
        <f t="shared" si="1"/>
        <v>9</v>
      </c>
      <c r="C22" s="107" t="s">
        <v>38</v>
      </c>
      <c r="D22" s="107"/>
      <c r="E22" s="108"/>
      <c r="F22" s="109" t="s">
        <v>80</v>
      </c>
      <c r="G22" s="110"/>
      <c r="H22" s="18" t="s">
        <v>86</v>
      </c>
      <c r="I22" s="59"/>
      <c r="J22" s="113"/>
      <c r="K22" s="113"/>
      <c r="L22" s="114"/>
      <c r="M22" s="115" t="s">
        <v>21</v>
      </c>
      <c r="N22" s="116">
        <f t="shared" si="0"/>
        <v>0</v>
      </c>
      <c r="O22" s="171"/>
      <c r="P22" s="197"/>
      <c r="Q22" s="198"/>
      <c r="R22" s="198"/>
      <c r="S22" s="198"/>
      <c r="T22" s="198"/>
      <c r="U22" s="199"/>
    </row>
    <row r="23" spans="1:21" ht="15.5">
      <c r="A23" s="85"/>
      <c r="B23" s="37">
        <f t="shared" si="1"/>
        <v>10</v>
      </c>
      <c r="C23" s="107" t="s">
        <v>39</v>
      </c>
      <c r="D23" s="107"/>
      <c r="E23" s="108"/>
      <c r="F23" s="109" t="s">
        <v>79</v>
      </c>
      <c r="G23" s="110"/>
      <c r="H23" s="18" t="s">
        <v>51</v>
      </c>
      <c r="I23" s="59"/>
      <c r="J23" s="113">
        <v>12</v>
      </c>
      <c r="K23" s="113"/>
      <c r="L23" s="114"/>
      <c r="M23" s="115" t="s">
        <v>35</v>
      </c>
      <c r="N23" s="116">
        <f t="shared" si="0"/>
        <v>12</v>
      </c>
      <c r="O23" s="171"/>
      <c r="P23" s="197"/>
      <c r="Q23" s="198"/>
      <c r="R23" s="198"/>
      <c r="S23" s="198"/>
      <c r="T23" s="198"/>
      <c r="U23" s="199"/>
    </row>
    <row r="24" spans="1:21" ht="15.5">
      <c r="A24" s="85"/>
      <c r="B24" s="37">
        <f t="shared" si="1"/>
        <v>11</v>
      </c>
      <c r="C24" s="107" t="s">
        <v>40</v>
      </c>
      <c r="D24" s="107"/>
      <c r="E24" s="108"/>
      <c r="F24" s="109" t="s">
        <v>44</v>
      </c>
      <c r="G24" s="110"/>
      <c r="H24" s="18" t="s">
        <v>51</v>
      </c>
      <c r="I24" s="59"/>
      <c r="J24" s="113">
        <v>10</v>
      </c>
      <c r="K24" s="113"/>
      <c r="L24" s="114"/>
      <c r="M24" s="115" t="s">
        <v>21</v>
      </c>
      <c r="N24" s="116">
        <f t="shared" si="0"/>
        <v>10</v>
      </c>
      <c r="O24" s="171"/>
      <c r="P24" s="197"/>
      <c r="Q24" s="198"/>
      <c r="R24" s="198"/>
      <c r="S24" s="198"/>
      <c r="T24" s="198"/>
      <c r="U24" s="199"/>
    </row>
    <row r="25" spans="1:21" ht="15.5">
      <c r="A25" s="85"/>
      <c r="B25" s="37">
        <f t="shared" si="1"/>
        <v>12</v>
      </c>
      <c r="C25" s="107" t="s">
        <v>41</v>
      </c>
      <c r="D25" s="107"/>
      <c r="E25" s="108"/>
      <c r="F25" s="109" t="s">
        <v>81</v>
      </c>
      <c r="G25" s="110"/>
      <c r="H25" s="18" t="s">
        <v>86</v>
      </c>
      <c r="I25" s="59"/>
      <c r="J25" s="113"/>
      <c r="K25" s="113"/>
      <c r="L25" s="114"/>
      <c r="M25" s="115" t="s">
        <v>21</v>
      </c>
      <c r="N25" s="116">
        <f t="shared" si="0"/>
        <v>0</v>
      </c>
      <c r="O25" s="171"/>
      <c r="P25" s="197"/>
      <c r="Q25" s="198"/>
      <c r="R25" s="198"/>
      <c r="S25" s="198"/>
      <c r="T25" s="198"/>
      <c r="U25" s="199"/>
    </row>
    <row r="26" spans="1:21" ht="15.5">
      <c r="A26" s="85"/>
      <c r="B26" s="37">
        <f t="shared" si="1"/>
        <v>13</v>
      </c>
      <c r="C26" s="80" t="s">
        <v>46</v>
      </c>
      <c r="D26" s="80"/>
      <c r="E26" s="81"/>
      <c r="F26" s="84" t="s">
        <v>71</v>
      </c>
      <c r="G26" s="17"/>
      <c r="H26" s="18" t="s">
        <v>62</v>
      </c>
      <c r="I26" s="59"/>
      <c r="J26" s="19">
        <v>8</v>
      </c>
      <c r="K26" s="19"/>
      <c r="L26" s="50" t="s">
        <v>47</v>
      </c>
      <c r="M26" s="73" t="s">
        <v>35</v>
      </c>
      <c r="N26" s="54">
        <f t="shared" si="0"/>
        <v>8</v>
      </c>
      <c r="O26" s="170">
        <v>0</v>
      </c>
      <c r="P26" s="191" t="s">
        <v>48</v>
      </c>
      <c r="Q26" s="192"/>
      <c r="R26" s="192"/>
      <c r="S26" s="192"/>
      <c r="T26" s="192"/>
      <c r="U26" s="193"/>
    </row>
    <row r="27" spans="1:21" ht="16" thickBot="1">
      <c r="A27" s="118"/>
      <c r="B27" s="119"/>
      <c r="C27" s="120"/>
      <c r="D27" s="120"/>
      <c r="E27" s="121"/>
      <c r="F27" s="129"/>
      <c r="G27" s="122"/>
      <c r="H27" s="147"/>
      <c r="I27" s="148"/>
      <c r="J27" s="125"/>
      <c r="K27" s="125"/>
      <c r="L27" s="126"/>
      <c r="M27" s="126"/>
      <c r="N27" s="127"/>
      <c r="O27" s="172"/>
      <c r="P27" s="194"/>
      <c r="Q27" s="195"/>
      <c r="R27" s="195"/>
      <c r="S27" s="195"/>
      <c r="T27" s="195"/>
      <c r="U27" s="196"/>
    </row>
  </sheetData>
  <mergeCells count="44">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49154"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49155"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49156"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49157"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49158"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BF5E30A-7416-45AB-8CA3-9CC8D7397299}">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6FA244AB-D607-41C8-873B-D0629A84E69B}">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1868E214-C492-40A8-951F-F139C6CB0947}">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464F81B4-3695-482B-8296-9C35E6958437}">
            <xm:f>(AND(H20&lt;&gt;"",ISERROR(VLOOKUP(H20,system!$E:$E,1,FALSE))))</xm:f>
            <x14:dxf>
              <fill>
                <patternFill>
                  <bgColor rgb="FFFF0000"/>
                </patternFill>
              </fill>
            </x14:dxf>
          </x14:cfRule>
          <xm:sqref>I20:I27</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C11E3-D1B6-4E3D-8838-11E96D99D17B}">
  <sheetPr codeName="Sheet48">
    <pageSetUpPr fitToPage="1"/>
  </sheetPr>
  <dimension ref="A1:U24"/>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617</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168</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SUM(N14:N25)</f>
        <v>122</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322</v>
      </c>
      <c r="D14" s="80"/>
      <c r="E14" s="81"/>
      <c r="F14" s="146"/>
      <c r="G14" s="17"/>
      <c r="H14" s="18" t="s">
        <v>51</v>
      </c>
      <c r="I14" s="59"/>
      <c r="J14" s="19">
        <v>10</v>
      </c>
      <c r="K14" s="19"/>
      <c r="L14" s="50" t="s">
        <v>189</v>
      </c>
      <c r="M14" s="73" t="s">
        <v>21</v>
      </c>
      <c r="N14" s="54">
        <f t="shared" ref="N14:N23" si="0">IF(H14="NUMBER",IF(J14&gt;0,INT((J14+1)/2+0.9),0),IF(H14="DATE",7,IF(OR(H14="LONG",H14="LONG RAW"),100000,J14)))</f>
        <v>10</v>
      </c>
      <c r="O14" s="170"/>
      <c r="P14" s="191" t="s">
        <v>618</v>
      </c>
      <c r="Q14" s="192"/>
      <c r="R14" s="192"/>
      <c r="S14" s="192"/>
      <c r="T14" s="192"/>
      <c r="U14" s="193"/>
    </row>
    <row r="15" spans="1:21" ht="27.5" customHeight="1">
      <c r="A15" s="85" t="s">
        <v>190</v>
      </c>
      <c r="B15" s="37">
        <f>ROW()-13</f>
        <v>2</v>
      </c>
      <c r="C15" s="145" t="s">
        <v>619</v>
      </c>
      <c r="D15" s="80"/>
      <c r="E15" s="81"/>
      <c r="F15" s="146"/>
      <c r="G15" s="17"/>
      <c r="H15" s="18" t="s">
        <v>51</v>
      </c>
      <c r="I15" s="59"/>
      <c r="J15" s="19">
        <v>10</v>
      </c>
      <c r="K15" s="19"/>
      <c r="L15" s="50" t="s">
        <v>189</v>
      </c>
      <c r="M15" s="73" t="s">
        <v>21</v>
      </c>
      <c r="N15" s="54">
        <f t="shared" si="0"/>
        <v>10</v>
      </c>
      <c r="O15" s="170"/>
      <c r="P15" s="251" t="s">
        <v>620</v>
      </c>
      <c r="Q15" s="192"/>
      <c r="R15" s="192"/>
      <c r="S15" s="192"/>
      <c r="T15" s="192"/>
      <c r="U15" s="193"/>
    </row>
    <row r="16" spans="1:21" ht="15.75" customHeight="1">
      <c r="A16" s="85"/>
      <c r="B16" s="37">
        <f>ROW()-13</f>
        <v>3</v>
      </c>
      <c r="C16" s="145" t="s">
        <v>276</v>
      </c>
      <c r="D16" s="80"/>
      <c r="E16" s="81"/>
      <c r="F16" s="146" t="s">
        <v>534</v>
      </c>
      <c r="G16" s="17"/>
      <c r="H16" s="18" t="s">
        <v>51</v>
      </c>
      <c r="I16" s="59"/>
      <c r="J16" s="19">
        <v>50</v>
      </c>
      <c r="K16" s="19"/>
      <c r="L16" s="50"/>
      <c r="M16" s="73" t="s">
        <v>21</v>
      </c>
      <c r="N16" s="54">
        <f t="shared" si="0"/>
        <v>50</v>
      </c>
      <c r="O16" s="170"/>
      <c r="P16" s="191"/>
      <c r="Q16" s="192"/>
      <c r="R16" s="192"/>
      <c r="S16" s="192"/>
      <c r="T16" s="192"/>
      <c r="U16" s="193"/>
    </row>
    <row r="17" spans="1:21" ht="15.5">
      <c r="A17" s="85"/>
      <c r="B17" s="37">
        <f t="shared" ref="B17:B23" si="1">ROW()-13</f>
        <v>4</v>
      </c>
      <c r="C17" s="107" t="s">
        <v>36</v>
      </c>
      <c r="D17" s="107"/>
      <c r="E17" s="108"/>
      <c r="F17" s="109" t="s">
        <v>78</v>
      </c>
      <c r="G17" s="110"/>
      <c r="H17" s="18" t="s">
        <v>51</v>
      </c>
      <c r="I17" s="59"/>
      <c r="J17" s="113">
        <v>12</v>
      </c>
      <c r="K17" s="113"/>
      <c r="L17" s="114"/>
      <c r="M17" s="115" t="s">
        <v>35</v>
      </c>
      <c r="N17" s="116">
        <f t="shared" si="0"/>
        <v>12</v>
      </c>
      <c r="O17" s="171"/>
      <c r="P17" s="197"/>
      <c r="Q17" s="198"/>
      <c r="R17" s="198"/>
      <c r="S17" s="198"/>
      <c r="T17" s="198"/>
      <c r="U17" s="199"/>
    </row>
    <row r="18" spans="1:21" ht="15.5">
      <c r="A18" s="85"/>
      <c r="B18" s="37">
        <f t="shared" si="1"/>
        <v>5</v>
      </c>
      <c r="C18" s="107" t="s">
        <v>37</v>
      </c>
      <c r="D18" s="107"/>
      <c r="E18" s="108"/>
      <c r="F18" s="109" t="s">
        <v>43</v>
      </c>
      <c r="G18" s="110"/>
      <c r="H18" s="18" t="s">
        <v>51</v>
      </c>
      <c r="I18" s="59"/>
      <c r="J18" s="113">
        <v>10</v>
      </c>
      <c r="K18" s="113"/>
      <c r="L18" s="114"/>
      <c r="M18" s="115" t="s">
        <v>21</v>
      </c>
      <c r="N18" s="116">
        <f t="shared" si="0"/>
        <v>10</v>
      </c>
      <c r="O18" s="171"/>
      <c r="P18" s="197"/>
      <c r="Q18" s="198"/>
      <c r="R18" s="198"/>
      <c r="S18" s="198"/>
      <c r="T18" s="198"/>
      <c r="U18" s="199"/>
    </row>
    <row r="19" spans="1:21" ht="15.5">
      <c r="A19" s="85"/>
      <c r="B19" s="37">
        <f t="shared" si="1"/>
        <v>6</v>
      </c>
      <c r="C19" s="107" t="s">
        <v>38</v>
      </c>
      <c r="D19" s="107"/>
      <c r="E19" s="108"/>
      <c r="F19" s="109" t="s">
        <v>80</v>
      </c>
      <c r="G19" s="110"/>
      <c r="H19" s="18" t="s">
        <v>86</v>
      </c>
      <c r="I19" s="59"/>
      <c r="J19" s="113"/>
      <c r="K19" s="113"/>
      <c r="L19" s="114"/>
      <c r="M19" s="115" t="s">
        <v>21</v>
      </c>
      <c r="N19" s="116">
        <f t="shared" si="0"/>
        <v>0</v>
      </c>
      <c r="O19" s="171"/>
      <c r="P19" s="197"/>
      <c r="Q19" s="198"/>
      <c r="R19" s="198"/>
      <c r="S19" s="198"/>
      <c r="T19" s="198"/>
      <c r="U19" s="199"/>
    </row>
    <row r="20" spans="1:21" ht="15.5">
      <c r="A20" s="85"/>
      <c r="B20" s="37">
        <f t="shared" si="1"/>
        <v>7</v>
      </c>
      <c r="C20" s="107" t="s">
        <v>39</v>
      </c>
      <c r="D20" s="107"/>
      <c r="E20" s="108"/>
      <c r="F20" s="109" t="s">
        <v>79</v>
      </c>
      <c r="G20" s="110"/>
      <c r="H20" s="18" t="s">
        <v>51</v>
      </c>
      <c r="I20" s="59"/>
      <c r="J20" s="113">
        <v>12</v>
      </c>
      <c r="K20" s="113"/>
      <c r="L20" s="114"/>
      <c r="M20" s="115" t="s">
        <v>35</v>
      </c>
      <c r="N20" s="116">
        <f t="shared" si="0"/>
        <v>12</v>
      </c>
      <c r="O20" s="171"/>
      <c r="P20" s="197"/>
      <c r="Q20" s="198"/>
      <c r="R20" s="198"/>
      <c r="S20" s="198"/>
      <c r="T20" s="198"/>
      <c r="U20" s="199"/>
    </row>
    <row r="21" spans="1:21" ht="15.5">
      <c r="A21" s="85"/>
      <c r="B21" s="37">
        <f t="shared" si="1"/>
        <v>8</v>
      </c>
      <c r="C21" s="107" t="s">
        <v>40</v>
      </c>
      <c r="D21" s="107"/>
      <c r="E21" s="108"/>
      <c r="F21" s="109" t="s">
        <v>44</v>
      </c>
      <c r="G21" s="110"/>
      <c r="H21" s="18" t="s">
        <v>51</v>
      </c>
      <c r="I21" s="59"/>
      <c r="J21" s="113">
        <v>10</v>
      </c>
      <c r="K21" s="113"/>
      <c r="L21" s="114"/>
      <c r="M21" s="115" t="s">
        <v>21</v>
      </c>
      <c r="N21" s="116">
        <f t="shared" si="0"/>
        <v>10</v>
      </c>
      <c r="O21" s="171"/>
      <c r="P21" s="197"/>
      <c r="Q21" s="198"/>
      <c r="R21" s="198"/>
      <c r="S21" s="198"/>
      <c r="T21" s="198"/>
      <c r="U21" s="199"/>
    </row>
    <row r="22" spans="1:21" ht="15.5">
      <c r="A22" s="85"/>
      <c r="B22" s="37">
        <f t="shared" si="1"/>
        <v>9</v>
      </c>
      <c r="C22" s="107" t="s">
        <v>41</v>
      </c>
      <c r="D22" s="107"/>
      <c r="E22" s="108"/>
      <c r="F22" s="109" t="s">
        <v>81</v>
      </c>
      <c r="G22" s="110"/>
      <c r="H22" s="18" t="s">
        <v>86</v>
      </c>
      <c r="I22" s="59"/>
      <c r="J22" s="113"/>
      <c r="K22" s="113"/>
      <c r="L22" s="114"/>
      <c r="M22" s="115" t="s">
        <v>21</v>
      </c>
      <c r="N22" s="116">
        <f t="shared" si="0"/>
        <v>0</v>
      </c>
      <c r="O22" s="171"/>
      <c r="P22" s="197"/>
      <c r="Q22" s="198"/>
      <c r="R22" s="198"/>
      <c r="S22" s="198"/>
      <c r="T22" s="198"/>
      <c r="U22" s="199"/>
    </row>
    <row r="23" spans="1:21" ht="15.5">
      <c r="A23" s="85"/>
      <c r="B23" s="37">
        <f t="shared" si="1"/>
        <v>10</v>
      </c>
      <c r="C23" s="80" t="s">
        <v>46</v>
      </c>
      <c r="D23" s="80"/>
      <c r="E23" s="81"/>
      <c r="F23" s="84" t="s">
        <v>71</v>
      </c>
      <c r="G23" s="17"/>
      <c r="H23" s="18" t="s">
        <v>62</v>
      </c>
      <c r="I23" s="59"/>
      <c r="J23" s="19">
        <v>8</v>
      </c>
      <c r="K23" s="19"/>
      <c r="L23" s="50" t="s">
        <v>47</v>
      </c>
      <c r="M23" s="73" t="s">
        <v>35</v>
      </c>
      <c r="N23" s="54">
        <f t="shared" si="0"/>
        <v>8</v>
      </c>
      <c r="O23" s="170">
        <v>0</v>
      </c>
      <c r="P23" s="191" t="s">
        <v>48</v>
      </c>
      <c r="Q23" s="192"/>
      <c r="R23" s="192"/>
      <c r="S23" s="192"/>
      <c r="T23" s="192"/>
      <c r="U23" s="193"/>
    </row>
    <row r="24" spans="1:21" ht="16" thickBot="1">
      <c r="A24" s="118"/>
      <c r="B24" s="119"/>
      <c r="C24" s="120"/>
      <c r="D24" s="120"/>
      <c r="E24" s="121"/>
      <c r="F24" s="129"/>
      <c r="G24" s="122"/>
      <c r="H24" s="147"/>
      <c r="I24" s="148"/>
      <c r="J24" s="125"/>
      <c r="K24" s="125"/>
      <c r="L24" s="126"/>
      <c r="M24" s="126"/>
      <c r="N24" s="127"/>
      <c r="O24" s="172"/>
      <c r="P24" s="194"/>
      <c r="Q24" s="195"/>
      <c r="R24" s="195"/>
      <c r="S24" s="195"/>
      <c r="T24" s="195"/>
      <c r="U24" s="196"/>
    </row>
  </sheetData>
  <mergeCells count="41">
    <mergeCell ref="P22:U22"/>
    <mergeCell ref="P23:U23"/>
    <mergeCell ref="P24:U24"/>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50178"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50179"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50180"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50181"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50182"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8DE89A65-0D71-407C-984B-A879154AE3D8}">
            <xm:f>(AND(H14&lt;&gt;"",ISERROR(VLOOKUP(H14,system!$E:$E,1,FALSE))))</xm:f>
            <x14:dxf>
              <fill>
                <patternFill patternType="solid">
                  <bgColor rgb="FFFF0000"/>
                </patternFill>
              </fill>
            </x14:dxf>
          </x14:cfRule>
          <xm:sqref>H14:H16</xm:sqref>
        </x14:conditionalFormatting>
        <x14:conditionalFormatting xmlns:xm="http://schemas.microsoft.com/office/excel/2006/main">
          <x14:cfRule type="expression" priority="3" id="{5C7044B2-90DC-4EE5-BB10-8A29B1185EA2}">
            <xm:f>(AND(H14&lt;&gt;"",ISERROR(VLOOKUP(H14,system!$E:$E,1,FALSE))))</xm:f>
            <x14:dxf>
              <fill>
                <patternFill>
                  <bgColor rgb="FFFF0000"/>
                </patternFill>
              </fill>
            </x14:dxf>
          </x14:cfRule>
          <xm:sqref>I14:I16</xm:sqref>
        </x14:conditionalFormatting>
        <x14:conditionalFormatting xmlns:xm="http://schemas.microsoft.com/office/excel/2006/main">
          <x14:cfRule type="expression" priority="2" id="{8C2B91FD-7145-49C1-AC62-3C552527B84C}">
            <xm:f>(AND(H17&lt;&gt;"",ISERROR(VLOOKUP(H17,system!$E:$E,1,FALSE))))</xm:f>
            <x14:dxf>
              <fill>
                <patternFill patternType="solid">
                  <bgColor rgb="FFFF0000"/>
                </patternFill>
              </fill>
            </x14:dxf>
          </x14:cfRule>
          <xm:sqref>H17:H24</xm:sqref>
        </x14:conditionalFormatting>
        <x14:conditionalFormatting xmlns:xm="http://schemas.microsoft.com/office/excel/2006/main">
          <x14:cfRule type="expression" priority="1" id="{70298A5C-74FD-4CA9-BF6F-D026155F92A6}">
            <xm:f>(AND(H17&lt;&gt;"",ISERROR(VLOOKUP(H17,system!$E:$E,1,FALSE))))</xm:f>
            <x14:dxf>
              <fill>
                <patternFill>
                  <bgColor rgb="FFFF0000"/>
                </patternFill>
              </fill>
            </x14:dxf>
          </x14:cfRule>
          <xm:sqref>I17:I24</xm:sqref>
        </x14:conditionalFormatting>
      </x14:conditionalFormatting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2558C-E212-4952-8B47-FFC36F00440F}">
  <sheetPr codeName="Sheet49">
    <pageSetUpPr fitToPage="1"/>
  </sheetPr>
  <dimension ref="A1:U32"/>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622</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170</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SUM(N14:N33)</f>
        <v>125</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193</v>
      </c>
      <c r="D14" s="80"/>
      <c r="E14" s="81"/>
      <c r="F14" s="146"/>
      <c r="G14" s="17"/>
      <c r="H14" s="18" t="s">
        <v>49</v>
      </c>
      <c r="I14" s="59"/>
      <c r="J14" s="19">
        <v>2</v>
      </c>
      <c r="K14" s="19"/>
      <c r="L14" s="50" t="s">
        <v>189</v>
      </c>
      <c r="M14" s="73" t="s">
        <v>21</v>
      </c>
      <c r="N14" s="54">
        <f t="shared" ref="N14:N31" si="0">IF(H14="NUMBER",IF(J14&gt;0,INT((J14+1)/2+0.9),0),IF(H14="DATE",7,IF(OR(H14="LONG",H14="LONG RAW"),100000,J14)))</f>
        <v>2</v>
      </c>
      <c r="O14" s="170"/>
      <c r="P14" s="191" t="s">
        <v>623</v>
      </c>
      <c r="Q14" s="192"/>
      <c r="R14" s="192"/>
      <c r="S14" s="192"/>
      <c r="T14" s="192"/>
      <c r="U14" s="193"/>
    </row>
    <row r="15" spans="1:21" ht="15.75" customHeight="1">
      <c r="A15" s="85" t="s">
        <v>190</v>
      </c>
      <c r="B15" s="37">
        <f>ROW()-13</f>
        <v>2</v>
      </c>
      <c r="C15" s="145" t="s">
        <v>327</v>
      </c>
      <c r="D15" s="80"/>
      <c r="E15" s="81"/>
      <c r="F15" s="146"/>
      <c r="G15" s="17"/>
      <c r="H15" s="18" t="s">
        <v>49</v>
      </c>
      <c r="I15" s="59"/>
      <c r="J15" s="19">
        <v>2</v>
      </c>
      <c r="K15" s="19"/>
      <c r="L15" s="50" t="s">
        <v>189</v>
      </c>
      <c r="M15" s="73" t="s">
        <v>21</v>
      </c>
      <c r="N15" s="54">
        <f t="shared" si="0"/>
        <v>2</v>
      </c>
      <c r="O15" s="170"/>
      <c r="P15" s="191"/>
      <c r="Q15" s="192"/>
      <c r="R15" s="192"/>
      <c r="S15" s="192"/>
      <c r="T15" s="192"/>
      <c r="U15" s="193"/>
    </row>
    <row r="16" spans="1:21" ht="62.75" customHeight="1">
      <c r="A16" s="85" t="s">
        <v>190</v>
      </c>
      <c r="B16" s="37">
        <f>ROW()-13</f>
        <v>3</v>
      </c>
      <c r="C16" s="145" t="s">
        <v>624</v>
      </c>
      <c r="D16" s="80"/>
      <c r="E16" s="81"/>
      <c r="F16" s="146"/>
      <c r="G16" s="17"/>
      <c r="H16" s="18" t="s">
        <v>49</v>
      </c>
      <c r="I16" s="59"/>
      <c r="J16" s="19">
        <v>1</v>
      </c>
      <c r="K16" s="19"/>
      <c r="L16" s="50"/>
      <c r="M16" s="73" t="s">
        <v>21</v>
      </c>
      <c r="N16" s="54">
        <f t="shared" si="0"/>
        <v>1</v>
      </c>
      <c r="O16" s="170"/>
      <c r="P16" s="251" t="s">
        <v>625</v>
      </c>
      <c r="Q16" s="192"/>
      <c r="R16" s="192"/>
      <c r="S16" s="192"/>
      <c r="T16" s="192"/>
      <c r="U16" s="193"/>
    </row>
    <row r="17" spans="1:21" ht="15.75" customHeight="1">
      <c r="A17" s="85"/>
      <c r="B17" s="37">
        <f>ROW()-13</f>
        <v>4</v>
      </c>
      <c r="C17" s="145" t="s">
        <v>626</v>
      </c>
      <c r="D17" s="80"/>
      <c r="E17" s="81"/>
      <c r="F17" s="146"/>
      <c r="G17" s="17"/>
      <c r="H17" s="18" t="s">
        <v>51</v>
      </c>
      <c r="I17" s="59"/>
      <c r="J17" s="19">
        <v>14</v>
      </c>
      <c r="K17" s="19"/>
      <c r="L17" s="50" t="s">
        <v>189</v>
      </c>
      <c r="M17" s="73" t="s">
        <v>21</v>
      </c>
      <c r="N17" s="54">
        <f t="shared" si="0"/>
        <v>14</v>
      </c>
      <c r="O17" s="170"/>
      <c r="P17" s="191"/>
      <c r="Q17" s="192"/>
      <c r="R17" s="192"/>
      <c r="S17" s="192"/>
      <c r="T17" s="192"/>
      <c r="U17" s="193"/>
    </row>
    <row r="18" spans="1:21" ht="51" customHeight="1">
      <c r="A18" s="85"/>
      <c r="B18" s="37">
        <f>ROW()-13</f>
        <v>5</v>
      </c>
      <c r="C18" s="145" t="s">
        <v>627</v>
      </c>
      <c r="D18" s="80"/>
      <c r="E18" s="81"/>
      <c r="F18" s="146"/>
      <c r="G18" s="17"/>
      <c r="H18" s="18" t="s">
        <v>49</v>
      </c>
      <c r="I18" s="59"/>
      <c r="J18" s="19">
        <v>1</v>
      </c>
      <c r="K18" s="19"/>
      <c r="L18" s="50"/>
      <c r="M18" s="73" t="s">
        <v>21</v>
      </c>
      <c r="N18" s="54">
        <f t="shared" si="0"/>
        <v>1</v>
      </c>
      <c r="O18" s="170"/>
      <c r="P18" s="251" t="s">
        <v>628</v>
      </c>
      <c r="Q18" s="192"/>
      <c r="R18" s="192"/>
      <c r="S18" s="192"/>
      <c r="T18" s="192"/>
      <c r="U18" s="193"/>
    </row>
    <row r="19" spans="1:21" ht="27.5" customHeight="1">
      <c r="A19" s="85"/>
      <c r="B19" s="37">
        <f>ROW()-13</f>
        <v>6</v>
      </c>
      <c r="C19" s="145" t="s">
        <v>629</v>
      </c>
      <c r="D19" s="80"/>
      <c r="E19" s="81"/>
      <c r="F19" s="146"/>
      <c r="G19" s="17"/>
      <c r="H19" s="18" t="s">
        <v>49</v>
      </c>
      <c r="I19" s="59"/>
      <c r="J19" s="19">
        <v>1</v>
      </c>
      <c r="K19" s="19"/>
      <c r="L19" s="50"/>
      <c r="M19" s="73" t="s">
        <v>21</v>
      </c>
      <c r="N19" s="54">
        <f t="shared" si="0"/>
        <v>1</v>
      </c>
      <c r="O19" s="252" t="s">
        <v>440</v>
      </c>
      <c r="P19" s="251" t="s">
        <v>630</v>
      </c>
      <c r="Q19" s="192"/>
      <c r="R19" s="192"/>
      <c r="S19" s="192"/>
      <c r="T19" s="192"/>
      <c r="U19" s="193"/>
    </row>
    <row r="20" spans="1:21" ht="15.75" customHeight="1">
      <c r="A20" s="85"/>
      <c r="B20" s="37">
        <f>ROW()-13</f>
        <v>7</v>
      </c>
      <c r="C20" s="145" t="s">
        <v>569</v>
      </c>
      <c r="D20" s="80"/>
      <c r="E20" s="81"/>
      <c r="F20" s="146"/>
      <c r="G20" s="17"/>
      <c r="H20" s="18" t="s">
        <v>211</v>
      </c>
      <c r="I20" s="59"/>
      <c r="J20" s="19"/>
      <c r="K20" s="19"/>
      <c r="L20" s="50"/>
      <c r="M20" s="73" t="s">
        <v>21</v>
      </c>
      <c r="N20" s="54">
        <f t="shared" si="0"/>
        <v>0</v>
      </c>
      <c r="O20" s="170"/>
      <c r="P20" s="191"/>
      <c r="Q20" s="192"/>
      <c r="R20" s="192"/>
      <c r="S20" s="192"/>
      <c r="T20" s="192"/>
      <c r="U20" s="193"/>
    </row>
    <row r="21" spans="1:21" ht="27.5" customHeight="1">
      <c r="A21" s="85"/>
      <c r="B21" s="37">
        <f>ROW()-13</f>
        <v>8</v>
      </c>
      <c r="C21" s="145" t="s">
        <v>631</v>
      </c>
      <c r="D21" s="80"/>
      <c r="E21" s="81"/>
      <c r="F21" s="146"/>
      <c r="G21" s="17"/>
      <c r="H21" s="18" t="s">
        <v>49</v>
      </c>
      <c r="I21" s="59"/>
      <c r="J21" s="19">
        <v>1</v>
      </c>
      <c r="K21" s="19"/>
      <c r="L21" s="50"/>
      <c r="M21" s="73" t="s">
        <v>21</v>
      </c>
      <c r="N21" s="54">
        <f t="shared" si="0"/>
        <v>1</v>
      </c>
      <c r="O21" s="170"/>
      <c r="P21" s="251" t="s">
        <v>630</v>
      </c>
      <c r="Q21" s="192"/>
      <c r="R21" s="192"/>
      <c r="S21" s="192"/>
      <c r="T21" s="192"/>
      <c r="U21" s="193"/>
    </row>
    <row r="22" spans="1:21" ht="15.75" customHeight="1">
      <c r="A22" s="85"/>
      <c r="B22" s="37">
        <f>ROW()-13</f>
        <v>9</v>
      </c>
      <c r="C22" s="145" t="s">
        <v>632</v>
      </c>
      <c r="D22" s="80"/>
      <c r="E22" s="81"/>
      <c r="F22" s="146"/>
      <c r="G22" s="17"/>
      <c r="H22" s="18" t="s">
        <v>211</v>
      </c>
      <c r="I22" s="59"/>
      <c r="J22" s="19"/>
      <c r="K22" s="19"/>
      <c r="L22" s="50"/>
      <c r="M22" s="73" t="s">
        <v>21</v>
      </c>
      <c r="N22" s="54">
        <f t="shared" si="0"/>
        <v>0</v>
      </c>
      <c r="O22" s="170"/>
      <c r="P22" s="191"/>
      <c r="Q22" s="192"/>
      <c r="R22" s="192"/>
      <c r="S22" s="192"/>
      <c r="T22" s="192"/>
      <c r="U22" s="193"/>
    </row>
    <row r="23" spans="1:21" ht="27.5" customHeight="1">
      <c r="A23" s="85"/>
      <c r="B23" s="37">
        <f>ROW()-13</f>
        <v>10</v>
      </c>
      <c r="C23" s="145" t="s">
        <v>227</v>
      </c>
      <c r="D23" s="80"/>
      <c r="E23" s="81"/>
      <c r="F23" s="146"/>
      <c r="G23" s="17"/>
      <c r="H23" s="18" t="s">
        <v>49</v>
      </c>
      <c r="I23" s="59"/>
      <c r="J23" s="19">
        <v>1</v>
      </c>
      <c r="K23" s="19"/>
      <c r="L23" s="50"/>
      <c r="M23" s="73" t="s">
        <v>21</v>
      </c>
      <c r="N23" s="54">
        <f t="shared" si="0"/>
        <v>1</v>
      </c>
      <c r="O23" s="170"/>
      <c r="P23" s="251" t="s">
        <v>228</v>
      </c>
      <c r="Q23" s="192"/>
      <c r="R23" s="192"/>
      <c r="S23" s="192"/>
      <c r="T23" s="192"/>
      <c r="U23" s="193"/>
    </row>
    <row r="24" spans="1:21" ht="15.75" customHeight="1">
      <c r="A24" s="85"/>
      <c r="B24" s="37">
        <f>ROW()-13</f>
        <v>11</v>
      </c>
      <c r="C24" s="145" t="s">
        <v>276</v>
      </c>
      <c r="D24" s="80"/>
      <c r="E24" s="81"/>
      <c r="F24" s="146" t="s">
        <v>534</v>
      </c>
      <c r="G24" s="17"/>
      <c r="H24" s="18" t="s">
        <v>51</v>
      </c>
      <c r="I24" s="59"/>
      <c r="J24" s="19">
        <v>50</v>
      </c>
      <c r="K24" s="19"/>
      <c r="L24" s="50"/>
      <c r="M24" s="73" t="s">
        <v>21</v>
      </c>
      <c r="N24" s="54">
        <f t="shared" si="0"/>
        <v>50</v>
      </c>
      <c r="O24" s="170"/>
      <c r="P24" s="191"/>
      <c r="Q24" s="192"/>
      <c r="R24" s="192"/>
      <c r="S24" s="192"/>
      <c r="T24" s="192"/>
      <c r="U24" s="193"/>
    </row>
    <row r="25" spans="1:21" ht="15.5">
      <c r="A25" s="85"/>
      <c r="B25" s="37">
        <f t="shared" ref="B25:B31" si="1">ROW()-13</f>
        <v>12</v>
      </c>
      <c r="C25" s="107" t="s">
        <v>36</v>
      </c>
      <c r="D25" s="107"/>
      <c r="E25" s="108"/>
      <c r="F25" s="109" t="s">
        <v>78</v>
      </c>
      <c r="G25" s="110"/>
      <c r="H25" s="18" t="s">
        <v>51</v>
      </c>
      <c r="I25" s="59"/>
      <c r="J25" s="113">
        <v>12</v>
      </c>
      <c r="K25" s="113"/>
      <c r="L25" s="114"/>
      <c r="M25" s="115" t="s">
        <v>35</v>
      </c>
      <c r="N25" s="116">
        <f t="shared" si="0"/>
        <v>12</v>
      </c>
      <c r="O25" s="171"/>
      <c r="P25" s="197"/>
      <c r="Q25" s="198"/>
      <c r="R25" s="198"/>
      <c r="S25" s="198"/>
      <c r="T25" s="198"/>
      <c r="U25" s="199"/>
    </row>
    <row r="26" spans="1:21" ht="15.5">
      <c r="A26" s="85"/>
      <c r="B26" s="37">
        <f t="shared" si="1"/>
        <v>13</v>
      </c>
      <c r="C26" s="107" t="s">
        <v>37</v>
      </c>
      <c r="D26" s="107"/>
      <c r="E26" s="108"/>
      <c r="F26" s="109" t="s">
        <v>43</v>
      </c>
      <c r="G26" s="110"/>
      <c r="H26" s="18" t="s">
        <v>51</v>
      </c>
      <c r="I26" s="59"/>
      <c r="J26" s="113">
        <v>10</v>
      </c>
      <c r="K26" s="113"/>
      <c r="L26" s="114"/>
      <c r="M26" s="115" t="s">
        <v>21</v>
      </c>
      <c r="N26" s="116">
        <f t="shared" si="0"/>
        <v>10</v>
      </c>
      <c r="O26" s="171"/>
      <c r="P26" s="197"/>
      <c r="Q26" s="198"/>
      <c r="R26" s="198"/>
      <c r="S26" s="198"/>
      <c r="T26" s="198"/>
      <c r="U26" s="199"/>
    </row>
    <row r="27" spans="1:21" ht="15.5">
      <c r="A27" s="85"/>
      <c r="B27" s="37">
        <f t="shared" si="1"/>
        <v>14</v>
      </c>
      <c r="C27" s="107" t="s">
        <v>38</v>
      </c>
      <c r="D27" s="107"/>
      <c r="E27" s="108"/>
      <c r="F27" s="109" t="s">
        <v>80</v>
      </c>
      <c r="G27" s="110"/>
      <c r="H27" s="18" t="s">
        <v>86</v>
      </c>
      <c r="I27" s="59"/>
      <c r="J27" s="113"/>
      <c r="K27" s="113"/>
      <c r="L27" s="114"/>
      <c r="M27" s="115" t="s">
        <v>21</v>
      </c>
      <c r="N27" s="116">
        <f t="shared" si="0"/>
        <v>0</v>
      </c>
      <c r="O27" s="171"/>
      <c r="P27" s="197"/>
      <c r="Q27" s="198"/>
      <c r="R27" s="198"/>
      <c r="S27" s="198"/>
      <c r="T27" s="198"/>
      <c r="U27" s="199"/>
    </row>
    <row r="28" spans="1:21" ht="15.5">
      <c r="A28" s="85"/>
      <c r="B28" s="37">
        <f t="shared" si="1"/>
        <v>15</v>
      </c>
      <c r="C28" s="107" t="s">
        <v>39</v>
      </c>
      <c r="D28" s="107"/>
      <c r="E28" s="108"/>
      <c r="F28" s="109" t="s">
        <v>79</v>
      </c>
      <c r="G28" s="110"/>
      <c r="H28" s="18" t="s">
        <v>51</v>
      </c>
      <c r="I28" s="59"/>
      <c r="J28" s="113">
        <v>12</v>
      </c>
      <c r="K28" s="113"/>
      <c r="L28" s="114"/>
      <c r="M28" s="115" t="s">
        <v>35</v>
      </c>
      <c r="N28" s="116">
        <f t="shared" si="0"/>
        <v>12</v>
      </c>
      <c r="O28" s="171"/>
      <c r="P28" s="197"/>
      <c r="Q28" s="198"/>
      <c r="R28" s="198"/>
      <c r="S28" s="198"/>
      <c r="T28" s="198"/>
      <c r="U28" s="199"/>
    </row>
    <row r="29" spans="1:21" ht="15.5">
      <c r="A29" s="85"/>
      <c r="B29" s="37">
        <f t="shared" si="1"/>
        <v>16</v>
      </c>
      <c r="C29" s="107" t="s">
        <v>40</v>
      </c>
      <c r="D29" s="107"/>
      <c r="E29" s="108"/>
      <c r="F29" s="109" t="s">
        <v>44</v>
      </c>
      <c r="G29" s="110"/>
      <c r="H29" s="18" t="s">
        <v>51</v>
      </c>
      <c r="I29" s="59"/>
      <c r="J29" s="113">
        <v>10</v>
      </c>
      <c r="K29" s="113"/>
      <c r="L29" s="114"/>
      <c r="M29" s="115" t="s">
        <v>21</v>
      </c>
      <c r="N29" s="116">
        <f t="shared" si="0"/>
        <v>10</v>
      </c>
      <c r="O29" s="171"/>
      <c r="P29" s="197"/>
      <c r="Q29" s="198"/>
      <c r="R29" s="198"/>
      <c r="S29" s="198"/>
      <c r="T29" s="198"/>
      <c r="U29" s="199"/>
    </row>
    <row r="30" spans="1:21" ht="15.5">
      <c r="A30" s="85"/>
      <c r="B30" s="37">
        <f t="shared" si="1"/>
        <v>17</v>
      </c>
      <c r="C30" s="107" t="s">
        <v>41</v>
      </c>
      <c r="D30" s="107"/>
      <c r="E30" s="108"/>
      <c r="F30" s="109" t="s">
        <v>81</v>
      </c>
      <c r="G30" s="110"/>
      <c r="H30" s="18" t="s">
        <v>86</v>
      </c>
      <c r="I30" s="59"/>
      <c r="J30" s="113"/>
      <c r="K30" s="113"/>
      <c r="L30" s="114"/>
      <c r="M30" s="115" t="s">
        <v>21</v>
      </c>
      <c r="N30" s="116">
        <f t="shared" si="0"/>
        <v>0</v>
      </c>
      <c r="O30" s="171"/>
      <c r="P30" s="197"/>
      <c r="Q30" s="198"/>
      <c r="R30" s="198"/>
      <c r="S30" s="198"/>
      <c r="T30" s="198"/>
      <c r="U30" s="199"/>
    </row>
    <row r="31" spans="1:21" ht="15.5">
      <c r="A31" s="85"/>
      <c r="B31" s="37">
        <f t="shared" si="1"/>
        <v>18</v>
      </c>
      <c r="C31" s="80" t="s">
        <v>46</v>
      </c>
      <c r="D31" s="80"/>
      <c r="E31" s="81"/>
      <c r="F31" s="84" t="s">
        <v>71</v>
      </c>
      <c r="G31" s="17"/>
      <c r="H31" s="18" t="s">
        <v>62</v>
      </c>
      <c r="I31" s="59"/>
      <c r="J31" s="19">
        <v>8</v>
      </c>
      <c r="K31" s="19"/>
      <c r="L31" s="50" t="s">
        <v>47</v>
      </c>
      <c r="M31" s="73" t="s">
        <v>35</v>
      </c>
      <c r="N31" s="54">
        <f t="shared" si="0"/>
        <v>8</v>
      </c>
      <c r="O31" s="170">
        <v>0</v>
      </c>
      <c r="P31" s="191" t="s">
        <v>48</v>
      </c>
      <c r="Q31" s="192"/>
      <c r="R31" s="192"/>
      <c r="S31" s="192"/>
      <c r="T31" s="192"/>
      <c r="U31" s="193"/>
    </row>
    <row r="32" spans="1:21" ht="16" thickBot="1">
      <c r="A32" s="118"/>
      <c r="B32" s="119"/>
      <c r="C32" s="120"/>
      <c r="D32" s="120"/>
      <c r="E32" s="121"/>
      <c r="F32" s="129"/>
      <c r="G32" s="122"/>
      <c r="H32" s="147"/>
      <c r="I32" s="148"/>
      <c r="J32" s="125"/>
      <c r="K32" s="125"/>
      <c r="L32" s="126"/>
      <c r="M32" s="126"/>
      <c r="N32" s="127"/>
      <c r="O32" s="172"/>
      <c r="P32" s="194"/>
      <c r="Q32" s="195"/>
      <c r="R32" s="195"/>
      <c r="S32" s="195"/>
      <c r="T32" s="195"/>
      <c r="U32" s="196"/>
    </row>
  </sheetData>
  <mergeCells count="49">
    <mergeCell ref="P28:U28"/>
    <mergeCell ref="P29:U29"/>
    <mergeCell ref="P30:U30"/>
    <mergeCell ref="P31:U31"/>
    <mergeCell ref="P32:U32"/>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51202"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51203"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51204"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51205"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51206"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7E42F30-74E4-4A7E-AC66-E969DAB4A59E}">
            <xm:f>(AND(H14&lt;&gt;"",ISERROR(VLOOKUP(H14,system!$E:$E,1,FALSE))))</xm:f>
            <x14:dxf>
              <fill>
                <patternFill patternType="solid">
                  <bgColor rgb="FFFF0000"/>
                </patternFill>
              </fill>
            </x14:dxf>
          </x14:cfRule>
          <xm:sqref>H14:H24</xm:sqref>
        </x14:conditionalFormatting>
        <x14:conditionalFormatting xmlns:xm="http://schemas.microsoft.com/office/excel/2006/main">
          <x14:cfRule type="expression" priority="3" id="{BB1604F2-B9C4-4068-AB53-BCF0F91941D5}">
            <xm:f>(AND(H14&lt;&gt;"",ISERROR(VLOOKUP(H14,system!$E:$E,1,FALSE))))</xm:f>
            <x14:dxf>
              <fill>
                <patternFill>
                  <bgColor rgb="FFFF0000"/>
                </patternFill>
              </fill>
            </x14:dxf>
          </x14:cfRule>
          <xm:sqref>I14:I24</xm:sqref>
        </x14:conditionalFormatting>
        <x14:conditionalFormatting xmlns:xm="http://schemas.microsoft.com/office/excel/2006/main">
          <x14:cfRule type="expression" priority="2" id="{ED4E1E41-DDE3-45EF-9D8F-455F50F2C6F0}">
            <xm:f>(AND(H25&lt;&gt;"",ISERROR(VLOOKUP(H25,system!$E:$E,1,FALSE))))</xm:f>
            <x14:dxf>
              <fill>
                <patternFill patternType="solid">
                  <bgColor rgb="FFFF0000"/>
                </patternFill>
              </fill>
            </x14:dxf>
          </x14:cfRule>
          <xm:sqref>H25:H32</xm:sqref>
        </x14:conditionalFormatting>
        <x14:conditionalFormatting xmlns:xm="http://schemas.microsoft.com/office/excel/2006/main">
          <x14:cfRule type="expression" priority="1" id="{016512B1-3493-4EA3-829D-895ACEA910D4}">
            <xm:f>(AND(H25&lt;&gt;"",ISERROR(VLOOKUP(H25,system!$E:$E,1,FALSE))))</xm:f>
            <x14:dxf>
              <fill>
                <patternFill>
                  <bgColor rgb="FFFF0000"/>
                </patternFill>
              </fill>
            </x14:dxf>
          </x14:cfRule>
          <xm:sqref>I25:I32</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6C0B5-7DA2-43F6-8D4E-F754BFD6E5FD}">
  <sheetPr codeName="Sheet50">
    <pageSetUpPr fitToPage="1"/>
  </sheetPr>
  <dimension ref="A1:U33"/>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634</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171</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SUM(N14:N34)</f>
        <v>373</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635</v>
      </c>
      <c r="D14" s="80"/>
      <c r="E14" s="81"/>
      <c r="F14" s="146"/>
      <c r="G14" s="17"/>
      <c r="H14" s="18" t="s">
        <v>51</v>
      </c>
      <c r="I14" s="59"/>
      <c r="J14" s="19">
        <v>20</v>
      </c>
      <c r="K14" s="19"/>
      <c r="L14" s="50" t="s">
        <v>189</v>
      </c>
      <c r="M14" s="73" t="s">
        <v>21</v>
      </c>
      <c r="N14" s="54">
        <f t="shared" ref="N14:N32" si="0">IF(H14="NUMBER",IF(J14&gt;0,INT((J14+1)/2+0.9),0),IF(H14="DATE",7,IF(OR(H14="LONG",H14="LONG RAW"),100000,J14)))</f>
        <v>20</v>
      </c>
      <c r="O14" s="170"/>
      <c r="P14" s="191"/>
      <c r="Q14" s="192"/>
      <c r="R14" s="192"/>
      <c r="S14" s="192"/>
      <c r="T14" s="192"/>
      <c r="U14" s="193"/>
    </row>
    <row r="15" spans="1:21" ht="15.75" customHeight="1">
      <c r="A15" s="85" t="s">
        <v>190</v>
      </c>
      <c r="B15" s="37">
        <f>ROW()-13</f>
        <v>2</v>
      </c>
      <c r="C15" s="145" t="s">
        <v>636</v>
      </c>
      <c r="D15" s="80"/>
      <c r="E15" s="81"/>
      <c r="F15" s="146"/>
      <c r="G15" s="17"/>
      <c r="H15" s="18" t="s">
        <v>51</v>
      </c>
      <c r="I15" s="59"/>
      <c r="J15" s="19">
        <v>20</v>
      </c>
      <c r="K15" s="19"/>
      <c r="L15" s="50" t="s">
        <v>189</v>
      </c>
      <c r="M15" s="73" t="s">
        <v>21</v>
      </c>
      <c r="N15" s="54">
        <f t="shared" si="0"/>
        <v>20</v>
      </c>
      <c r="O15" s="170"/>
      <c r="P15" s="191"/>
      <c r="Q15" s="192"/>
      <c r="R15" s="192"/>
      <c r="S15" s="192"/>
      <c r="T15" s="192"/>
      <c r="U15" s="193"/>
    </row>
    <row r="16" spans="1:21" ht="15.75" customHeight="1">
      <c r="A16" s="85"/>
      <c r="B16" s="37">
        <f>ROW()-13</f>
        <v>3</v>
      </c>
      <c r="C16" s="145" t="s">
        <v>637</v>
      </c>
      <c r="D16" s="80"/>
      <c r="E16" s="81"/>
      <c r="F16" s="146"/>
      <c r="G16" s="17"/>
      <c r="H16" s="18" t="s">
        <v>51</v>
      </c>
      <c r="I16" s="59"/>
      <c r="J16" s="19">
        <v>50</v>
      </c>
      <c r="K16" s="19"/>
      <c r="L16" s="50" t="s">
        <v>189</v>
      </c>
      <c r="M16" s="73" t="s">
        <v>21</v>
      </c>
      <c r="N16" s="54">
        <f t="shared" si="0"/>
        <v>50</v>
      </c>
      <c r="O16" s="170"/>
      <c r="P16" s="191"/>
      <c r="Q16" s="192"/>
      <c r="R16" s="192"/>
      <c r="S16" s="192"/>
      <c r="T16" s="192"/>
      <c r="U16" s="193"/>
    </row>
    <row r="17" spans="1:21" ht="15.75" customHeight="1">
      <c r="A17" s="85"/>
      <c r="B17" s="37">
        <f>ROW()-13</f>
        <v>4</v>
      </c>
      <c r="C17" s="145" t="s">
        <v>638</v>
      </c>
      <c r="D17" s="80"/>
      <c r="E17" s="81"/>
      <c r="F17" s="146"/>
      <c r="G17" s="17"/>
      <c r="H17" s="18" t="s">
        <v>51</v>
      </c>
      <c r="I17" s="59"/>
      <c r="J17" s="19">
        <v>50</v>
      </c>
      <c r="K17" s="19"/>
      <c r="L17" s="50"/>
      <c r="M17" s="73" t="s">
        <v>21</v>
      </c>
      <c r="N17" s="54">
        <f t="shared" si="0"/>
        <v>50</v>
      </c>
      <c r="O17" s="170"/>
      <c r="P17" s="191"/>
      <c r="Q17" s="192"/>
      <c r="R17" s="192"/>
      <c r="S17" s="192"/>
      <c r="T17" s="192"/>
      <c r="U17" s="193"/>
    </row>
    <row r="18" spans="1:21" ht="15.75" customHeight="1">
      <c r="A18" s="85"/>
      <c r="B18" s="37">
        <f>ROW()-13</f>
        <v>5</v>
      </c>
      <c r="C18" s="145" t="s">
        <v>569</v>
      </c>
      <c r="D18" s="80"/>
      <c r="E18" s="81"/>
      <c r="F18" s="146"/>
      <c r="G18" s="17"/>
      <c r="H18" s="18" t="s">
        <v>211</v>
      </c>
      <c r="I18" s="59"/>
      <c r="J18" s="19"/>
      <c r="K18" s="19"/>
      <c r="L18" s="50"/>
      <c r="M18" s="73" t="s">
        <v>21</v>
      </c>
      <c r="N18" s="54">
        <f t="shared" si="0"/>
        <v>0</v>
      </c>
      <c r="O18" s="170"/>
      <c r="P18" s="191"/>
      <c r="Q18" s="192"/>
      <c r="R18" s="192"/>
      <c r="S18" s="192"/>
      <c r="T18" s="192"/>
      <c r="U18" s="193"/>
    </row>
    <row r="19" spans="1:21" ht="15.75" customHeight="1">
      <c r="A19" s="85"/>
      <c r="B19" s="37">
        <f>ROW()-13</f>
        <v>6</v>
      </c>
      <c r="C19" s="145" t="s">
        <v>639</v>
      </c>
      <c r="D19" s="80"/>
      <c r="E19" s="81"/>
      <c r="F19" s="146"/>
      <c r="G19" s="17"/>
      <c r="H19" s="18" t="s">
        <v>51</v>
      </c>
      <c r="I19" s="59"/>
      <c r="J19" s="19">
        <v>20</v>
      </c>
      <c r="K19" s="19"/>
      <c r="L19" s="50"/>
      <c r="M19" s="73" t="s">
        <v>21</v>
      </c>
      <c r="N19" s="54">
        <f t="shared" si="0"/>
        <v>20</v>
      </c>
      <c r="O19" s="170"/>
      <c r="P19" s="191"/>
      <c r="Q19" s="192"/>
      <c r="R19" s="192"/>
      <c r="S19" s="192"/>
      <c r="T19" s="192"/>
      <c r="U19" s="193"/>
    </row>
    <row r="20" spans="1:21" ht="15.75" customHeight="1">
      <c r="A20" s="85"/>
      <c r="B20" s="37">
        <f>ROW()-13</f>
        <v>7</v>
      </c>
      <c r="C20" s="145" t="s">
        <v>640</v>
      </c>
      <c r="D20" s="80"/>
      <c r="E20" s="81"/>
      <c r="F20" s="146"/>
      <c r="G20" s="17"/>
      <c r="H20" s="18" t="s">
        <v>51</v>
      </c>
      <c r="I20" s="59"/>
      <c r="J20" s="19">
        <v>20</v>
      </c>
      <c r="K20" s="19"/>
      <c r="L20" s="50"/>
      <c r="M20" s="73" t="s">
        <v>21</v>
      </c>
      <c r="N20" s="54">
        <f t="shared" si="0"/>
        <v>20</v>
      </c>
      <c r="O20" s="170"/>
      <c r="P20" s="191"/>
      <c r="Q20" s="192"/>
      <c r="R20" s="192"/>
      <c r="S20" s="192"/>
      <c r="T20" s="192"/>
      <c r="U20" s="193"/>
    </row>
    <row r="21" spans="1:21" ht="15.75" customHeight="1">
      <c r="A21" s="85"/>
      <c r="B21" s="37">
        <f>ROW()-13</f>
        <v>8</v>
      </c>
      <c r="C21" s="145" t="s">
        <v>641</v>
      </c>
      <c r="D21" s="80"/>
      <c r="E21" s="81"/>
      <c r="F21" s="146"/>
      <c r="G21" s="17"/>
      <c r="H21" s="18" t="s">
        <v>51</v>
      </c>
      <c r="I21" s="59"/>
      <c r="J21" s="19">
        <v>50</v>
      </c>
      <c r="K21" s="19"/>
      <c r="L21" s="50"/>
      <c r="M21" s="73" t="s">
        <v>21</v>
      </c>
      <c r="N21" s="54">
        <f t="shared" si="0"/>
        <v>50</v>
      </c>
      <c r="O21" s="170"/>
      <c r="P21" s="191"/>
      <c r="Q21" s="192"/>
      <c r="R21" s="192"/>
      <c r="S21" s="192"/>
      <c r="T21" s="192"/>
      <c r="U21" s="193"/>
    </row>
    <row r="22" spans="1:21" ht="15.75" customHeight="1">
      <c r="A22" s="85"/>
      <c r="B22" s="37">
        <f>ROW()-13</f>
        <v>9</v>
      </c>
      <c r="C22" s="145" t="s">
        <v>642</v>
      </c>
      <c r="D22" s="80"/>
      <c r="E22" s="81"/>
      <c r="F22" s="146"/>
      <c r="G22" s="17"/>
      <c r="H22" s="18" t="s">
        <v>51</v>
      </c>
      <c r="I22" s="59"/>
      <c r="J22" s="19">
        <v>20</v>
      </c>
      <c r="K22" s="19"/>
      <c r="L22" s="50"/>
      <c r="M22" s="73" t="s">
        <v>21</v>
      </c>
      <c r="N22" s="54">
        <f t="shared" si="0"/>
        <v>20</v>
      </c>
      <c r="O22" s="170"/>
      <c r="P22" s="191"/>
      <c r="Q22" s="192"/>
      <c r="R22" s="192"/>
      <c r="S22" s="192"/>
      <c r="T22" s="192"/>
      <c r="U22" s="193"/>
    </row>
    <row r="23" spans="1:21" ht="15.75" customHeight="1">
      <c r="A23" s="85"/>
      <c r="B23" s="37">
        <f>ROW()-13</f>
        <v>10</v>
      </c>
      <c r="C23" s="145" t="s">
        <v>643</v>
      </c>
      <c r="D23" s="80"/>
      <c r="E23" s="81"/>
      <c r="F23" s="146"/>
      <c r="G23" s="17"/>
      <c r="H23" s="18" t="s">
        <v>51</v>
      </c>
      <c r="I23" s="59"/>
      <c r="J23" s="19">
        <v>20</v>
      </c>
      <c r="K23" s="19"/>
      <c r="L23" s="50"/>
      <c r="M23" s="73" t="s">
        <v>21</v>
      </c>
      <c r="N23" s="54">
        <f t="shared" si="0"/>
        <v>20</v>
      </c>
      <c r="O23" s="170"/>
      <c r="P23" s="191"/>
      <c r="Q23" s="192"/>
      <c r="R23" s="192"/>
      <c r="S23" s="192"/>
      <c r="T23" s="192"/>
      <c r="U23" s="193"/>
    </row>
    <row r="24" spans="1:21" ht="27.5" customHeight="1">
      <c r="A24" s="85"/>
      <c r="B24" s="37">
        <f>ROW()-13</f>
        <v>11</v>
      </c>
      <c r="C24" s="145" t="s">
        <v>227</v>
      </c>
      <c r="D24" s="80"/>
      <c r="E24" s="81"/>
      <c r="F24" s="146"/>
      <c r="G24" s="17"/>
      <c r="H24" s="18" t="s">
        <v>49</v>
      </c>
      <c r="I24" s="59"/>
      <c r="J24" s="19">
        <v>1</v>
      </c>
      <c r="K24" s="19"/>
      <c r="L24" s="50"/>
      <c r="M24" s="73" t="s">
        <v>21</v>
      </c>
      <c r="N24" s="54">
        <f t="shared" si="0"/>
        <v>1</v>
      </c>
      <c r="O24" s="170"/>
      <c r="P24" s="251" t="s">
        <v>228</v>
      </c>
      <c r="Q24" s="192"/>
      <c r="R24" s="192"/>
      <c r="S24" s="192"/>
      <c r="T24" s="192"/>
      <c r="U24" s="193"/>
    </row>
    <row r="25" spans="1:21" ht="15.75" customHeight="1">
      <c r="A25" s="85"/>
      <c r="B25" s="37">
        <f>ROW()-13</f>
        <v>12</v>
      </c>
      <c r="C25" s="145" t="s">
        <v>276</v>
      </c>
      <c r="D25" s="80"/>
      <c r="E25" s="81"/>
      <c r="F25" s="146" t="s">
        <v>534</v>
      </c>
      <c r="G25" s="17"/>
      <c r="H25" s="18" t="s">
        <v>51</v>
      </c>
      <c r="I25" s="59"/>
      <c r="J25" s="19">
        <v>50</v>
      </c>
      <c r="K25" s="19"/>
      <c r="L25" s="50"/>
      <c r="M25" s="73" t="s">
        <v>21</v>
      </c>
      <c r="N25" s="54">
        <f t="shared" si="0"/>
        <v>50</v>
      </c>
      <c r="O25" s="170"/>
      <c r="P25" s="191"/>
      <c r="Q25" s="192"/>
      <c r="R25" s="192"/>
      <c r="S25" s="192"/>
      <c r="T25" s="192"/>
      <c r="U25" s="193"/>
    </row>
    <row r="26" spans="1:21" ht="15.5">
      <c r="A26" s="85"/>
      <c r="B26" s="37">
        <f t="shared" ref="B26:B32" si="1">ROW()-13</f>
        <v>13</v>
      </c>
      <c r="C26" s="107" t="s">
        <v>36</v>
      </c>
      <c r="D26" s="107"/>
      <c r="E26" s="108"/>
      <c r="F26" s="109" t="s">
        <v>78</v>
      </c>
      <c r="G26" s="110"/>
      <c r="H26" s="18" t="s">
        <v>51</v>
      </c>
      <c r="I26" s="59"/>
      <c r="J26" s="113">
        <v>12</v>
      </c>
      <c r="K26" s="113"/>
      <c r="L26" s="114"/>
      <c r="M26" s="115" t="s">
        <v>35</v>
      </c>
      <c r="N26" s="116">
        <f t="shared" si="0"/>
        <v>12</v>
      </c>
      <c r="O26" s="171"/>
      <c r="P26" s="197"/>
      <c r="Q26" s="198"/>
      <c r="R26" s="198"/>
      <c r="S26" s="198"/>
      <c r="T26" s="198"/>
      <c r="U26" s="199"/>
    </row>
    <row r="27" spans="1:21" ht="15.5">
      <c r="A27" s="85"/>
      <c r="B27" s="37">
        <f t="shared" si="1"/>
        <v>14</v>
      </c>
      <c r="C27" s="107" t="s">
        <v>37</v>
      </c>
      <c r="D27" s="107"/>
      <c r="E27" s="108"/>
      <c r="F27" s="109" t="s">
        <v>43</v>
      </c>
      <c r="G27" s="110"/>
      <c r="H27" s="18" t="s">
        <v>51</v>
      </c>
      <c r="I27" s="59"/>
      <c r="J27" s="113">
        <v>10</v>
      </c>
      <c r="K27" s="113"/>
      <c r="L27" s="114"/>
      <c r="M27" s="115" t="s">
        <v>21</v>
      </c>
      <c r="N27" s="116">
        <f t="shared" si="0"/>
        <v>10</v>
      </c>
      <c r="O27" s="171"/>
      <c r="P27" s="197"/>
      <c r="Q27" s="198"/>
      <c r="R27" s="198"/>
      <c r="S27" s="198"/>
      <c r="T27" s="198"/>
      <c r="U27" s="199"/>
    </row>
    <row r="28" spans="1:21" ht="15.5">
      <c r="A28" s="85"/>
      <c r="B28" s="37">
        <f t="shared" si="1"/>
        <v>15</v>
      </c>
      <c r="C28" s="107" t="s">
        <v>38</v>
      </c>
      <c r="D28" s="107"/>
      <c r="E28" s="108"/>
      <c r="F28" s="109" t="s">
        <v>80</v>
      </c>
      <c r="G28" s="110"/>
      <c r="H28" s="18" t="s">
        <v>86</v>
      </c>
      <c r="I28" s="59"/>
      <c r="J28" s="113"/>
      <c r="K28" s="113"/>
      <c r="L28" s="114"/>
      <c r="M28" s="115" t="s">
        <v>21</v>
      </c>
      <c r="N28" s="116">
        <f t="shared" si="0"/>
        <v>0</v>
      </c>
      <c r="O28" s="171"/>
      <c r="P28" s="197"/>
      <c r="Q28" s="198"/>
      <c r="R28" s="198"/>
      <c r="S28" s="198"/>
      <c r="T28" s="198"/>
      <c r="U28" s="199"/>
    </row>
    <row r="29" spans="1:21" ht="15.5">
      <c r="A29" s="85"/>
      <c r="B29" s="37">
        <f t="shared" si="1"/>
        <v>16</v>
      </c>
      <c r="C29" s="107" t="s">
        <v>39</v>
      </c>
      <c r="D29" s="107"/>
      <c r="E29" s="108"/>
      <c r="F29" s="109" t="s">
        <v>79</v>
      </c>
      <c r="G29" s="110"/>
      <c r="H29" s="18" t="s">
        <v>51</v>
      </c>
      <c r="I29" s="59"/>
      <c r="J29" s="113">
        <v>12</v>
      </c>
      <c r="K29" s="113"/>
      <c r="L29" s="114"/>
      <c r="M29" s="115" t="s">
        <v>35</v>
      </c>
      <c r="N29" s="116">
        <f t="shared" si="0"/>
        <v>12</v>
      </c>
      <c r="O29" s="171"/>
      <c r="P29" s="197"/>
      <c r="Q29" s="198"/>
      <c r="R29" s="198"/>
      <c r="S29" s="198"/>
      <c r="T29" s="198"/>
      <c r="U29" s="199"/>
    </row>
    <row r="30" spans="1:21" ht="15.5">
      <c r="A30" s="85"/>
      <c r="B30" s="37">
        <f t="shared" si="1"/>
        <v>17</v>
      </c>
      <c r="C30" s="107" t="s">
        <v>40</v>
      </c>
      <c r="D30" s="107"/>
      <c r="E30" s="108"/>
      <c r="F30" s="109" t="s">
        <v>44</v>
      </c>
      <c r="G30" s="110"/>
      <c r="H30" s="18" t="s">
        <v>51</v>
      </c>
      <c r="I30" s="59"/>
      <c r="J30" s="113">
        <v>10</v>
      </c>
      <c r="K30" s="113"/>
      <c r="L30" s="114"/>
      <c r="M30" s="115" t="s">
        <v>21</v>
      </c>
      <c r="N30" s="116">
        <f t="shared" si="0"/>
        <v>10</v>
      </c>
      <c r="O30" s="171"/>
      <c r="P30" s="197"/>
      <c r="Q30" s="198"/>
      <c r="R30" s="198"/>
      <c r="S30" s="198"/>
      <c r="T30" s="198"/>
      <c r="U30" s="199"/>
    </row>
    <row r="31" spans="1:21" ht="15.5">
      <c r="A31" s="85"/>
      <c r="B31" s="37">
        <f t="shared" si="1"/>
        <v>18</v>
      </c>
      <c r="C31" s="107" t="s">
        <v>41</v>
      </c>
      <c r="D31" s="107"/>
      <c r="E31" s="108"/>
      <c r="F31" s="109" t="s">
        <v>81</v>
      </c>
      <c r="G31" s="110"/>
      <c r="H31" s="18" t="s">
        <v>86</v>
      </c>
      <c r="I31" s="59"/>
      <c r="J31" s="113"/>
      <c r="K31" s="113"/>
      <c r="L31" s="114"/>
      <c r="M31" s="115" t="s">
        <v>21</v>
      </c>
      <c r="N31" s="116">
        <f t="shared" si="0"/>
        <v>0</v>
      </c>
      <c r="O31" s="171"/>
      <c r="P31" s="197"/>
      <c r="Q31" s="198"/>
      <c r="R31" s="198"/>
      <c r="S31" s="198"/>
      <c r="T31" s="198"/>
      <c r="U31" s="199"/>
    </row>
    <row r="32" spans="1:21" ht="15.5">
      <c r="A32" s="85"/>
      <c r="B32" s="37">
        <f t="shared" si="1"/>
        <v>19</v>
      </c>
      <c r="C32" s="80" t="s">
        <v>46</v>
      </c>
      <c r="D32" s="80"/>
      <c r="E32" s="81"/>
      <c r="F32" s="84" t="s">
        <v>71</v>
      </c>
      <c r="G32" s="17"/>
      <c r="H32" s="18" t="s">
        <v>62</v>
      </c>
      <c r="I32" s="59"/>
      <c r="J32" s="19">
        <v>8</v>
      </c>
      <c r="K32" s="19"/>
      <c r="L32" s="50" t="s">
        <v>47</v>
      </c>
      <c r="M32" s="73" t="s">
        <v>35</v>
      </c>
      <c r="N32" s="54">
        <f t="shared" si="0"/>
        <v>8</v>
      </c>
      <c r="O32" s="170">
        <v>0</v>
      </c>
      <c r="P32" s="191" t="s">
        <v>48</v>
      </c>
      <c r="Q32" s="192"/>
      <c r="R32" s="192"/>
      <c r="S32" s="192"/>
      <c r="T32" s="192"/>
      <c r="U32" s="193"/>
    </row>
    <row r="33" spans="1:21" ht="16" thickBot="1">
      <c r="A33" s="118"/>
      <c r="B33" s="119"/>
      <c r="C33" s="120"/>
      <c r="D33" s="120"/>
      <c r="E33" s="121"/>
      <c r="F33" s="129"/>
      <c r="G33" s="122"/>
      <c r="H33" s="147"/>
      <c r="I33" s="148"/>
      <c r="J33" s="125"/>
      <c r="K33" s="125"/>
      <c r="L33" s="126"/>
      <c r="M33" s="126"/>
      <c r="N33" s="127"/>
      <c r="O33" s="172"/>
      <c r="P33" s="194"/>
      <c r="Q33" s="195"/>
      <c r="R33" s="195"/>
      <c r="S33" s="195"/>
      <c r="T33" s="195"/>
      <c r="U33" s="196"/>
    </row>
  </sheetData>
  <mergeCells count="50">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52226"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52227"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52228"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52229"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52230"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8904BDE-EC42-4551-BEDC-1EC572D1BA8F}">
            <xm:f>(AND(H14&lt;&gt;"",ISERROR(VLOOKUP(H14,system!$E:$E,1,FALSE))))</xm:f>
            <x14:dxf>
              <fill>
                <patternFill patternType="solid">
                  <bgColor rgb="FFFF0000"/>
                </patternFill>
              </fill>
            </x14:dxf>
          </x14:cfRule>
          <xm:sqref>H14:H25</xm:sqref>
        </x14:conditionalFormatting>
        <x14:conditionalFormatting xmlns:xm="http://schemas.microsoft.com/office/excel/2006/main">
          <x14:cfRule type="expression" priority="3" id="{CA10197F-1CEA-4425-8AAE-3A94B0AD6403}">
            <xm:f>(AND(H14&lt;&gt;"",ISERROR(VLOOKUP(H14,system!$E:$E,1,FALSE))))</xm:f>
            <x14:dxf>
              <fill>
                <patternFill>
                  <bgColor rgb="FFFF0000"/>
                </patternFill>
              </fill>
            </x14:dxf>
          </x14:cfRule>
          <xm:sqref>I14:I25</xm:sqref>
        </x14:conditionalFormatting>
        <x14:conditionalFormatting xmlns:xm="http://schemas.microsoft.com/office/excel/2006/main">
          <x14:cfRule type="expression" priority="2" id="{24C32996-9E12-4BB8-AD94-C8C9D9969A15}">
            <xm:f>(AND(H26&lt;&gt;"",ISERROR(VLOOKUP(H26,system!$E:$E,1,FALSE))))</xm:f>
            <x14:dxf>
              <fill>
                <patternFill patternType="solid">
                  <bgColor rgb="FFFF0000"/>
                </patternFill>
              </fill>
            </x14:dxf>
          </x14:cfRule>
          <xm:sqref>H26:H33</xm:sqref>
        </x14:conditionalFormatting>
        <x14:conditionalFormatting xmlns:xm="http://schemas.microsoft.com/office/excel/2006/main">
          <x14:cfRule type="expression" priority="1" id="{B65DC13F-4B0A-4C0C-919D-95EF09895145}">
            <xm:f>(AND(H26&lt;&gt;"",ISERROR(VLOOKUP(H26,system!$E:$E,1,FALSE))))</xm:f>
            <x14:dxf>
              <fill>
                <patternFill>
                  <bgColor rgb="FFFF0000"/>
                </patternFill>
              </fill>
            </x14:dxf>
          </x14:cfRule>
          <xm:sqref>I26:I33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4E51F-2391-4D7B-A031-A38DD34225C6}">
  <sheetPr codeName="Sheet51">
    <pageSetUpPr fitToPage="1"/>
  </sheetPr>
  <dimension ref="A1:U2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645</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172</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SUM(N14:N26)</f>
        <v>127</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350</v>
      </c>
      <c r="D14" s="80"/>
      <c r="E14" s="81"/>
      <c r="F14" s="146"/>
      <c r="G14" s="17"/>
      <c r="H14" s="18" t="s">
        <v>49</v>
      </c>
      <c r="I14" s="59"/>
      <c r="J14" s="19">
        <v>4</v>
      </c>
      <c r="K14" s="19"/>
      <c r="L14" s="50" t="s">
        <v>189</v>
      </c>
      <c r="M14" s="73" t="s">
        <v>21</v>
      </c>
      <c r="N14" s="54">
        <f t="shared" ref="N14:N24" si="0">IF(H14="NUMBER",IF(J14&gt;0,INT((J14+1)/2+0.9),0),IF(H14="DATE",7,IF(OR(H14="LONG",H14="LONG RAW"),100000,J14)))</f>
        <v>4</v>
      </c>
      <c r="O14" s="170"/>
      <c r="P14" s="191"/>
      <c r="Q14" s="192"/>
      <c r="R14" s="192"/>
      <c r="S14" s="192"/>
      <c r="T14" s="192"/>
      <c r="U14" s="193"/>
    </row>
    <row r="15" spans="1:21" ht="15.75" customHeight="1">
      <c r="A15" s="85"/>
      <c r="B15" s="37">
        <f>ROW()-13</f>
        <v>2</v>
      </c>
      <c r="C15" s="145" t="s">
        <v>646</v>
      </c>
      <c r="D15" s="80"/>
      <c r="E15" s="81"/>
      <c r="F15" s="146"/>
      <c r="G15" s="17"/>
      <c r="H15" s="18" t="s">
        <v>51</v>
      </c>
      <c r="I15" s="59"/>
      <c r="J15" s="19">
        <v>20</v>
      </c>
      <c r="K15" s="19"/>
      <c r="L15" s="50" t="s">
        <v>189</v>
      </c>
      <c r="M15" s="73" t="s">
        <v>21</v>
      </c>
      <c r="N15" s="54">
        <f t="shared" si="0"/>
        <v>20</v>
      </c>
      <c r="O15" s="170"/>
      <c r="P15" s="191"/>
      <c r="Q15" s="192"/>
      <c r="R15" s="192"/>
      <c r="S15" s="192"/>
      <c r="T15" s="192"/>
      <c r="U15" s="193"/>
    </row>
    <row r="16" spans="1:21" ht="27.5" customHeight="1">
      <c r="A16" s="85"/>
      <c r="B16" s="37">
        <f>ROW()-13</f>
        <v>3</v>
      </c>
      <c r="C16" s="145" t="s">
        <v>227</v>
      </c>
      <c r="D16" s="80"/>
      <c r="E16" s="81"/>
      <c r="F16" s="146"/>
      <c r="G16" s="17"/>
      <c r="H16" s="18" t="s">
        <v>49</v>
      </c>
      <c r="I16" s="59"/>
      <c r="J16" s="19">
        <v>1</v>
      </c>
      <c r="K16" s="19"/>
      <c r="L16" s="50"/>
      <c r="M16" s="73" t="s">
        <v>21</v>
      </c>
      <c r="N16" s="54">
        <f t="shared" si="0"/>
        <v>1</v>
      </c>
      <c r="O16" s="170"/>
      <c r="P16" s="251" t="s">
        <v>228</v>
      </c>
      <c r="Q16" s="192"/>
      <c r="R16" s="192"/>
      <c r="S16" s="192"/>
      <c r="T16" s="192"/>
      <c r="U16" s="193"/>
    </row>
    <row r="17" spans="1:21" ht="15.75" customHeight="1">
      <c r="A17" s="85"/>
      <c r="B17" s="37">
        <f>ROW()-13</f>
        <v>4</v>
      </c>
      <c r="C17" s="145" t="s">
        <v>276</v>
      </c>
      <c r="D17" s="80"/>
      <c r="E17" s="81"/>
      <c r="F17" s="146" t="s">
        <v>534</v>
      </c>
      <c r="G17" s="17"/>
      <c r="H17" s="18" t="s">
        <v>51</v>
      </c>
      <c r="I17" s="59"/>
      <c r="J17" s="19">
        <v>50</v>
      </c>
      <c r="K17" s="19"/>
      <c r="L17" s="50"/>
      <c r="M17" s="73" t="s">
        <v>21</v>
      </c>
      <c r="N17" s="54">
        <f t="shared" si="0"/>
        <v>50</v>
      </c>
      <c r="O17" s="170"/>
      <c r="P17" s="191"/>
      <c r="Q17" s="192"/>
      <c r="R17" s="192"/>
      <c r="S17" s="192"/>
      <c r="T17" s="192"/>
      <c r="U17" s="193"/>
    </row>
    <row r="18" spans="1:21" ht="15.5">
      <c r="A18" s="85"/>
      <c r="B18" s="37">
        <f t="shared" ref="B18:B24" si="1">ROW()-13</f>
        <v>5</v>
      </c>
      <c r="C18" s="107" t="s">
        <v>36</v>
      </c>
      <c r="D18" s="107"/>
      <c r="E18" s="108"/>
      <c r="F18" s="109" t="s">
        <v>78</v>
      </c>
      <c r="G18" s="110"/>
      <c r="H18" s="18" t="s">
        <v>51</v>
      </c>
      <c r="I18" s="59"/>
      <c r="J18" s="113">
        <v>12</v>
      </c>
      <c r="K18" s="113"/>
      <c r="L18" s="114"/>
      <c r="M18" s="115" t="s">
        <v>35</v>
      </c>
      <c r="N18" s="116">
        <f t="shared" si="0"/>
        <v>12</v>
      </c>
      <c r="O18" s="171"/>
      <c r="P18" s="197"/>
      <c r="Q18" s="198"/>
      <c r="R18" s="198"/>
      <c r="S18" s="198"/>
      <c r="T18" s="198"/>
      <c r="U18" s="199"/>
    </row>
    <row r="19" spans="1:21" ht="15.5">
      <c r="A19" s="85"/>
      <c r="B19" s="37">
        <f t="shared" si="1"/>
        <v>6</v>
      </c>
      <c r="C19" s="107" t="s">
        <v>37</v>
      </c>
      <c r="D19" s="107"/>
      <c r="E19" s="108"/>
      <c r="F19" s="109" t="s">
        <v>43</v>
      </c>
      <c r="G19" s="110"/>
      <c r="H19" s="18" t="s">
        <v>51</v>
      </c>
      <c r="I19" s="59"/>
      <c r="J19" s="113">
        <v>10</v>
      </c>
      <c r="K19" s="113"/>
      <c r="L19" s="114"/>
      <c r="M19" s="115" t="s">
        <v>21</v>
      </c>
      <c r="N19" s="116">
        <f t="shared" si="0"/>
        <v>10</v>
      </c>
      <c r="O19" s="171"/>
      <c r="P19" s="197"/>
      <c r="Q19" s="198"/>
      <c r="R19" s="198"/>
      <c r="S19" s="198"/>
      <c r="T19" s="198"/>
      <c r="U19" s="199"/>
    </row>
    <row r="20" spans="1:21" ht="15.5">
      <c r="A20" s="85"/>
      <c r="B20" s="37">
        <f t="shared" si="1"/>
        <v>7</v>
      </c>
      <c r="C20" s="107" t="s">
        <v>38</v>
      </c>
      <c r="D20" s="107"/>
      <c r="E20" s="108"/>
      <c r="F20" s="109" t="s">
        <v>80</v>
      </c>
      <c r="G20" s="110"/>
      <c r="H20" s="18" t="s">
        <v>86</v>
      </c>
      <c r="I20" s="59"/>
      <c r="J20" s="113"/>
      <c r="K20" s="113"/>
      <c r="L20" s="114"/>
      <c r="M20" s="115" t="s">
        <v>21</v>
      </c>
      <c r="N20" s="116">
        <f t="shared" si="0"/>
        <v>0</v>
      </c>
      <c r="O20" s="171"/>
      <c r="P20" s="197"/>
      <c r="Q20" s="198"/>
      <c r="R20" s="198"/>
      <c r="S20" s="198"/>
      <c r="T20" s="198"/>
      <c r="U20" s="199"/>
    </row>
    <row r="21" spans="1:21" ht="15.5">
      <c r="A21" s="85"/>
      <c r="B21" s="37">
        <f t="shared" si="1"/>
        <v>8</v>
      </c>
      <c r="C21" s="107" t="s">
        <v>39</v>
      </c>
      <c r="D21" s="107"/>
      <c r="E21" s="108"/>
      <c r="F21" s="109" t="s">
        <v>79</v>
      </c>
      <c r="G21" s="110"/>
      <c r="H21" s="18" t="s">
        <v>51</v>
      </c>
      <c r="I21" s="59"/>
      <c r="J21" s="113">
        <v>12</v>
      </c>
      <c r="K21" s="113"/>
      <c r="L21" s="114"/>
      <c r="M21" s="115" t="s">
        <v>35</v>
      </c>
      <c r="N21" s="116">
        <f t="shared" si="0"/>
        <v>12</v>
      </c>
      <c r="O21" s="171"/>
      <c r="P21" s="197"/>
      <c r="Q21" s="198"/>
      <c r="R21" s="198"/>
      <c r="S21" s="198"/>
      <c r="T21" s="198"/>
      <c r="U21" s="199"/>
    </row>
    <row r="22" spans="1:21" ht="15.5">
      <c r="A22" s="85"/>
      <c r="B22" s="37">
        <f t="shared" si="1"/>
        <v>9</v>
      </c>
      <c r="C22" s="107" t="s">
        <v>40</v>
      </c>
      <c r="D22" s="107"/>
      <c r="E22" s="108"/>
      <c r="F22" s="109" t="s">
        <v>44</v>
      </c>
      <c r="G22" s="110"/>
      <c r="H22" s="18" t="s">
        <v>51</v>
      </c>
      <c r="I22" s="59"/>
      <c r="J22" s="113">
        <v>10</v>
      </c>
      <c r="K22" s="113"/>
      <c r="L22" s="114"/>
      <c r="M22" s="115" t="s">
        <v>21</v>
      </c>
      <c r="N22" s="116">
        <f t="shared" si="0"/>
        <v>10</v>
      </c>
      <c r="O22" s="171"/>
      <c r="P22" s="197"/>
      <c r="Q22" s="198"/>
      <c r="R22" s="198"/>
      <c r="S22" s="198"/>
      <c r="T22" s="198"/>
      <c r="U22" s="199"/>
    </row>
    <row r="23" spans="1:21" ht="15.5">
      <c r="A23" s="85"/>
      <c r="B23" s="37">
        <f t="shared" si="1"/>
        <v>10</v>
      </c>
      <c r="C23" s="107" t="s">
        <v>41</v>
      </c>
      <c r="D23" s="107"/>
      <c r="E23" s="108"/>
      <c r="F23" s="109" t="s">
        <v>81</v>
      </c>
      <c r="G23" s="110"/>
      <c r="H23" s="18" t="s">
        <v>86</v>
      </c>
      <c r="I23" s="59"/>
      <c r="J23" s="113"/>
      <c r="K23" s="113"/>
      <c r="L23" s="114"/>
      <c r="M23" s="115" t="s">
        <v>21</v>
      </c>
      <c r="N23" s="116">
        <f t="shared" si="0"/>
        <v>0</v>
      </c>
      <c r="O23" s="171"/>
      <c r="P23" s="197"/>
      <c r="Q23" s="198"/>
      <c r="R23" s="198"/>
      <c r="S23" s="198"/>
      <c r="T23" s="198"/>
      <c r="U23" s="199"/>
    </row>
    <row r="24" spans="1:21" ht="15.5">
      <c r="A24" s="85"/>
      <c r="B24" s="37">
        <f t="shared" si="1"/>
        <v>11</v>
      </c>
      <c r="C24" s="80" t="s">
        <v>46</v>
      </c>
      <c r="D24" s="80"/>
      <c r="E24" s="81"/>
      <c r="F24" s="84" t="s">
        <v>71</v>
      </c>
      <c r="G24" s="17"/>
      <c r="H24" s="18" t="s">
        <v>62</v>
      </c>
      <c r="I24" s="59"/>
      <c r="J24" s="19">
        <v>8</v>
      </c>
      <c r="K24" s="19"/>
      <c r="L24" s="50" t="s">
        <v>47</v>
      </c>
      <c r="M24" s="73" t="s">
        <v>35</v>
      </c>
      <c r="N24" s="54">
        <f t="shared" si="0"/>
        <v>8</v>
      </c>
      <c r="O24" s="170">
        <v>0</v>
      </c>
      <c r="P24" s="191" t="s">
        <v>48</v>
      </c>
      <c r="Q24" s="192"/>
      <c r="R24" s="192"/>
      <c r="S24" s="192"/>
      <c r="T24" s="192"/>
      <c r="U24" s="193"/>
    </row>
    <row r="25" spans="1:21" ht="16" thickBot="1">
      <c r="A25" s="118"/>
      <c r="B25" s="119"/>
      <c r="C25" s="120"/>
      <c r="D25" s="120"/>
      <c r="E25" s="121"/>
      <c r="F25" s="129"/>
      <c r="G25" s="122"/>
      <c r="H25" s="147"/>
      <c r="I25" s="148"/>
      <c r="J25" s="125"/>
      <c r="K25" s="125"/>
      <c r="L25" s="126"/>
      <c r="M25" s="126"/>
      <c r="N25" s="127"/>
      <c r="O25" s="172"/>
      <c r="P25" s="194"/>
      <c r="Q25" s="195"/>
      <c r="R25" s="195"/>
      <c r="S25" s="195"/>
      <c r="T25" s="195"/>
      <c r="U25" s="196"/>
    </row>
  </sheetData>
  <mergeCells count="42">
    <mergeCell ref="P22:U22"/>
    <mergeCell ref="P23:U23"/>
    <mergeCell ref="P24:U24"/>
    <mergeCell ref="P25:U25"/>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53250"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53251"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53252"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53253"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53254"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D9EE8116-1496-4EAE-A465-468AFEC46439}">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6C5CA48C-876D-409A-86B7-6A0476164473}">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90B07E23-2964-4090-B916-8B9B4EF03879}">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D89F45B8-0B06-4585-ABAD-9DB49C05E22C}">
            <xm:f>(AND(H18&lt;&gt;"",ISERROR(VLOOKUP(H18,system!$E:$E,1,FALSE))))</xm:f>
            <x14:dxf>
              <fill>
                <patternFill>
                  <bgColor rgb="FFFF0000"/>
                </patternFill>
              </fill>
            </x14:dxf>
          </x14:cfRule>
          <xm:sqref>I18:I25</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6EBDD-61F1-4DC3-BB68-292EE24D2124}">
  <sheetPr codeName="Sheet52">
    <pageSetUpPr fitToPage="1"/>
  </sheetPr>
  <dimension ref="A1:U2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648</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173</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SUM(N14:N26)</f>
        <v>111</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649</v>
      </c>
      <c r="D14" s="80"/>
      <c r="E14" s="81"/>
      <c r="F14" s="146"/>
      <c r="G14" s="17"/>
      <c r="H14" s="18" t="s">
        <v>24</v>
      </c>
      <c r="I14" s="59"/>
      <c r="J14" s="19"/>
      <c r="K14" s="19"/>
      <c r="L14" s="50" t="s">
        <v>189</v>
      </c>
      <c r="M14" s="73" t="s">
        <v>21</v>
      </c>
      <c r="N14" s="54">
        <f t="shared" ref="N14:N24" si="0">IF(H14="NUMBER",IF(J14&gt;0,INT((J14+1)/2+0.9),0),IF(H14="DATE",7,IF(OR(H14="LONG",H14="LONG RAW"),100000,J14)))</f>
        <v>7</v>
      </c>
      <c r="O14" s="170"/>
      <c r="P14" s="191"/>
      <c r="Q14" s="192"/>
      <c r="R14" s="192"/>
      <c r="S14" s="192"/>
      <c r="T14" s="192"/>
      <c r="U14" s="193"/>
    </row>
    <row r="15" spans="1:21" ht="15.75" customHeight="1">
      <c r="A15" s="85" t="s">
        <v>190</v>
      </c>
      <c r="B15" s="37">
        <f>ROW()-13</f>
        <v>2</v>
      </c>
      <c r="C15" s="145" t="s">
        <v>297</v>
      </c>
      <c r="D15" s="80"/>
      <c r="E15" s="81"/>
      <c r="F15" s="146"/>
      <c r="G15" s="17"/>
      <c r="H15" s="18" t="s">
        <v>49</v>
      </c>
      <c r="I15" s="59"/>
      <c r="J15" s="19">
        <v>1</v>
      </c>
      <c r="K15" s="19"/>
      <c r="L15" s="50" t="s">
        <v>189</v>
      </c>
      <c r="M15" s="73" t="s">
        <v>21</v>
      </c>
      <c r="N15" s="54">
        <f t="shared" si="0"/>
        <v>1</v>
      </c>
      <c r="O15" s="170"/>
      <c r="P15" s="191"/>
      <c r="Q15" s="192"/>
      <c r="R15" s="192"/>
      <c r="S15" s="192"/>
      <c r="T15" s="192"/>
      <c r="U15" s="193"/>
    </row>
    <row r="16" spans="1:21" ht="27.5" customHeight="1">
      <c r="A16" s="85"/>
      <c r="B16" s="37">
        <f>ROW()-13</f>
        <v>3</v>
      </c>
      <c r="C16" s="145" t="s">
        <v>650</v>
      </c>
      <c r="D16" s="80"/>
      <c r="E16" s="81"/>
      <c r="F16" s="146"/>
      <c r="G16" s="17"/>
      <c r="H16" s="18" t="s">
        <v>49</v>
      </c>
      <c r="I16" s="59"/>
      <c r="J16" s="19">
        <v>1</v>
      </c>
      <c r="K16" s="19"/>
      <c r="L16" s="50"/>
      <c r="M16" s="73" t="s">
        <v>21</v>
      </c>
      <c r="N16" s="54">
        <f t="shared" si="0"/>
        <v>1</v>
      </c>
      <c r="O16" s="170"/>
      <c r="P16" s="251" t="s">
        <v>651</v>
      </c>
      <c r="Q16" s="192"/>
      <c r="R16" s="192"/>
      <c r="S16" s="192"/>
      <c r="T16" s="192"/>
      <c r="U16" s="193"/>
    </row>
    <row r="17" spans="1:21" ht="15.75" customHeight="1">
      <c r="A17" s="85"/>
      <c r="B17" s="37">
        <f>ROW()-13</f>
        <v>4</v>
      </c>
      <c r="C17" s="145" t="s">
        <v>276</v>
      </c>
      <c r="D17" s="80"/>
      <c r="E17" s="81"/>
      <c r="F17" s="146" t="s">
        <v>534</v>
      </c>
      <c r="G17" s="17"/>
      <c r="H17" s="18" t="s">
        <v>51</v>
      </c>
      <c r="I17" s="59"/>
      <c r="J17" s="19">
        <v>50</v>
      </c>
      <c r="K17" s="19"/>
      <c r="L17" s="50"/>
      <c r="M17" s="73" t="s">
        <v>21</v>
      </c>
      <c r="N17" s="54">
        <f t="shared" si="0"/>
        <v>50</v>
      </c>
      <c r="O17" s="170"/>
      <c r="P17" s="191"/>
      <c r="Q17" s="192"/>
      <c r="R17" s="192"/>
      <c r="S17" s="192"/>
      <c r="T17" s="192"/>
      <c r="U17" s="193"/>
    </row>
    <row r="18" spans="1:21" ht="15.5">
      <c r="A18" s="85"/>
      <c r="B18" s="37">
        <f t="shared" ref="B18:B24" si="1">ROW()-13</f>
        <v>5</v>
      </c>
      <c r="C18" s="107" t="s">
        <v>36</v>
      </c>
      <c r="D18" s="107"/>
      <c r="E18" s="108"/>
      <c r="F18" s="109" t="s">
        <v>78</v>
      </c>
      <c r="G18" s="110"/>
      <c r="H18" s="18" t="s">
        <v>51</v>
      </c>
      <c r="I18" s="59"/>
      <c r="J18" s="113">
        <v>12</v>
      </c>
      <c r="K18" s="113"/>
      <c r="L18" s="114"/>
      <c r="M18" s="115" t="s">
        <v>35</v>
      </c>
      <c r="N18" s="116">
        <f t="shared" si="0"/>
        <v>12</v>
      </c>
      <c r="O18" s="171"/>
      <c r="P18" s="197"/>
      <c r="Q18" s="198"/>
      <c r="R18" s="198"/>
      <c r="S18" s="198"/>
      <c r="T18" s="198"/>
      <c r="U18" s="199"/>
    </row>
    <row r="19" spans="1:21" ht="15.5">
      <c r="A19" s="85"/>
      <c r="B19" s="37">
        <f t="shared" si="1"/>
        <v>6</v>
      </c>
      <c r="C19" s="107" t="s">
        <v>37</v>
      </c>
      <c r="D19" s="107"/>
      <c r="E19" s="108"/>
      <c r="F19" s="109" t="s">
        <v>43</v>
      </c>
      <c r="G19" s="110"/>
      <c r="H19" s="18" t="s">
        <v>51</v>
      </c>
      <c r="I19" s="59"/>
      <c r="J19" s="113">
        <v>10</v>
      </c>
      <c r="K19" s="113"/>
      <c r="L19" s="114"/>
      <c r="M19" s="115" t="s">
        <v>21</v>
      </c>
      <c r="N19" s="116">
        <f t="shared" si="0"/>
        <v>10</v>
      </c>
      <c r="O19" s="171"/>
      <c r="P19" s="197"/>
      <c r="Q19" s="198"/>
      <c r="R19" s="198"/>
      <c r="S19" s="198"/>
      <c r="T19" s="198"/>
      <c r="U19" s="199"/>
    </row>
    <row r="20" spans="1:21" ht="15.5">
      <c r="A20" s="85"/>
      <c r="B20" s="37">
        <f t="shared" si="1"/>
        <v>7</v>
      </c>
      <c r="C20" s="107" t="s">
        <v>38</v>
      </c>
      <c r="D20" s="107"/>
      <c r="E20" s="108"/>
      <c r="F20" s="109" t="s">
        <v>80</v>
      </c>
      <c r="G20" s="110"/>
      <c r="H20" s="18" t="s">
        <v>86</v>
      </c>
      <c r="I20" s="59"/>
      <c r="J20" s="113"/>
      <c r="K20" s="113"/>
      <c r="L20" s="114"/>
      <c r="M20" s="115" t="s">
        <v>21</v>
      </c>
      <c r="N20" s="116">
        <f t="shared" si="0"/>
        <v>0</v>
      </c>
      <c r="O20" s="171"/>
      <c r="P20" s="197"/>
      <c r="Q20" s="198"/>
      <c r="R20" s="198"/>
      <c r="S20" s="198"/>
      <c r="T20" s="198"/>
      <c r="U20" s="199"/>
    </row>
    <row r="21" spans="1:21" ht="15.5">
      <c r="A21" s="85"/>
      <c r="B21" s="37">
        <f t="shared" si="1"/>
        <v>8</v>
      </c>
      <c r="C21" s="107" t="s">
        <v>39</v>
      </c>
      <c r="D21" s="107"/>
      <c r="E21" s="108"/>
      <c r="F21" s="109" t="s">
        <v>79</v>
      </c>
      <c r="G21" s="110"/>
      <c r="H21" s="18" t="s">
        <v>51</v>
      </c>
      <c r="I21" s="59"/>
      <c r="J21" s="113">
        <v>12</v>
      </c>
      <c r="K21" s="113"/>
      <c r="L21" s="114"/>
      <c r="M21" s="115" t="s">
        <v>35</v>
      </c>
      <c r="N21" s="116">
        <f t="shared" si="0"/>
        <v>12</v>
      </c>
      <c r="O21" s="171"/>
      <c r="P21" s="197"/>
      <c r="Q21" s="198"/>
      <c r="R21" s="198"/>
      <c r="S21" s="198"/>
      <c r="T21" s="198"/>
      <c r="U21" s="199"/>
    </row>
    <row r="22" spans="1:21" ht="15.5">
      <c r="A22" s="85"/>
      <c r="B22" s="37">
        <f t="shared" si="1"/>
        <v>9</v>
      </c>
      <c r="C22" s="107" t="s">
        <v>40</v>
      </c>
      <c r="D22" s="107"/>
      <c r="E22" s="108"/>
      <c r="F22" s="109" t="s">
        <v>44</v>
      </c>
      <c r="G22" s="110"/>
      <c r="H22" s="18" t="s">
        <v>51</v>
      </c>
      <c r="I22" s="59"/>
      <c r="J22" s="113">
        <v>10</v>
      </c>
      <c r="K22" s="113"/>
      <c r="L22" s="114"/>
      <c r="M22" s="115" t="s">
        <v>21</v>
      </c>
      <c r="N22" s="116">
        <f t="shared" si="0"/>
        <v>10</v>
      </c>
      <c r="O22" s="171"/>
      <c r="P22" s="197"/>
      <c r="Q22" s="198"/>
      <c r="R22" s="198"/>
      <c r="S22" s="198"/>
      <c r="T22" s="198"/>
      <c r="U22" s="199"/>
    </row>
    <row r="23" spans="1:21" ht="15.5">
      <c r="A23" s="85"/>
      <c r="B23" s="37">
        <f t="shared" si="1"/>
        <v>10</v>
      </c>
      <c r="C23" s="107" t="s">
        <v>41</v>
      </c>
      <c r="D23" s="107"/>
      <c r="E23" s="108"/>
      <c r="F23" s="109" t="s">
        <v>81</v>
      </c>
      <c r="G23" s="110"/>
      <c r="H23" s="18" t="s">
        <v>86</v>
      </c>
      <c r="I23" s="59"/>
      <c r="J23" s="113"/>
      <c r="K23" s="113"/>
      <c r="L23" s="114"/>
      <c r="M23" s="115" t="s">
        <v>21</v>
      </c>
      <c r="N23" s="116">
        <f t="shared" si="0"/>
        <v>0</v>
      </c>
      <c r="O23" s="171"/>
      <c r="P23" s="197"/>
      <c r="Q23" s="198"/>
      <c r="R23" s="198"/>
      <c r="S23" s="198"/>
      <c r="T23" s="198"/>
      <c r="U23" s="199"/>
    </row>
    <row r="24" spans="1:21" ht="15.5">
      <c r="A24" s="85"/>
      <c r="B24" s="37">
        <f t="shared" si="1"/>
        <v>11</v>
      </c>
      <c r="C24" s="80" t="s">
        <v>46</v>
      </c>
      <c r="D24" s="80"/>
      <c r="E24" s="81"/>
      <c r="F24" s="84" t="s">
        <v>71</v>
      </c>
      <c r="G24" s="17"/>
      <c r="H24" s="18" t="s">
        <v>62</v>
      </c>
      <c r="I24" s="59"/>
      <c r="J24" s="19">
        <v>8</v>
      </c>
      <c r="K24" s="19"/>
      <c r="L24" s="50" t="s">
        <v>47</v>
      </c>
      <c r="M24" s="73" t="s">
        <v>35</v>
      </c>
      <c r="N24" s="54">
        <f t="shared" si="0"/>
        <v>8</v>
      </c>
      <c r="O24" s="170">
        <v>0</v>
      </c>
      <c r="P24" s="191" t="s">
        <v>48</v>
      </c>
      <c r="Q24" s="192"/>
      <c r="R24" s="192"/>
      <c r="S24" s="192"/>
      <c r="T24" s="192"/>
      <c r="U24" s="193"/>
    </row>
    <row r="25" spans="1:21" ht="16" thickBot="1">
      <c r="A25" s="118"/>
      <c r="B25" s="119"/>
      <c r="C25" s="120"/>
      <c r="D25" s="120"/>
      <c r="E25" s="121"/>
      <c r="F25" s="129"/>
      <c r="G25" s="122"/>
      <c r="H25" s="147"/>
      <c r="I25" s="148"/>
      <c r="J25" s="125"/>
      <c r="K25" s="125"/>
      <c r="L25" s="126"/>
      <c r="M25" s="126"/>
      <c r="N25" s="127"/>
      <c r="O25" s="172"/>
      <c r="P25" s="194"/>
      <c r="Q25" s="195"/>
      <c r="R25" s="195"/>
      <c r="S25" s="195"/>
      <c r="T25" s="195"/>
      <c r="U25" s="196"/>
    </row>
  </sheetData>
  <mergeCells count="42">
    <mergeCell ref="P22:U22"/>
    <mergeCell ref="P23:U23"/>
    <mergeCell ref="P24:U24"/>
    <mergeCell ref="P25:U25"/>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3"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54274"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54275"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54276"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54277"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54278"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AF98B3D-B302-4A04-B200-182D1D3F26E6}">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085D66E2-1F9A-483F-B3B2-665670B01CCE}">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52F5C8DF-4BE4-4FA9-8E6F-13A879B11394}">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83C531E9-FB4E-4D5A-88BE-74C73D161F29}">
            <xm:f>(AND(H18&lt;&gt;"",ISERROR(VLOOKUP(H18,system!$E:$E,1,FALSE))))</xm:f>
            <x14:dxf>
              <fill>
                <patternFill>
                  <bgColor rgb="FFFF0000"/>
                </patternFill>
              </fill>
            </x14:dxf>
          </x14:cfRule>
          <xm:sqref>I18:I25</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5431-BDE8-47CA-B8E9-AD3F129A08A7}">
  <sheetPr codeName="Sheet53">
    <pageSetUpPr fitToPage="1"/>
  </sheetPr>
  <dimension ref="A1:U29"/>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653</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174</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SUM(N14:N30)</f>
        <v>117</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193</v>
      </c>
      <c r="D14" s="80"/>
      <c r="E14" s="81"/>
      <c r="F14" s="146"/>
      <c r="G14" s="17"/>
      <c r="H14" s="18" t="s">
        <v>49</v>
      </c>
      <c r="I14" s="59"/>
      <c r="J14" s="19">
        <v>2</v>
      </c>
      <c r="K14" s="19"/>
      <c r="L14" s="50" t="s">
        <v>189</v>
      </c>
      <c r="M14" s="73" t="s">
        <v>21</v>
      </c>
      <c r="N14" s="54">
        <f t="shared" ref="N14:N28" si="0">IF(H14="NUMBER",IF(J14&gt;0,INT((J14+1)/2+0.9),0),IF(H14="DATE",7,IF(OR(H14="LONG",H14="LONG RAW"),100000,J14)))</f>
        <v>2</v>
      </c>
      <c r="O14" s="170"/>
      <c r="P14" s="191"/>
      <c r="Q14" s="192"/>
      <c r="R14" s="192"/>
      <c r="S14" s="192"/>
      <c r="T14" s="192"/>
      <c r="U14" s="193"/>
    </row>
    <row r="15" spans="1:21" ht="15.75" customHeight="1">
      <c r="A15" s="85" t="s">
        <v>190</v>
      </c>
      <c r="B15" s="37">
        <f>ROW()-13</f>
        <v>2</v>
      </c>
      <c r="C15" s="145" t="s">
        <v>306</v>
      </c>
      <c r="D15" s="80"/>
      <c r="E15" s="81"/>
      <c r="F15" s="146"/>
      <c r="G15" s="17"/>
      <c r="H15" s="18" t="s">
        <v>49</v>
      </c>
      <c r="I15" s="59"/>
      <c r="J15" s="19">
        <v>1</v>
      </c>
      <c r="K15" s="19"/>
      <c r="L15" s="50" t="s">
        <v>189</v>
      </c>
      <c r="M15" s="73" t="s">
        <v>21</v>
      </c>
      <c r="N15" s="54">
        <f t="shared" si="0"/>
        <v>1</v>
      </c>
      <c r="O15" s="170"/>
      <c r="P15" s="191" t="s">
        <v>654</v>
      </c>
      <c r="Q15" s="192"/>
      <c r="R15" s="192"/>
      <c r="S15" s="192"/>
      <c r="T15" s="192"/>
      <c r="U15" s="193"/>
    </row>
    <row r="16" spans="1:21" ht="15.75" customHeight="1">
      <c r="A16" s="85" t="s">
        <v>190</v>
      </c>
      <c r="B16" s="37">
        <f>ROW()-13</f>
        <v>3</v>
      </c>
      <c r="C16" s="145" t="s">
        <v>576</v>
      </c>
      <c r="D16" s="80"/>
      <c r="E16" s="81"/>
      <c r="F16" s="146"/>
      <c r="G16" s="17"/>
      <c r="H16" s="18" t="s">
        <v>49</v>
      </c>
      <c r="I16" s="59"/>
      <c r="J16" s="19">
        <v>1</v>
      </c>
      <c r="K16" s="19"/>
      <c r="L16" s="50" t="s">
        <v>189</v>
      </c>
      <c r="M16" s="73" t="s">
        <v>21</v>
      </c>
      <c r="N16" s="54">
        <f t="shared" si="0"/>
        <v>1</v>
      </c>
      <c r="O16" s="170"/>
      <c r="P16" s="191" t="s">
        <v>203</v>
      </c>
      <c r="Q16" s="192"/>
      <c r="R16" s="192"/>
      <c r="S16" s="192"/>
      <c r="T16" s="192"/>
      <c r="U16" s="193"/>
    </row>
    <row r="17" spans="1:21" ht="15.75" customHeight="1">
      <c r="A17" s="85"/>
      <c r="B17" s="37">
        <f>ROW()-13</f>
        <v>4</v>
      </c>
      <c r="C17" s="145" t="s">
        <v>655</v>
      </c>
      <c r="D17" s="80"/>
      <c r="E17" s="81"/>
      <c r="F17" s="146"/>
      <c r="G17" s="17"/>
      <c r="H17" s="18" t="s">
        <v>49</v>
      </c>
      <c r="I17" s="59"/>
      <c r="J17" s="19">
        <v>5</v>
      </c>
      <c r="K17" s="19"/>
      <c r="L17" s="50"/>
      <c r="M17" s="73" t="s">
        <v>21</v>
      </c>
      <c r="N17" s="54">
        <f t="shared" si="0"/>
        <v>5</v>
      </c>
      <c r="O17" s="170"/>
      <c r="P17" s="191" t="s">
        <v>656</v>
      </c>
      <c r="Q17" s="192"/>
      <c r="R17" s="192"/>
      <c r="S17" s="192"/>
      <c r="T17" s="192"/>
      <c r="U17" s="193"/>
    </row>
    <row r="18" spans="1:21" ht="15.75" customHeight="1">
      <c r="A18" s="85"/>
      <c r="B18" s="37">
        <f>ROW()-13</f>
        <v>5</v>
      </c>
      <c r="C18" s="145" t="s">
        <v>657</v>
      </c>
      <c r="D18" s="80"/>
      <c r="E18" s="81"/>
      <c r="F18" s="146"/>
      <c r="G18" s="17"/>
      <c r="H18" s="18" t="s">
        <v>49</v>
      </c>
      <c r="I18" s="59"/>
      <c r="J18" s="19">
        <v>5</v>
      </c>
      <c r="K18" s="19"/>
      <c r="L18" s="50"/>
      <c r="M18" s="73" t="s">
        <v>21</v>
      </c>
      <c r="N18" s="54">
        <f t="shared" si="0"/>
        <v>5</v>
      </c>
      <c r="O18" s="170"/>
      <c r="P18" s="191" t="s">
        <v>656</v>
      </c>
      <c r="Q18" s="192"/>
      <c r="R18" s="192"/>
      <c r="S18" s="192"/>
      <c r="T18" s="192"/>
      <c r="U18" s="193"/>
    </row>
    <row r="19" spans="1:21" ht="15.75" customHeight="1">
      <c r="A19" s="85"/>
      <c r="B19" s="37">
        <f>ROW()-13</f>
        <v>6</v>
      </c>
      <c r="C19" s="145" t="s">
        <v>658</v>
      </c>
      <c r="D19" s="80"/>
      <c r="E19" s="81"/>
      <c r="F19" s="146"/>
      <c r="G19" s="17"/>
      <c r="H19" s="18" t="s">
        <v>211</v>
      </c>
      <c r="I19" s="59"/>
      <c r="J19" s="19"/>
      <c r="K19" s="19"/>
      <c r="L19" s="50"/>
      <c r="M19" s="73" t="s">
        <v>21</v>
      </c>
      <c r="N19" s="54">
        <f t="shared" si="0"/>
        <v>0</v>
      </c>
      <c r="O19" s="170"/>
      <c r="P19" s="191"/>
      <c r="Q19" s="192"/>
      <c r="R19" s="192"/>
      <c r="S19" s="192"/>
      <c r="T19" s="192"/>
      <c r="U19" s="193"/>
    </row>
    <row r="20" spans="1:21" ht="15.75" customHeight="1">
      <c r="A20" s="85"/>
      <c r="B20" s="37">
        <f>ROW()-13</f>
        <v>7</v>
      </c>
      <c r="C20" s="145" t="s">
        <v>659</v>
      </c>
      <c r="D20" s="80"/>
      <c r="E20" s="81"/>
      <c r="F20" s="146"/>
      <c r="G20" s="17"/>
      <c r="H20" s="18" t="s">
        <v>49</v>
      </c>
      <c r="I20" s="59"/>
      <c r="J20" s="19">
        <v>1</v>
      </c>
      <c r="K20" s="19"/>
      <c r="L20" s="50"/>
      <c r="M20" s="73" t="s">
        <v>21</v>
      </c>
      <c r="N20" s="54">
        <f t="shared" si="0"/>
        <v>1</v>
      </c>
      <c r="O20" s="170"/>
      <c r="P20" s="191"/>
      <c r="Q20" s="192"/>
      <c r="R20" s="192"/>
      <c r="S20" s="192"/>
      <c r="T20" s="192"/>
      <c r="U20" s="193"/>
    </row>
    <row r="21" spans="1:21" ht="15.75" customHeight="1">
      <c r="A21" s="85"/>
      <c r="B21" s="37">
        <f>ROW()-13</f>
        <v>8</v>
      </c>
      <c r="C21" s="145" t="s">
        <v>276</v>
      </c>
      <c r="D21" s="80"/>
      <c r="E21" s="81"/>
      <c r="F21" s="146" t="s">
        <v>534</v>
      </c>
      <c r="G21" s="17"/>
      <c r="H21" s="18" t="s">
        <v>51</v>
      </c>
      <c r="I21" s="59"/>
      <c r="J21" s="19">
        <v>50</v>
      </c>
      <c r="K21" s="19"/>
      <c r="L21" s="50"/>
      <c r="M21" s="73" t="s">
        <v>21</v>
      </c>
      <c r="N21" s="54">
        <f t="shared" si="0"/>
        <v>50</v>
      </c>
      <c r="O21" s="170"/>
      <c r="P21" s="191"/>
      <c r="Q21" s="192"/>
      <c r="R21" s="192"/>
      <c r="S21" s="192"/>
      <c r="T21" s="192"/>
      <c r="U21" s="193"/>
    </row>
    <row r="22" spans="1:21" ht="15.5">
      <c r="A22" s="85"/>
      <c r="B22" s="37">
        <f t="shared" ref="B22:B28" si="1">ROW()-13</f>
        <v>9</v>
      </c>
      <c r="C22" s="107" t="s">
        <v>36</v>
      </c>
      <c r="D22" s="107"/>
      <c r="E22" s="108"/>
      <c r="F22" s="109" t="s">
        <v>78</v>
      </c>
      <c r="G22" s="110"/>
      <c r="H22" s="18" t="s">
        <v>51</v>
      </c>
      <c r="I22" s="59"/>
      <c r="J22" s="113">
        <v>12</v>
      </c>
      <c r="K22" s="113"/>
      <c r="L22" s="114"/>
      <c r="M22" s="115" t="s">
        <v>35</v>
      </c>
      <c r="N22" s="116">
        <f t="shared" si="0"/>
        <v>12</v>
      </c>
      <c r="O22" s="171"/>
      <c r="P22" s="197"/>
      <c r="Q22" s="198"/>
      <c r="R22" s="198"/>
      <c r="S22" s="198"/>
      <c r="T22" s="198"/>
      <c r="U22" s="199"/>
    </row>
    <row r="23" spans="1:21" ht="15.5">
      <c r="A23" s="85"/>
      <c r="B23" s="37">
        <f t="shared" si="1"/>
        <v>10</v>
      </c>
      <c r="C23" s="107" t="s">
        <v>37</v>
      </c>
      <c r="D23" s="107"/>
      <c r="E23" s="108"/>
      <c r="F23" s="109" t="s">
        <v>43</v>
      </c>
      <c r="G23" s="110"/>
      <c r="H23" s="18" t="s">
        <v>51</v>
      </c>
      <c r="I23" s="59"/>
      <c r="J23" s="113">
        <v>10</v>
      </c>
      <c r="K23" s="113"/>
      <c r="L23" s="114"/>
      <c r="M23" s="115" t="s">
        <v>21</v>
      </c>
      <c r="N23" s="116">
        <f t="shared" si="0"/>
        <v>10</v>
      </c>
      <c r="O23" s="171"/>
      <c r="P23" s="197"/>
      <c r="Q23" s="198"/>
      <c r="R23" s="198"/>
      <c r="S23" s="198"/>
      <c r="T23" s="198"/>
      <c r="U23" s="199"/>
    </row>
    <row r="24" spans="1:21" ht="15.5">
      <c r="A24" s="85"/>
      <c r="B24" s="37">
        <f t="shared" si="1"/>
        <v>11</v>
      </c>
      <c r="C24" s="107" t="s">
        <v>38</v>
      </c>
      <c r="D24" s="107"/>
      <c r="E24" s="108"/>
      <c r="F24" s="109" t="s">
        <v>80</v>
      </c>
      <c r="G24" s="110"/>
      <c r="H24" s="18" t="s">
        <v>86</v>
      </c>
      <c r="I24" s="59"/>
      <c r="J24" s="113"/>
      <c r="K24" s="113"/>
      <c r="L24" s="114"/>
      <c r="M24" s="115" t="s">
        <v>21</v>
      </c>
      <c r="N24" s="116">
        <f t="shared" si="0"/>
        <v>0</v>
      </c>
      <c r="O24" s="171"/>
      <c r="P24" s="197"/>
      <c r="Q24" s="198"/>
      <c r="R24" s="198"/>
      <c r="S24" s="198"/>
      <c r="T24" s="198"/>
      <c r="U24" s="199"/>
    </row>
    <row r="25" spans="1:21" ht="15.5">
      <c r="A25" s="85"/>
      <c r="B25" s="37">
        <f t="shared" si="1"/>
        <v>12</v>
      </c>
      <c r="C25" s="107" t="s">
        <v>39</v>
      </c>
      <c r="D25" s="107"/>
      <c r="E25" s="108"/>
      <c r="F25" s="109" t="s">
        <v>79</v>
      </c>
      <c r="G25" s="110"/>
      <c r="H25" s="18" t="s">
        <v>51</v>
      </c>
      <c r="I25" s="59"/>
      <c r="J25" s="113">
        <v>12</v>
      </c>
      <c r="K25" s="113"/>
      <c r="L25" s="114"/>
      <c r="M25" s="115" t="s">
        <v>35</v>
      </c>
      <c r="N25" s="116">
        <f t="shared" si="0"/>
        <v>12</v>
      </c>
      <c r="O25" s="171"/>
      <c r="P25" s="197"/>
      <c r="Q25" s="198"/>
      <c r="R25" s="198"/>
      <c r="S25" s="198"/>
      <c r="T25" s="198"/>
      <c r="U25" s="199"/>
    </row>
    <row r="26" spans="1:21" ht="15.5">
      <c r="A26" s="85"/>
      <c r="B26" s="37">
        <f t="shared" si="1"/>
        <v>13</v>
      </c>
      <c r="C26" s="107" t="s">
        <v>40</v>
      </c>
      <c r="D26" s="107"/>
      <c r="E26" s="108"/>
      <c r="F26" s="109" t="s">
        <v>44</v>
      </c>
      <c r="G26" s="110"/>
      <c r="H26" s="18" t="s">
        <v>51</v>
      </c>
      <c r="I26" s="59"/>
      <c r="J26" s="113">
        <v>10</v>
      </c>
      <c r="K26" s="113"/>
      <c r="L26" s="114"/>
      <c r="M26" s="115" t="s">
        <v>21</v>
      </c>
      <c r="N26" s="116">
        <f t="shared" si="0"/>
        <v>10</v>
      </c>
      <c r="O26" s="171"/>
      <c r="P26" s="197"/>
      <c r="Q26" s="198"/>
      <c r="R26" s="198"/>
      <c r="S26" s="198"/>
      <c r="T26" s="198"/>
      <c r="U26" s="199"/>
    </row>
    <row r="27" spans="1:21" ht="15.5">
      <c r="A27" s="85"/>
      <c r="B27" s="37">
        <f t="shared" si="1"/>
        <v>14</v>
      </c>
      <c r="C27" s="107" t="s">
        <v>41</v>
      </c>
      <c r="D27" s="107"/>
      <c r="E27" s="108"/>
      <c r="F27" s="109" t="s">
        <v>81</v>
      </c>
      <c r="G27" s="110"/>
      <c r="H27" s="18" t="s">
        <v>86</v>
      </c>
      <c r="I27" s="59"/>
      <c r="J27" s="113"/>
      <c r="K27" s="113"/>
      <c r="L27" s="114"/>
      <c r="M27" s="115" t="s">
        <v>21</v>
      </c>
      <c r="N27" s="116">
        <f t="shared" si="0"/>
        <v>0</v>
      </c>
      <c r="O27" s="171"/>
      <c r="P27" s="197"/>
      <c r="Q27" s="198"/>
      <c r="R27" s="198"/>
      <c r="S27" s="198"/>
      <c r="T27" s="198"/>
      <c r="U27" s="199"/>
    </row>
    <row r="28" spans="1:21" ht="15.5">
      <c r="A28" s="85"/>
      <c r="B28" s="37">
        <f t="shared" si="1"/>
        <v>15</v>
      </c>
      <c r="C28" s="80" t="s">
        <v>46</v>
      </c>
      <c r="D28" s="80"/>
      <c r="E28" s="81"/>
      <c r="F28" s="84" t="s">
        <v>71</v>
      </c>
      <c r="G28" s="17"/>
      <c r="H28" s="18" t="s">
        <v>62</v>
      </c>
      <c r="I28" s="59"/>
      <c r="J28" s="19">
        <v>8</v>
      </c>
      <c r="K28" s="19"/>
      <c r="L28" s="50" t="s">
        <v>47</v>
      </c>
      <c r="M28" s="73" t="s">
        <v>35</v>
      </c>
      <c r="N28" s="54">
        <f t="shared" si="0"/>
        <v>8</v>
      </c>
      <c r="O28" s="170">
        <v>0</v>
      </c>
      <c r="P28" s="191" t="s">
        <v>48</v>
      </c>
      <c r="Q28" s="192"/>
      <c r="R28" s="192"/>
      <c r="S28" s="192"/>
      <c r="T28" s="192"/>
      <c r="U28" s="193"/>
    </row>
    <row r="29" spans="1:21" ht="16" thickBot="1">
      <c r="A29" s="118"/>
      <c r="B29" s="119"/>
      <c r="C29" s="120"/>
      <c r="D29" s="120"/>
      <c r="E29" s="121"/>
      <c r="F29" s="129"/>
      <c r="G29" s="122"/>
      <c r="H29" s="147"/>
      <c r="I29" s="148"/>
      <c r="J29" s="125"/>
      <c r="K29" s="125"/>
      <c r="L29" s="126"/>
      <c r="M29" s="126"/>
      <c r="N29" s="127"/>
      <c r="O29" s="172"/>
      <c r="P29" s="194"/>
      <c r="Q29" s="195"/>
      <c r="R29" s="195"/>
      <c r="S29" s="195"/>
      <c r="T29" s="195"/>
      <c r="U29" s="196"/>
    </row>
  </sheetData>
  <mergeCells count="46">
    <mergeCell ref="P28:U28"/>
    <mergeCell ref="P29:U29"/>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55298"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55299"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55300"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55301"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55302"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8933A3C-D781-4CB7-BD43-39F4CE92E100}">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F51BBBAF-9468-410E-9035-35BE79048149}">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D011C190-EFC2-466B-A321-442756BC8B8C}">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82B07AEB-DA57-4C10-8671-63D623868E30}">
            <xm:f>(AND(H22&lt;&gt;"",ISERROR(VLOOKUP(H22,system!$E:$E,1,FALSE))))</xm:f>
            <x14:dxf>
              <fill>
                <patternFill>
                  <bgColor rgb="FFFF0000"/>
                </patternFill>
              </fill>
            </x14:dxf>
          </x14:cfRule>
          <xm:sqref>I22:I29</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AC698-A184-470F-90E5-3FF2ACDA0E20}">
  <sheetPr codeName="Sheet54">
    <pageSetUpPr fitToPage="1"/>
  </sheetPr>
  <dimension ref="A1:U2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661</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175</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SUM(N14:N28)</f>
        <v>254</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187</v>
      </c>
      <c r="D14" s="80"/>
      <c r="E14" s="81"/>
      <c r="F14" s="146"/>
      <c r="G14" s="17"/>
      <c r="H14" s="18" t="s">
        <v>49</v>
      </c>
      <c r="I14" s="59"/>
      <c r="J14" s="19">
        <v>1</v>
      </c>
      <c r="K14" s="19"/>
      <c r="L14" s="50" t="s">
        <v>189</v>
      </c>
      <c r="M14" s="73" t="s">
        <v>21</v>
      </c>
      <c r="N14" s="54">
        <f t="shared" ref="N14:N26" si="0">IF(H14="NUMBER",IF(J14&gt;0,INT((J14+1)/2+0.9),0),IF(H14="DATE",7,IF(OR(H14="LONG",H14="LONG RAW"),100000,J14)))</f>
        <v>1</v>
      </c>
      <c r="O14" s="170"/>
      <c r="P14" s="191" t="s">
        <v>662</v>
      </c>
      <c r="Q14" s="192"/>
      <c r="R14" s="192"/>
      <c r="S14" s="192"/>
      <c r="T14" s="192"/>
      <c r="U14" s="193"/>
    </row>
    <row r="15" spans="1:21" ht="15.75" customHeight="1">
      <c r="A15" s="85"/>
      <c r="B15" s="37">
        <f>ROW()-13</f>
        <v>2</v>
      </c>
      <c r="C15" s="145" t="s">
        <v>663</v>
      </c>
      <c r="D15" s="80"/>
      <c r="E15" s="81"/>
      <c r="F15" s="146"/>
      <c r="G15" s="17"/>
      <c r="H15" s="18" t="s">
        <v>51</v>
      </c>
      <c r="I15" s="59"/>
      <c r="J15" s="19">
        <v>50</v>
      </c>
      <c r="K15" s="19"/>
      <c r="L15" s="50"/>
      <c r="M15" s="73" t="s">
        <v>21</v>
      </c>
      <c r="N15" s="54">
        <f t="shared" si="0"/>
        <v>50</v>
      </c>
      <c r="O15" s="170"/>
      <c r="P15" s="191"/>
      <c r="Q15" s="192"/>
      <c r="R15" s="192"/>
      <c r="S15" s="192"/>
      <c r="T15" s="192"/>
      <c r="U15" s="193"/>
    </row>
    <row r="16" spans="1:21" ht="15.75" customHeight="1">
      <c r="A16" s="85"/>
      <c r="B16" s="37">
        <f>ROW()-13</f>
        <v>3</v>
      </c>
      <c r="C16" s="145" t="s">
        <v>664</v>
      </c>
      <c r="D16" s="80"/>
      <c r="E16" s="81"/>
      <c r="F16" s="146"/>
      <c r="G16" s="17"/>
      <c r="H16" s="18" t="s">
        <v>51</v>
      </c>
      <c r="I16" s="59"/>
      <c r="J16" s="19">
        <v>100</v>
      </c>
      <c r="K16" s="19"/>
      <c r="L16" s="50"/>
      <c r="M16" s="73" t="s">
        <v>21</v>
      </c>
      <c r="N16" s="54">
        <f t="shared" si="0"/>
        <v>100</v>
      </c>
      <c r="O16" s="170"/>
      <c r="P16" s="191"/>
      <c r="Q16" s="192"/>
      <c r="R16" s="192"/>
      <c r="S16" s="192"/>
      <c r="T16" s="192"/>
      <c r="U16" s="193"/>
    </row>
    <row r="17" spans="1:21" ht="15.75" customHeight="1">
      <c r="A17" s="85"/>
      <c r="B17" s="37">
        <f>ROW()-13</f>
        <v>4</v>
      </c>
      <c r="C17" s="145" t="s">
        <v>569</v>
      </c>
      <c r="D17" s="80"/>
      <c r="E17" s="81"/>
      <c r="F17" s="146"/>
      <c r="G17" s="17"/>
      <c r="H17" s="18" t="s">
        <v>211</v>
      </c>
      <c r="I17" s="59"/>
      <c r="J17" s="19"/>
      <c r="K17" s="19"/>
      <c r="L17" s="50"/>
      <c r="M17" s="73" t="s">
        <v>21</v>
      </c>
      <c r="N17" s="54">
        <f t="shared" si="0"/>
        <v>0</v>
      </c>
      <c r="O17" s="170"/>
      <c r="P17" s="191"/>
      <c r="Q17" s="192"/>
      <c r="R17" s="192"/>
      <c r="S17" s="192"/>
      <c r="T17" s="192"/>
      <c r="U17" s="193"/>
    </row>
    <row r="18" spans="1:21" ht="27.5" customHeight="1">
      <c r="A18" s="85"/>
      <c r="B18" s="37">
        <f>ROW()-13</f>
        <v>5</v>
      </c>
      <c r="C18" s="145" t="s">
        <v>227</v>
      </c>
      <c r="D18" s="80"/>
      <c r="E18" s="81"/>
      <c r="F18" s="146"/>
      <c r="G18" s="17"/>
      <c r="H18" s="18" t="s">
        <v>49</v>
      </c>
      <c r="I18" s="59"/>
      <c r="J18" s="19">
        <v>1</v>
      </c>
      <c r="K18" s="19"/>
      <c r="L18" s="50"/>
      <c r="M18" s="73" t="s">
        <v>21</v>
      </c>
      <c r="N18" s="54">
        <f t="shared" si="0"/>
        <v>1</v>
      </c>
      <c r="O18" s="170"/>
      <c r="P18" s="251" t="s">
        <v>228</v>
      </c>
      <c r="Q18" s="192"/>
      <c r="R18" s="192"/>
      <c r="S18" s="192"/>
      <c r="T18" s="192"/>
      <c r="U18" s="193"/>
    </row>
    <row r="19" spans="1:21" ht="15.75" customHeight="1">
      <c r="A19" s="85"/>
      <c r="B19" s="37">
        <f>ROW()-13</f>
        <v>6</v>
      </c>
      <c r="C19" s="145" t="s">
        <v>276</v>
      </c>
      <c r="D19" s="80"/>
      <c r="E19" s="81"/>
      <c r="F19" s="146" t="s">
        <v>534</v>
      </c>
      <c r="G19" s="17"/>
      <c r="H19" s="18" t="s">
        <v>51</v>
      </c>
      <c r="I19" s="59"/>
      <c r="J19" s="19">
        <v>50</v>
      </c>
      <c r="K19" s="19"/>
      <c r="L19" s="50"/>
      <c r="M19" s="73" t="s">
        <v>21</v>
      </c>
      <c r="N19" s="54">
        <f t="shared" si="0"/>
        <v>50</v>
      </c>
      <c r="O19" s="170"/>
      <c r="P19" s="191"/>
      <c r="Q19" s="192"/>
      <c r="R19" s="192"/>
      <c r="S19" s="192"/>
      <c r="T19" s="192"/>
      <c r="U19" s="193"/>
    </row>
    <row r="20" spans="1:21" ht="15.5">
      <c r="A20" s="85"/>
      <c r="B20" s="37">
        <f t="shared" ref="B20:B26" si="1">ROW()-13</f>
        <v>7</v>
      </c>
      <c r="C20" s="107" t="s">
        <v>36</v>
      </c>
      <c r="D20" s="107"/>
      <c r="E20" s="108"/>
      <c r="F20" s="109" t="s">
        <v>78</v>
      </c>
      <c r="G20" s="110"/>
      <c r="H20" s="18" t="s">
        <v>51</v>
      </c>
      <c r="I20" s="59"/>
      <c r="J20" s="113">
        <v>12</v>
      </c>
      <c r="K20" s="113"/>
      <c r="L20" s="114"/>
      <c r="M20" s="115" t="s">
        <v>35</v>
      </c>
      <c r="N20" s="116">
        <f t="shared" si="0"/>
        <v>12</v>
      </c>
      <c r="O20" s="171"/>
      <c r="P20" s="197"/>
      <c r="Q20" s="198"/>
      <c r="R20" s="198"/>
      <c r="S20" s="198"/>
      <c r="T20" s="198"/>
      <c r="U20" s="199"/>
    </row>
    <row r="21" spans="1:21" ht="15.5">
      <c r="A21" s="85"/>
      <c r="B21" s="37">
        <f t="shared" si="1"/>
        <v>8</v>
      </c>
      <c r="C21" s="107" t="s">
        <v>37</v>
      </c>
      <c r="D21" s="107"/>
      <c r="E21" s="108"/>
      <c r="F21" s="109" t="s">
        <v>43</v>
      </c>
      <c r="G21" s="110"/>
      <c r="H21" s="18" t="s">
        <v>51</v>
      </c>
      <c r="I21" s="59"/>
      <c r="J21" s="113">
        <v>10</v>
      </c>
      <c r="K21" s="113"/>
      <c r="L21" s="114"/>
      <c r="M21" s="115" t="s">
        <v>21</v>
      </c>
      <c r="N21" s="116">
        <f t="shared" si="0"/>
        <v>10</v>
      </c>
      <c r="O21" s="171"/>
      <c r="P21" s="197"/>
      <c r="Q21" s="198"/>
      <c r="R21" s="198"/>
      <c r="S21" s="198"/>
      <c r="T21" s="198"/>
      <c r="U21" s="199"/>
    </row>
    <row r="22" spans="1:21" ht="15.5">
      <c r="A22" s="85"/>
      <c r="B22" s="37">
        <f t="shared" si="1"/>
        <v>9</v>
      </c>
      <c r="C22" s="107" t="s">
        <v>38</v>
      </c>
      <c r="D22" s="107"/>
      <c r="E22" s="108"/>
      <c r="F22" s="109" t="s">
        <v>80</v>
      </c>
      <c r="G22" s="110"/>
      <c r="H22" s="18" t="s">
        <v>86</v>
      </c>
      <c r="I22" s="59"/>
      <c r="J22" s="113"/>
      <c r="K22" s="113"/>
      <c r="L22" s="114"/>
      <c r="M22" s="115" t="s">
        <v>21</v>
      </c>
      <c r="N22" s="116">
        <f t="shared" si="0"/>
        <v>0</v>
      </c>
      <c r="O22" s="171"/>
      <c r="P22" s="197"/>
      <c r="Q22" s="198"/>
      <c r="R22" s="198"/>
      <c r="S22" s="198"/>
      <c r="T22" s="198"/>
      <c r="U22" s="199"/>
    </row>
    <row r="23" spans="1:21" ht="15.5">
      <c r="A23" s="85"/>
      <c r="B23" s="37">
        <f t="shared" si="1"/>
        <v>10</v>
      </c>
      <c r="C23" s="107" t="s">
        <v>39</v>
      </c>
      <c r="D23" s="107"/>
      <c r="E23" s="108"/>
      <c r="F23" s="109" t="s">
        <v>79</v>
      </c>
      <c r="G23" s="110"/>
      <c r="H23" s="18" t="s">
        <v>51</v>
      </c>
      <c r="I23" s="59"/>
      <c r="J23" s="113">
        <v>12</v>
      </c>
      <c r="K23" s="113"/>
      <c r="L23" s="114"/>
      <c r="M23" s="115" t="s">
        <v>35</v>
      </c>
      <c r="N23" s="116">
        <f t="shared" si="0"/>
        <v>12</v>
      </c>
      <c r="O23" s="171"/>
      <c r="P23" s="197"/>
      <c r="Q23" s="198"/>
      <c r="R23" s="198"/>
      <c r="S23" s="198"/>
      <c r="T23" s="198"/>
      <c r="U23" s="199"/>
    </row>
    <row r="24" spans="1:21" ht="15.5">
      <c r="A24" s="85"/>
      <c r="B24" s="37">
        <f t="shared" si="1"/>
        <v>11</v>
      </c>
      <c r="C24" s="107" t="s">
        <v>40</v>
      </c>
      <c r="D24" s="107"/>
      <c r="E24" s="108"/>
      <c r="F24" s="109" t="s">
        <v>44</v>
      </c>
      <c r="G24" s="110"/>
      <c r="H24" s="18" t="s">
        <v>51</v>
      </c>
      <c r="I24" s="59"/>
      <c r="J24" s="113">
        <v>10</v>
      </c>
      <c r="K24" s="113"/>
      <c r="L24" s="114"/>
      <c r="M24" s="115" t="s">
        <v>21</v>
      </c>
      <c r="N24" s="116">
        <f t="shared" si="0"/>
        <v>10</v>
      </c>
      <c r="O24" s="171"/>
      <c r="P24" s="197"/>
      <c r="Q24" s="198"/>
      <c r="R24" s="198"/>
      <c r="S24" s="198"/>
      <c r="T24" s="198"/>
      <c r="U24" s="199"/>
    </row>
    <row r="25" spans="1:21" ht="15.5">
      <c r="A25" s="85"/>
      <c r="B25" s="37">
        <f t="shared" si="1"/>
        <v>12</v>
      </c>
      <c r="C25" s="107" t="s">
        <v>41</v>
      </c>
      <c r="D25" s="107"/>
      <c r="E25" s="108"/>
      <c r="F25" s="109" t="s">
        <v>81</v>
      </c>
      <c r="G25" s="110"/>
      <c r="H25" s="18" t="s">
        <v>86</v>
      </c>
      <c r="I25" s="59"/>
      <c r="J25" s="113"/>
      <c r="K25" s="113"/>
      <c r="L25" s="114"/>
      <c r="M25" s="115" t="s">
        <v>21</v>
      </c>
      <c r="N25" s="116">
        <f t="shared" si="0"/>
        <v>0</v>
      </c>
      <c r="O25" s="171"/>
      <c r="P25" s="197"/>
      <c r="Q25" s="198"/>
      <c r="R25" s="198"/>
      <c r="S25" s="198"/>
      <c r="T25" s="198"/>
      <c r="U25" s="199"/>
    </row>
    <row r="26" spans="1:21" ht="15.5">
      <c r="A26" s="85"/>
      <c r="B26" s="37">
        <f t="shared" si="1"/>
        <v>13</v>
      </c>
      <c r="C26" s="80" t="s">
        <v>46</v>
      </c>
      <c r="D26" s="80"/>
      <c r="E26" s="81"/>
      <c r="F26" s="84" t="s">
        <v>71</v>
      </c>
      <c r="G26" s="17"/>
      <c r="H26" s="18" t="s">
        <v>62</v>
      </c>
      <c r="I26" s="59"/>
      <c r="J26" s="19">
        <v>8</v>
      </c>
      <c r="K26" s="19"/>
      <c r="L26" s="50" t="s">
        <v>47</v>
      </c>
      <c r="M26" s="73" t="s">
        <v>35</v>
      </c>
      <c r="N26" s="54">
        <f t="shared" si="0"/>
        <v>8</v>
      </c>
      <c r="O26" s="170">
        <v>0</v>
      </c>
      <c r="P26" s="191" t="s">
        <v>48</v>
      </c>
      <c r="Q26" s="192"/>
      <c r="R26" s="192"/>
      <c r="S26" s="192"/>
      <c r="T26" s="192"/>
      <c r="U26" s="193"/>
    </row>
    <row r="27" spans="1:21" ht="16" thickBot="1">
      <c r="A27" s="118"/>
      <c r="B27" s="119"/>
      <c r="C27" s="120"/>
      <c r="D27" s="120"/>
      <c r="E27" s="121"/>
      <c r="F27" s="129"/>
      <c r="G27" s="122"/>
      <c r="H27" s="147"/>
      <c r="I27" s="148"/>
      <c r="J27" s="125"/>
      <c r="K27" s="125"/>
      <c r="L27" s="126"/>
      <c r="M27" s="126"/>
      <c r="N27" s="127"/>
      <c r="O27" s="172"/>
      <c r="P27" s="194"/>
      <c r="Q27" s="195"/>
      <c r="R27" s="195"/>
      <c r="S27" s="195"/>
      <c r="T27" s="195"/>
      <c r="U27" s="196"/>
    </row>
  </sheetData>
  <mergeCells count="44">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1"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56322"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56323"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56324"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56325"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56326"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9993E74-5CDF-4127-AB2E-D0121739234C}">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B0FD10CA-F331-4E88-9169-EA85E8DE676E}">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BE5CD487-A786-4E6A-87FE-0CF269889431}">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9E763671-52EF-4B91-8476-C63998E69626}">
            <xm:f>(AND(H20&lt;&gt;"",ISERROR(VLOOKUP(H20,system!$E:$E,1,FALSE))))</xm:f>
            <x14:dxf>
              <fill>
                <patternFill>
                  <bgColor rgb="FFFF0000"/>
                </patternFill>
              </fill>
            </x14:dxf>
          </x14:cfRule>
          <xm:sqref>I20:I27</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AA362-E8A7-4FE7-977E-69C152523F6A}">
  <sheetPr codeName="Sheet55">
    <pageSetUpPr fitToPage="1"/>
  </sheetPr>
  <dimension ref="A1:U2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666</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176</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SUM(N14:N27)</f>
        <v>125</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562</v>
      </c>
      <c r="D14" s="80"/>
      <c r="E14" s="81"/>
      <c r="F14" s="146"/>
      <c r="G14" s="17"/>
      <c r="H14" s="18" t="s">
        <v>49</v>
      </c>
      <c r="I14" s="59"/>
      <c r="J14" s="19">
        <v>2</v>
      </c>
      <c r="K14" s="19"/>
      <c r="L14" s="50" t="s">
        <v>189</v>
      </c>
      <c r="M14" s="73" t="s">
        <v>21</v>
      </c>
      <c r="N14" s="54">
        <f t="shared" ref="N14:N25" si="0">IF(H14="NUMBER",IF(J14&gt;0,INT((J14+1)/2+0.9),0),IF(H14="DATE",7,IF(OR(H14="LONG",H14="LONG RAW"),100000,J14)))</f>
        <v>2</v>
      </c>
      <c r="O14" s="170"/>
      <c r="P14" s="191"/>
      <c r="Q14" s="192"/>
      <c r="R14" s="192"/>
      <c r="S14" s="192"/>
      <c r="T14" s="192"/>
      <c r="U14" s="193"/>
    </row>
    <row r="15" spans="1:21" ht="15.75" customHeight="1">
      <c r="A15" s="85"/>
      <c r="B15" s="37">
        <f>ROW()-13</f>
        <v>2</v>
      </c>
      <c r="C15" s="145" t="s">
        <v>667</v>
      </c>
      <c r="D15" s="80"/>
      <c r="E15" s="81"/>
      <c r="F15" s="146"/>
      <c r="G15" s="17"/>
      <c r="H15" s="18" t="s">
        <v>51</v>
      </c>
      <c r="I15" s="59"/>
      <c r="J15" s="19">
        <v>20</v>
      </c>
      <c r="K15" s="19"/>
      <c r="L15" s="50" t="s">
        <v>189</v>
      </c>
      <c r="M15" s="73" t="s">
        <v>21</v>
      </c>
      <c r="N15" s="54">
        <f t="shared" si="0"/>
        <v>20</v>
      </c>
      <c r="O15" s="170"/>
      <c r="P15" s="191"/>
      <c r="Q15" s="192"/>
      <c r="R15" s="192"/>
      <c r="S15" s="192"/>
      <c r="T15" s="192"/>
      <c r="U15" s="193"/>
    </row>
    <row r="16" spans="1:21" ht="15.75" customHeight="1">
      <c r="A16" s="85"/>
      <c r="B16" s="37">
        <f>ROW()-13</f>
        <v>3</v>
      </c>
      <c r="C16" s="145" t="s">
        <v>569</v>
      </c>
      <c r="D16" s="80"/>
      <c r="E16" s="81"/>
      <c r="F16" s="146"/>
      <c r="G16" s="17"/>
      <c r="H16" s="18" t="s">
        <v>211</v>
      </c>
      <c r="I16" s="59"/>
      <c r="J16" s="19"/>
      <c r="K16" s="19"/>
      <c r="L16" s="50"/>
      <c r="M16" s="73" t="s">
        <v>21</v>
      </c>
      <c r="N16" s="54">
        <f t="shared" si="0"/>
        <v>0</v>
      </c>
      <c r="O16" s="170"/>
      <c r="P16" s="191"/>
      <c r="Q16" s="192"/>
      <c r="R16" s="192"/>
      <c r="S16" s="192"/>
      <c r="T16" s="192"/>
      <c r="U16" s="193"/>
    </row>
    <row r="17" spans="1:21" ht="27.5" customHeight="1">
      <c r="A17" s="85"/>
      <c r="B17" s="37">
        <f>ROW()-13</f>
        <v>4</v>
      </c>
      <c r="C17" s="145" t="s">
        <v>227</v>
      </c>
      <c r="D17" s="80"/>
      <c r="E17" s="81"/>
      <c r="F17" s="146"/>
      <c r="G17" s="17"/>
      <c r="H17" s="18" t="s">
        <v>49</v>
      </c>
      <c r="I17" s="59"/>
      <c r="J17" s="19">
        <v>1</v>
      </c>
      <c r="K17" s="19"/>
      <c r="L17" s="50"/>
      <c r="M17" s="73" t="s">
        <v>21</v>
      </c>
      <c r="N17" s="54">
        <f t="shared" si="0"/>
        <v>1</v>
      </c>
      <c r="O17" s="170"/>
      <c r="P17" s="251" t="s">
        <v>228</v>
      </c>
      <c r="Q17" s="192"/>
      <c r="R17" s="192"/>
      <c r="S17" s="192"/>
      <c r="T17" s="192"/>
      <c r="U17" s="193"/>
    </row>
    <row r="18" spans="1:21" ht="15.75" customHeight="1">
      <c r="A18" s="85"/>
      <c r="B18" s="37">
        <f>ROW()-13</f>
        <v>5</v>
      </c>
      <c r="C18" s="145" t="s">
        <v>276</v>
      </c>
      <c r="D18" s="80"/>
      <c r="E18" s="81"/>
      <c r="F18" s="146" t="s">
        <v>534</v>
      </c>
      <c r="G18" s="17"/>
      <c r="H18" s="18" t="s">
        <v>51</v>
      </c>
      <c r="I18" s="59"/>
      <c r="J18" s="19">
        <v>50</v>
      </c>
      <c r="K18" s="19"/>
      <c r="L18" s="50"/>
      <c r="M18" s="73" t="s">
        <v>21</v>
      </c>
      <c r="N18" s="54">
        <f t="shared" si="0"/>
        <v>50</v>
      </c>
      <c r="O18" s="170"/>
      <c r="P18" s="191"/>
      <c r="Q18" s="192"/>
      <c r="R18" s="192"/>
      <c r="S18" s="192"/>
      <c r="T18" s="192"/>
      <c r="U18" s="193"/>
    </row>
    <row r="19" spans="1:21" ht="15.5">
      <c r="A19" s="85"/>
      <c r="B19" s="37">
        <f t="shared" ref="B19:B25" si="1">ROW()-13</f>
        <v>6</v>
      </c>
      <c r="C19" s="107" t="s">
        <v>36</v>
      </c>
      <c r="D19" s="107"/>
      <c r="E19" s="108"/>
      <c r="F19" s="109" t="s">
        <v>78</v>
      </c>
      <c r="G19" s="110"/>
      <c r="H19" s="18" t="s">
        <v>51</v>
      </c>
      <c r="I19" s="59"/>
      <c r="J19" s="113">
        <v>12</v>
      </c>
      <c r="K19" s="113"/>
      <c r="L19" s="114"/>
      <c r="M19" s="115" t="s">
        <v>35</v>
      </c>
      <c r="N19" s="116">
        <f t="shared" si="0"/>
        <v>12</v>
      </c>
      <c r="O19" s="171"/>
      <c r="P19" s="197"/>
      <c r="Q19" s="198"/>
      <c r="R19" s="198"/>
      <c r="S19" s="198"/>
      <c r="T19" s="198"/>
      <c r="U19" s="199"/>
    </row>
    <row r="20" spans="1:21" ht="15.5">
      <c r="A20" s="85"/>
      <c r="B20" s="37">
        <f t="shared" si="1"/>
        <v>7</v>
      </c>
      <c r="C20" s="107" t="s">
        <v>37</v>
      </c>
      <c r="D20" s="107"/>
      <c r="E20" s="108"/>
      <c r="F20" s="109" t="s">
        <v>43</v>
      </c>
      <c r="G20" s="110"/>
      <c r="H20" s="18" t="s">
        <v>51</v>
      </c>
      <c r="I20" s="59"/>
      <c r="J20" s="113">
        <v>10</v>
      </c>
      <c r="K20" s="113"/>
      <c r="L20" s="114"/>
      <c r="M20" s="115" t="s">
        <v>21</v>
      </c>
      <c r="N20" s="116">
        <f t="shared" si="0"/>
        <v>10</v>
      </c>
      <c r="O20" s="171"/>
      <c r="P20" s="197"/>
      <c r="Q20" s="198"/>
      <c r="R20" s="198"/>
      <c r="S20" s="198"/>
      <c r="T20" s="198"/>
      <c r="U20" s="199"/>
    </row>
    <row r="21" spans="1:21" ht="15.5">
      <c r="A21" s="85"/>
      <c r="B21" s="37">
        <f t="shared" si="1"/>
        <v>8</v>
      </c>
      <c r="C21" s="107" t="s">
        <v>38</v>
      </c>
      <c r="D21" s="107"/>
      <c r="E21" s="108"/>
      <c r="F21" s="109" t="s">
        <v>80</v>
      </c>
      <c r="G21" s="110"/>
      <c r="H21" s="18" t="s">
        <v>86</v>
      </c>
      <c r="I21" s="59"/>
      <c r="J21" s="113"/>
      <c r="K21" s="113"/>
      <c r="L21" s="114"/>
      <c r="M21" s="115" t="s">
        <v>21</v>
      </c>
      <c r="N21" s="116">
        <f t="shared" si="0"/>
        <v>0</v>
      </c>
      <c r="O21" s="171"/>
      <c r="P21" s="197"/>
      <c r="Q21" s="198"/>
      <c r="R21" s="198"/>
      <c r="S21" s="198"/>
      <c r="T21" s="198"/>
      <c r="U21" s="199"/>
    </row>
    <row r="22" spans="1:21" ht="15.5">
      <c r="A22" s="85"/>
      <c r="B22" s="37">
        <f t="shared" si="1"/>
        <v>9</v>
      </c>
      <c r="C22" s="107" t="s">
        <v>39</v>
      </c>
      <c r="D22" s="107"/>
      <c r="E22" s="108"/>
      <c r="F22" s="109" t="s">
        <v>79</v>
      </c>
      <c r="G22" s="110"/>
      <c r="H22" s="18" t="s">
        <v>51</v>
      </c>
      <c r="I22" s="59"/>
      <c r="J22" s="113">
        <v>12</v>
      </c>
      <c r="K22" s="113"/>
      <c r="L22" s="114"/>
      <c r="M22" s="115" t="s">
        <v>35</v>
      </c>
      <c r="N22" s="116">
        <f t="shared" si="0"/>
        <v>12</v>
      </c>
      <c r="O22" s="171"/>
      <c r="P22" s="197"/>
      <c r="Q22" s="198"/>
      <c r="R22" s="198"/>
      <c r="S22" s="198"/>
      <c r="T22" s="198"/>
      <c r="U22" s="199"/>
    </row>
    <row r="23" spans="1:21" ht="15.5">
      <c r="A23" s="85"/>
      <c r="B23" s="37">
        <f t="shared" si="1"/>
        <v>10</v>
      </c>
      <c r="C23" s="107" t="s">
        <v>40</v>
      </c>
      <c r="D23" s="107"/>
      <c r="E23" s="108"/>
      <c r="F23" s="109" t="s">
        <v>44</v>
      </c>
      <c r="G23" s="110"/>
      <c r="H23" s="18" t="s">
        <v>51</v>
      </c>
      <c r="I23" s="59"/>
      <c r="J23" s="113">
        <v>10</v>
      </c>
      <c r="K23" s="113"/>
      <c r="L23" s="114"/>
      <c r="M23" s="115" t="s">
        <v>21</v>
      </c>
      <c r="N23" s="116">
        <f t="shared" si="0"/>
        <v>10</v>
      </c>
      <c r="O23" s="171"/>
      <c r="P23" s="197"/>
      <c r="Q23" s="198"/>
      <c r="R23" s="198"/>
      <c r="S23" s="198"/>
      <c r="T23" s="198"/>
      <c r="U23" s="199"/>
    </row>
    <row r="24" spans="1:21" ht="15.5">
      <c r="A24" s="85"/>
      <c r="B24" s="37">
        <f t="shared" si="1"/>
        <v>11</v>
      </c>
      <c r="C24" s="107" t="s">
        <v>41</v>
      </c>
      <c r="D24" s="107"/>
      <c r="E24" s="108"/>
      <c r="F24" s="109" t="s">
        <v>81</v>
      </c>
      <c r="G24" s="110"/>
      <c r="H24" s="18" t="s">
        <v>86</v>
      </c>
      <c r="I24" s="59"/>
      <c r="J24" s="113"/>
      <c r="K24" s="113"/>
      <c r="L24" s="114"/>
      <c r="M24" s="115" t="s">
        <v>21</v>
      </c>
      <c r="N24" s="116">
        <f t="shared" si="0"/>
        <v>0</v>
      </c>
      <c r="O24" s="171"/>
      <c r="P24" s="197"/>
      <c r="Q24" s="198"/>
      <c r="R24" s="198"/>
      <c r="S24" s="198"/>
      <c r="T24" s="198"/>
      <c r="U24" s="199"/>
    </row>
    <row r="25" spans="1:21" ht="15.5">
      <c r="A25" s="85"/>
      <c r="B25" s="37">
        <f t="shared" si="1"/>
        <v>12</v>
      </c>
      <c r="C25" s="80" t="s">
        <v>46</v>
      </c>
      <c r="D25" s="80"/>
      <c r="E25" s="81"/>
      <c r="F25" s="84" t="s">
        <v>71</v>
      </c>
      <c r="G25" s="17"/>
      <c r="H25" s="18" t="s">
        <v>62</v>
      </c>
      <c r="I25" s="59"/>
      <c r="J25" s="19">
        <v>8</v>
      </c>
      <c r="K25" s="19"/>
      <c r="L25" s="50" t="s">
        <v>47</v>
      </c>
      <c r="M25" s="73" t="s">
        <v>35</v>
      </c>
      <c r="N25" s="54">
        <f t="shared" si="0"/>
        <v>8</v>
      </c>
      <c r="O25" s="170">
        <v>0</v>
      </c>
      <c r="P25" s="191" t="s">
        <v>48</v>
      </c>
      <c r="Q25" s="192"/>
      <c r="R25" s="192"/>
      <c r="S25" s="192"/>
      <c r="T25" s="192"/>
      <c r="U25" s="193"/>
    </row>
    <row r="26" spans="1:21" ht="16" thickBot="1">
      <c r="A26" s="118"/>
      <c r="B26" s="119"/>
      <c r="C26" s="120"/>
      <c r="D26" s="120"/>
      <c r="E26" s="121"/>
      <c r="F26" s="129"/>
      <c r="G26" s="122"/>
      <c r="H26" s="147"/>
      <c r="I26" s="148"/>
      <c r="J26" s="125"/>
      <c r="K26" s="125"/>
      <c r="L26" s="126"/>
      <c r="M26" s="126"/>
      <c r="N26" s="127"/>
      <c r="O26" s="172"/>
      <c r="P26" s="194"/>
      <c r="Q26" s="195"/>
      <c r="R26" s="195"/>
      <c r="S26" s="195"/>
      <c r="T26" s="195"/>
      <c r="U26" s="196"/>
    </row>
  </sheetData>
  <mergeCells count="43">
    <mergeCell ref="P22:U22"/>
    <mergeCell ref="P23:U23"/>
    <mergeCell ref="P24:U24"/>
    <mergeCell ref="P25:U25"/>
    <mergeCell ref="P26:U26"/>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5"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57346"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57347"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57348"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57349"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57350"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0D2BA0C-CF09-4A75-A0DD-8F6D6C77C250}">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72C0E37B-8AE7-40F9-9ED1-29556BB83B7D}">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CA5F555F-75A0-453B-AB99-A4D85E340D5C}">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F9B013C7-F49C-4CFE-B455-098E0A82DB5D}">
            <xm:f>(AND(H19&lt;&gt;"",ISERROR(VLOOKUP(H19,system!$E:$E,1,FALSE))))</xm:f>
            <x14:dxf>
              <fill>
                <patternFill>
                  <bgColor rgb="FFFF0000"/>
                </patternFill>
              </fill>
            </x14:dxf>
          </x14:cfRule>
          <xm:sqref>I19:I26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0CAA1-D4D7-4CEC-9F2F-E88B0A60D7ED}">
  <sheetPr codeName="Sheet56">
    <pageSetUpPr fitToPage="1"/>
  </sheetPr>
  <dimension ref="A1:U23"/>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669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177</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SUM(N14:N24)</f>
        <v>106</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670</v>
      </c>
      <c r="D14" s="80"/>
      <c r="E14" s="81"/>
      <c r="F14" s="146"/>
      <c r="G14" s="17"/>
      <c r="H14" s="18" t="s">
        <v>49</v>
      </c>
      <c r="I14" s="59"/>
      <c r="J14" s="19">
        <v>4</v>
      </c>
      <c r="K14" s="19"/>
      <c r="L14" s="50" t="s">
        <v>189</v>
      </c>
      <c r="M14" s="73" t="s">
        <v>21</v>
      </c>
      <c r="N14" s="54">
        <f t="shared" ref="N14:N22" si="0">IF(H14="NUMBER",IF(J14&gt;0,INT((J14+1)/2+0.9),0),IF(H14="DATE",7,IF(OR(H14="LONG",H14="LONG RAW"),100000,J14)))</f>
        <v>4</v>
      </c>
      <c r="O14" s="170"/>
      <c r="P14" s="191"/>
      <c r="Q14" s="192"/>
      <c r="R14" s="192"/>
      <c r="S14" s="192"/>
      <c r="T14" s="192"/>
      <c r="U14" s="193"/>
    </row>
    <row r="15" spans="1:21" ht="15.75" customHeight="1">
      <c r="A15" s="85"/>
      <c r="B15" s="37">
        <f>ROW()-13</f>
        <v>2</v>
      </c>
      <c r="C15" s="145" t="s">
        <v>671</v>
      </c>
      <c r="D15" s="80"/>
      <c r="E15" s="81"/>
      <c r="F15" s="146"/>
      <c r="G15" s="17"/>
      <c r="H15" s="18" t="s">
        <v>49</v>
      </c>
      <c r="I15" s="59"/>
      <c r="J15" s="19">
        <v>50</v>
      </c>
      <c r="K15" s="19"/>
      <c r="L15" s="50"/>
      <c r="M15" s="73" t="s">
        <v>21</v>
      </c>
      <c r="N15" s="54">
        <f t="shared" si="0"/>
        <v>50</v>
      </c>
      <c r="O15" s="170"/>
      <c r="P15" s="191"/>
      <c r="Q15" s="192"/>
      <c r="R15" s="192"/>
      <c r="S15" s="192"/>
      <c r="T15" s="192"/>
      <c r="U15" s="193"/>
    </row>
    <row r="16" spans="1:21" ht="15.5">
      <c r="A16" s="85"/>
      <c r="B16" s="37">
        <f t="shared" ref="B16:B22" si="1">ROW()-13</f>
        <v>3</v>
      </c>
      <c r="C16" s="107" t="s">
        <v>36</v>
      </c>
      <c r="D16" s="107"/>
      <c r="E16" s="108"/>
      <c r="F16" s="109" t="s">
        <v>78</v>
      </c>
      <c r="G16" s="110"/>
      <c r="H16" s="18" t="s">
        <v>51</v>
      </c>
      <c r="I16" s="59"/>
      <c r="J16" s="113">
        <v>12</v>
      </c>
      <c r="K16" s="113"/>
      <c r="L16" s="114"/>
      <c r="M16" s="115" t="s">
        <v>35</v>
      </c>
      <c r="N16" s="116">
        <f t="shared" si="0"/>
        <v>12</v>
      </c>
      <c r="O16" s="171"/>
      <c r="P16" s="197"/>
      <c r="Q16" s="198"/>
      <c r="R16" s="198"/>
      <c r="S16" s="198"/>
      <c r="T16" s="198"/>
      <c r="U16" s="199"/>
    </row>
    <row r="17" spans="1:21" ht="15.5">
      <c r="A17" s="85"/>
      <c r="B17" s="37">
        <f t="shared" si="1"/>
        <v>4</v>
      </c>
      <c r="C17" s="107" t="s">
        <v>37</v>
      </c>
      <c r="D17" s="107"/>
      <c r="E17" s="108"/>
      <c r="F17" s="109" t="s">
        <v>43</v>
      </c>
      <c r="G17" s="110"/>
      <c r="H17" s="18" t="s">
        <v>51</v>
      </c>
      <c r="I17" s="59"/>
      <c r="J17" s="113">
        <v>10</v>
      </c>
      <c r="K17" s="113"/>
      <c r="L17" s="114"/>
      <c r="M17" s="115" t="s">
        <v>21</v>
      </c>
      <c r="N17" s="116">
        <f t="shared" si="0"/>
        <v>10</v>
      </c>
      <c r="O17" s="171"/>
      <c r="P17" s="197"/>
      <c r="Q17" s="198"/>
      <c r="R17" s="198"/>
      <c r="S17" s="198"/>
      <c r="T17" s="198"/>
      <c r="U17" s="199"/>
    </row>
    <row r="18" spans="1:21" ht="15.5">
      <c r="A18" s="85"/>
      <c r="B18" s="37">
        <f t="shared" si="1"/>
        <v>5</v>
      </c>
      <c r="C18" s="107" t="s">
        <v>38</v>
      </c>
      <c r="D18" s="107"/>
      <c r="E18" s="108"/>
      <c r="F18" s="109" t="s">
        <v>80</v>
      </c>
      <c r="G18" s="110"/>
      <c r="H18" s="18" t="s">
        <v>86</v>
      </c>
      <c r="I18" s="59"/>
      <c r="J18" s="113"/>
      <c r="K18" s="113"/>
      <c r="L18" s="114"/>
      <c r="M18" s="115" t="s">
        <v>21</v>
      </c>
      <c r="N18" s="116">
        <f t="shared" si="0"/>
        <v>0</v>
      </c>
      <c r="O18" s="171"/>
      <c r="P18" s="197"/>
      <c r="Q18" s="198"/>
      <c r="R18" s="198"/>
      <c r="S18" s="198"/>
      <c r="T18" s="198"/>
      <c r="U18" s="199"/>
    </row>
    <row r="19" spans="1:21" ht="15.5">
      <c r="A19" s="85"/>
      <c r="B19" s="37">
        <f t="shared" si="1"/>
        <v>6</v>
      </c>
      <c r="C19" s="107" t="s">
        <v>39</v>
      </c>
      <c r="D19" s="107"/>
      <c r="E19" s="108"/>
      <c r="F19" s="109" t="s">
        <v>79</v>
      </c>
      <c r="G19" s="110"/>
      <c r="H19" s="18" t="s">
        <v>51</v>
      </c>
      <c r="I19" s="59"/>
      <c r="J19" s="113">
        <v>12</v>
      </c>
      <c r="K19" s="113"/>
      <c r="L19" s="114"/>
      <c r="M19" s="115" t="s">
        <v>35</v>
      </c>
      <c r="N19" s="116">
        <f t="shared" si="0"/>
        <v>12</v>
      </c>
      <c r="O19" s="171"/>
      <c r="P19" s="197"/>
      <c r="Q19" s="198"/>
      <c r="R19" s="198"/>
      <c r="S19" s="198"/>
      <c r="T19" s="198"/>
      <c r="U19" s="199"/>
    </row>
    <row r="20" spans="1:21" ht="15.5">
      <c r="A20" s="85"/>
      <c r="B20" s="37">
        <f t="shared" si="1"/>
        <v>7</v>
      </c>
      <c r="C20" s="107" t="s">
        <v>40</v>
      </c>
      <c r="D20" s="107"/>
      <c r="E20" s="108"/>
      <c r="F20" s="109" t="s">
        <v>44</v>
      </c>
      <c r="G20" s="110"/>
      <c r="H20" s="18" t="s">
        <v>51</v>
      </c>
      <c r="I20" s="59"/>
      <c r="J20" s="113">
        <v>10</v>
      </c>
      <c r="K20" s="113"/>
      <c r="L20" s="114"/>
      <c r="M20" s="115" t="s">
        <v>21</v>
      </c>
      <c r="N20" s="116">
        <f t="shared" si="0"/>
        <v>10</v>
      </c>
      <c r="O20" s="171"/>
      <c r="P20" s="197"/>
      <c r="Q20" s="198"/>
      <c r="R20" s="198"/>
      <c r="S20" s="198"/>
      <c r="T20" s="198"/>
      <c r="U20" s="199"/>
    </row>
    <row r="21" spans="1:21" ht="15.5">
      <c r="A21" s="85"/>
      <c r="B21" s="37">
        <f t="shared" si="1"/>
        <v>8</v>
      </c>
      <c r="C21" s="107" t="s">
        <v>41</v>
      </c>
      <c r="D21" s="107"/>
      <c r="E21" s="108"/>
      <c r="F21" s="109" t="s">
        <v>81</v>
      </c>
      <c r="G21" s="110"/>
      <c r="H21" s="18" t="s">
        <v>86</v>
      </c>
      <c r="I21" s="59"/>
      <c r="J21" s="113"/>
      <c r="K21" s="113"/>
      <c r="L21" s="114"/>
      <c r="M21" s="115" t="s">
        <v>21</v>
      </c>
      <c r="N21" s="116">
        <f t="shared" si="0"/>
        <v>0</v>
      </c>
      <c r="O21" s="171"/>
      <c r="P21" s="197"/>
      <c r="Q21" s="198"/>
      <c r="R21" s="198"/>
      <c r="S21" s="198"/>
      <c r="T21" s="198"/>
      <c r="U21" s="199"/>
    </row>
    <row r="22" spans="1:21" ht="15.5">
      <c r="A22" s="85"/>
      <c r="B22" s="37">
        <f t="shared" si="1"/>
        <v>9</v>
      </c>
      <c r="C22" s="80" t="s">
        <v>46</v>
      </c>
      <c r="D22" s="80"/>
      <c r="E22" s="81"/>
      <c r="F22" s="84" t="s">
        <v>71</v>
      </c>
      <c r="G22" s="17"/>
      <c r="H22" s="18" t="s">
        <v>62</v>
      </c>
      <c r="I22" s="59"/>
      <c r="J22" s="19">
        <v>8</v>
      </c>
      <c r="K22" s="19"/>
      <c r="L22" s="50" t="s">
        <v>47</v>
      </c>
      <c r="M22" s="73" t="s">
        <v>35</v>
      </c>
      <c r="N22" s="54">
        <f t="shared" si="0"/>
        <v>8</v>
      </c>
      <c r="O22" s="170">
        <v>0</v>
      </c>
      <c r="P22" s="191" t="s">
        <v>48</v>
      </c>
      <c r="Q22" s="192"/>
      <c r="R22" s="192"/>
      <c r="S22" s="192"/>
      <c r="T22" s="192"/>
      <c r="U22" s="193"/>
    </row>
    <row r="23" spans="1:21" ht="16" thickBot="1">
      <c r="A23" s="118"/>
      <c r="B23" s="119"/>
      <c r="C23" s="120"/>
      <c r="D23" s="120"/>
      <c r="E23" s="121"/>
      <c r="F23" s="129"/>
      <c r="G23" s="122"/>
      <c r="H23" s="147"/>
      <c r="I23" s="148"/>
      <c r="J23" s="125"/>
      <c r="K23" s="125"/>
      <c r="L23" s="126"/>
      <c r="M23" s="126"/>
      <c r="N23" s="127"/>
      <c r="O23" s="172"/>
      <c r="P23" s="194"/>
      <c r="Q23" s="195"/>
      <c r="R23" s="195"/>
      <c r="S23" s="195"/>
      <c r="T23" s="195"/>
      <c r="U23" s="196"/>
    </row>
  </sheetData>
  <mergeCells count="40">
    <mergeCell ref="P22:U22"/>
    <mergeCell ref="P23:U23"/>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69"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58370"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58371"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58372"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58373"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58374"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F4D1572-8B1D-4745-9A5A-59589E97DA20}">
            <xm:f>(AND(H14&lt;&gt;"",ISERROR(VLOOKUP(H14,system!$E:$E,1,FALSE))))</xm:f>
            <x14:dxf>
              <fill>
                <patternFill patternType="solid">
                  <bgColor rgb="FFFF0000"/>
                </patternFill>
              </fill>
            </x14:dxf>
          </x14:cfRule>
          <xm:sqref>H14:H15</xm:sqref>
        </x14:conditionalFormatting>
        <x14:conditionalFormatting xmlns:xm="http://schemas.microsoft.com/office/excel/2006/main">
          <x14:cfRule type="expression" priority="3" id="{8F311481-6AB3-49D7-A21D-9979384CA5FD}">
            <xm:f>(AND(H14&lt;&gt;"",ISERROR(VLOOKUP(H14,system!$E:$E,1,FALSE))))</xm:f>
            <x14:dxf>
              <fill>
                <patternFill>
                  <bgColor rgb="FFFF0000"/>
                </patternFill>
              </fill>
            </x14:dxf>
          </x14:cfRule>
          <xm:sqref>I14:I15</xm:sqref>
        </x14:conditionalFormatting>
        <x14:conditionalFormatting xmlns:xm="http://schemas.microsoft.com/office/excel/2006/main">
          <x14:cfRule type="expression" priority="2" id="{56DFAA00-1B84-4484-9F1B-1D8F9A98AE0E}">
            <xm:f>(AND(H16&lt;&gt;"",ISERROR(VLOOKUP(H16,system!$E:$E,1,FALSE))))</xm:f>
            <x14:dxf>
              <fill>
                <patternFill patternType="solid">
                  <bgColor rgb="FFFF0000"/>
                </patternFill>
              </fill>
            </x14:dxf>
          </x14:cfRule>
          <xm:sqref>H16:H23</xm:sqref>
        </x14:conditionalFormatting>
        <x14:conditionalFormatting xmlns:xm="http://schemas.microsoft.com/office/excel/2006/main">
          <x14:cfRule type="expression" priority="1" id="{4DB27E11-1EB9-47CB-BFD7-163E9F73285F}">
            <xm:f>(AND(H16&lt;&gt;"",ISERROR(VLOOKUP(H16,system!$E:$E,1,FALSE))))</xm:f>
            <x14:dxf>
              <fill>
                <patternFill>
                  <bgColor rgb="FFFF0000"/>
                </patternFill>
              </fill>
            </x14:dxf>
          </x14:cfRule>
          <xm:sqref>I16:I23</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969B2-E21E-422D-901F-54A545B5FE1F}">
  <sheetPr codeName="Sheet57">
    <pageSetUpPr fitToPage="1"/>
  </sheetPr>
  <dimension ref="A1:U2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673</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178</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SUM(N14:N28)</f>
        <v>153</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674</v>
      </c>
      <c r="D14" s="80"/>
      <c r="E14" s="81"/>
      <c r="F14" s="146"/>
      <c r="G14" s="17"/>
      <c r="H14" s="18" t="s">
        <v>51</v>
      </c>
      <c r="I14" s="59"/>
      <c r="J14" s="19">
        <v>14</v>
      </c>
      <c r="K14" s="19"/>
      <c r="L14" s="50" t="s">
        <v>189</v>
      </c>
      <c r="M14" s="73" t="s">
        <v>21</v>
      </c>
      <c r="N14" s="54">
        <f t="shared" ref="N14:N26" si="0">IF(H14="NUMBER",IF(J14&gt;0,INT((J14+1)/2+0.9),0),IF(H14="DATE",7,IF(OR(H14="LONG",H14="LONG RAW"),100000,J14)))</f>
        <v>14</v>
      </c>
      <c r="O14" s="170"/>
      <c r="P14" s="191"/>
      <c r="Q14" s="192"/>
      <c r="R14" s="192"/>
      <c r="S14" s="192"/>
      <c r="T14" s="192"/>
      <c r="U14" s="193"/>
    </row>
    <row r="15" spans="1:21" ht="15.75" customHeight="1">
      <c r="A15" s="85"/>
      <c r="B15" s="37">
        <f>ROW()-13</f>
        <v>2</v>
      </c>
      <c r="C15" s="145" t="s">
        <v>675</v>
      </c>
      <c r="D15" s="80"/>
      <c r="E15" s="81"/>
      <c r="F15" s="146"/>
      <c r="G15" s="17"/>
      <c r="H15" s="18" t="s">
        <v>49</v>
      </c>
      <c r="I15" s="59"/>
      <c r="J15" s="19">
        <v>4</v>
      </c>
      <c r="K15" s="19"/>
      <c r="L15" s="50"/>
      <c r="M15" s="73" t="s">
        <v>21</v>
      </c>
      <c r="N15" s="54">
        <f t="shared" si="0"/>
        <v>4</v>
      </c>
      <c r="O15" s="170"/>
      <c r="P15" s="191"/>
      <c r="Q15" s="192"/>
      <c r="R15" s="192"/>
      <c r="S15" s="192"/>
      <c r="T15" s="192"/>
      <c r="U15" s="193"/>
    </row>
    <row r="16" spans="1:21" ht="15.75" customHeight="1">
      <c r="A16" s="85"/>
      <c r="B16" s="37">
        <f>ROW()-13</f>
        <v>3</v>
      </c>
      <c r="C16" s="145" t="s">
        <v>676</v>
      </c>
      <c r="D16" s="80"/>
      <c r="E16" s="81"/>
      <c r="F16" s="146"/>
      <c r="G16" s="17"/>
      <c r="H16" s="18" t="s">
        <v>49</v>
      </c>
      <c r="I16" s="59"/>
      <c r="J16" s="19">
        <v>1</v>
      </c>
      <c r="K16" s="19"/>
      <c r="L16" s="50"/>
      <c r="M16" s="73" t="s">
        <v>21</v>
      </c>
      <c r="N16" s="54">
        <f t="shared" si="0"/>
        <v>1</v>
      </c>
      <c r="O16" s="170"/>
      <c r="P16" s="191"/>
      <c r="Q16" s="192"/>
      <c r="R16" s="192"/>
      <c r="S16" s="192"/>
      <c r="T16" s="192"/>
      <c r="U16" s="193"/>
    </row>
    <row r="17" spans="1:21" ht="15.75" customHeight="1">
      <c r="A17" s="85"/>
      <c r="B17" s="37">
        <f>ROW()-13</f>
        <v>4</v>
      </c>
      <c r="C17" s="145" t="s">
        <v>677</v>
      </c>
      <c r="D17" s="80"/>
      <c r="E17" s="81"/>
      <c r="F17" s="146"/>
      <c r="G17" s="17"/>
      <c r="H17" s="18" t="s">
        <v>49</v>
      </c>
      <c r="I17" s="59"/>
      <c r="J17" s="19">
        <v>2</v>
      </c>
      <c r="K17" s="19"/>
      <c r="L17" s="50"/>
      <c r="M17" s="73" t="s">
        <v>21</v>
      </c>
      <c r="N17" s="54">
        <f t="shared" si="0"/>
        <v>2</v>
      </c>
      <c r="O17" s="170"/>
      <c r="P17" s="191"/>
      <c r="Q17" s="192"/>
      <c r="R17" s="192"/>
      <c r="S17" s="192"/>
      <c r="T17" s="192"/>
      <c r="U17" s="193"/>
    </row>
    <row r="18" spans="1:21" ht="15.75" customHeight="1">
      <c r="A18" s="85"/>
      <c r="B18" s="37">
        <f>ROW()-13</f>
        <v>5</v>
      </c>
      <c r="C18" s="145" t="s">
        <v>678</v>
      </c>
      <c r="D18" s="80"/>
      <c r="E18" s="81"/>
      <c r="F18" s="146"/>
      <c r="G18" s="17"/>
      <c r="H18" s="18" t="s">
        <v>51</v>
      </c>
      <c r="I18" s="59"/>
      <c r="J18" s="19">
        <v>30</v>
      </c>
      <c r="K18" s="19"/>
      <c r="L18" s="50"/>
      <c r="M18" s="73" t="s">
        <v>21</v>
      </c>
      <c r="N18" s="54">
        <f t="shared" si="0"/>
        <v>30</v>
      </c>
      <c r="O18" s="170"/>
      <c r="P18" s="191"/>
      <c r="Q18" s="192"/>
      <c r="R18" s="192"/>
      <c r="S18" s="192"/>
      <c r="T18" s="192"/>
      <c r="U18" s="193"/>
    </row>
    <row r="19" spans="1:21" ht="15.75" customHeight="1">
      <c r="A19" s="85"/>
      <c r="B19" s="37">
        <f>ROW()-13</f>
        <v>6</v>
      </c>
      <c r="C19" s="145" t="s">
        <v>276</v>
      </c>
      <c r="D19" s="80"/>
      <c r="E19" s="81"/>
      <c r="F19" s="146" t="s">
        <v>534</v>
      </c>
      <c r="G19" s="17"/>
      <c r="H19" s="18" t="s">
        <v>51</v>
      </c>
      <c r="I19" s="59"/>
      <c r="J19" s="19">
        <v>50</v>
      </c>
      <c r="K19" s="19"/>
      <c r="L19" s="50"/>
      <c r="M19" s="73" t="s">
        <v>21</v>
      </c>
      <c r="N19" s="54">
        <f t="shared" si="0"/>
        <v>50</v>
      </c>
      <c r="O19" s="170"/>
      <c r="P19" s="191"/>
      <c r="Q19" s="192"/>
      <c r="R19" s="192"/>
      <c r="S19" s="192"/>
      <c r="T19" s="192"/>
      <c r="U19" s="193"/>
    </row>
    <row r="20" spans="1:21" ht="15.5">
      <c r="A20" s="85"/>
      <c r="B20" s="37">
        <f t="shared" ref="B20:B26" si="1">ROW()-13</f>
        <v>7</v>
      </c>
      <c r="C20" s="107" t="s">
        <v>36</v>
      </c>
      <c r="D20" s="107"/>
      <c r="E20" s="108"/>
      <c r="F20" s="109" t="s">
        <v>78</v>
      </c>
      <c r="G20" s="110"/>
      <c r="H20" s="18" t="s">
        <v>51</v>
      </c>
      <c r="I20" s="59"/>
      <c r="J20" s="113">
        <v>12</v>
      </c>
      <c r="K20" s="113"/>
      <c r="L20" s="114"/>
      <c r="M20" s="115" t="s">
        <v>35</v>
      </c>
      <c r="N20" s="116">
        <f t="shared" si="0"/>
        <v>12</v>
      </c>
      <c r="O20" s="171"/>
      <c r="P20" s="197"/>
      <c r="Q20" s="198"/>
      <c r="R20" s="198"/>
      <c r="S20" s="198"/>
      <c r="T20" s="198"/>
      <c r="U20" s="199"/>
    </row>
    <row r="21" spans="1:21" ht="15.5">
      <c r="A21" s="85"/>
      <c r="B21" s="37">
        <f t="shared" si="1"/>
        <v>8</v>
      </c>
      <c r="C21" s="107" t="s">
        <v>37</v>
      </c>
      <c r="D21" s="107"/>
      <c r="E21" s="108"/>
      <c r="F21" s="109" t="s">
        <v>43</v>
      </c>
      <c r="G21" s="110"/>
      <c r="H21" s="18" t="s">
        <v>51</v>
      </c>
      <c r="I21" s="59"/>
      <c r="J21" s="113">
        <v>10</v>
      </c>
      <c r="K21" s="113"/>
      <c r="L21" s="114"/>
      <c r="M21" s="115" t="s">
        <v>21</v>
      </c>
      <c r="N21" s="116">
        <f t="shared" si="0"/>
        <v>10</v>
      </c>
      <c r="O21" s="171"/>
      <c r="P21" s="197"/>
      <c r="Q21" s="198"/>
      <c r="R21" s="198"/>
      <c r="S21" s="198"/>
      <c r="T21" s="198"/>
      <c r="U21" s="199"/>
    </row>
    <row r="22" spans="1:21" ht="15.5">
      <c r="A22" s="85"/>
      <c r="B22" s="37">
        <f t="shared" si="1"/>
        <v>9</v>
      </c>
      <c r="C22" s="107" t="s">
        <v>38</v>
      </c>
      <c r="D22" s="107"/>
      <c r="E22" s="108"/>
      <c r="F22" s="109" t="s">
        <v>80</v>
      </c>
      <c r="G22" s="110"/>
      <c r="H22" s="18" t="s">
        <v>86</v>
      </c>
      <c r="I22" s="59"/>
      <c r="J22" s="113"/>
      <c r="K22" s="113"/>
      <c r="L22" s="114"/>
      <c r="M22" s="115" t="s">
        <v>21</v>
      </c>
      <c r="N22" s="116">
        <f t="shared" si="0"/>
        <v>0</v>
      </c>
      <c r="O22" s="171"/>
      <c r="P22" s="197"/>
      <c r="Q22" s="198"/>
      <c r="R22" s="198"/>
      <c r="S22" s="198"/>
      <c r="T22" s="198"/>
      <c r="U22" s="199"/>
    </row>
    <row r="23" spans="1:21" ht="15.5">
      <c r="A23" s="85"/>
      <c r="B23" s="37">
        <f t="shared" si="1"/>
        <v>10</v>
      </c>
      <c r="C23" s="107" t="s">
        <v>39</v>
      </c>
      <c r="D23" s="107"/>
      <c r="E23" s="108"/>
      <c r="F23" s="109" t="s">
        <v>79</v>
      </c>
      <c r="G23" s="110"/>
      <c r="H23" s="18" t="s">
        <v>51</v>
      </c>
      <c r="I23" s="59"/>
      <c r="J23" s="113">
        <v>12</v>
      </c>
      <c r="K23" s="113"/>
      <c r="L23" s="114"/>
      <c r="M23" s="115" t="s">
        <v>35</v>
      </c>
      <c r="N23" s="116">
        <f t="shared" si="0"/>
        <v>12</v>
      </c>
      <c r="O23" s="171"/>
      <c r="P23" s="197"/>
      <c r="Q23" s="198"/>
      <c r="R23" s="198"/>
      <c r="S23" s="198"/>
      <c r="T23" s="198"/>
      <c r="U23" s="199"/>
    </row>
    <row r="24" spans="1:21" ht="15.5">
      <c r="A24" s="85"/>
      <c r="B24" s="37">
        <f t="shared" si="1"/>
        <v>11</v>
      </c>
      <c r="C24" s="107" t="s">
        <v>40</v>
      </c>
      <c r="D24" s="107"/>
      <c r="E24" s="108"/>
      <c r="F24" s="109" t="s">
        <v>44</v>
      </c>
      <c r="G24" s="110"/>
      <c r="H24" s="18" t="s">
        <v>51</v>
      </c>
      <c r="I24" s="59"/>
      <c r="J24" s="113">
        <v>10</v>
      </c>
      <c r="K24" s="113"/>
      <c r="L24" s="114"/>
      <c r="M24" s="115" t="s">
        <v>21</v>
      </c>
      <c r="N24" s="116">
        <f t="shared" si="0"/>
        <v>10</v>
      </c>
      <c r="O24" s="171"/>
      <c r="P24" s="197"/>
      <c r="Q24" s="198"/>
      <c r="R24" s="198"/>
      <c r="S24" s="198"/>
      <c r="T24" s="198"/>
      <c r="U24" s="199"/>
    </row>
    <row r="25" spans="1:21" ht="15.5">
      <c r="A25" s="85"/>
      <c r="B25" s="37">
        <f t="shared" si="1"/>
        <v>12</v>
      </c>
      <c r="C25" s="107" t="s">
        <v>41</v>
      </c>
      <c r="D25" s="107"/>
      <c r="E25" s="108"/>
      <c r="F25" s="109" t="s">
        <v>81</v>
      </c>
      <c r="G25" s="110"/>
      <c r="H25" s="18" t="s">
        <v>86</v>
      </c>
      <c r="I25" s="59"/>
      <c r="J25" s="113"/>
      <c r="K25" s="113"/>
      <c r="L25" s="114"/>
      <c r="M25" s="115" t="s">
        <v>21</v>
      </c>
      <c r="N25" s="116">
        <f t="shared" si="0"/>
        <v>0</v>
      </c>
      <c r="O25" s="171"/>
      <c r="P25" s="197"/>
      <c r="Q25" s="198"/>
      <c r="R25" s="198"/>
      <c r="S25" s="198"/>
      <c r="T25" s="198"/>
      <c r="U25" s="199"/>
    </row>
    <row r="26" spans="1:21" ht="15.5">
      <c r="A26" s="85"/>
      <c r="B26" s="37">
        <f t="shared" si="1"/>
        <v>13</v>
      </c>
      <c r="C26" s="80" t="s">
        <v>46</v>
      </c>
      <c r="D26" s="80"/>
      <c r="E26" s="81"/>
      <c r="F26" s="84" t="s">
        <v>71</v>
      </c>
      <c r="G26" s="17"/>
      <c r="H26" s="18" t="s">
        <v>62</v>
      </c>
      <c r="I26" s="59"/>
      <c r="J26" s="19">
        <v>8</v>
      </c>
      <c r="K26" s="19"/>
      <c r="L26" s="50" t="s">
        <v>47</v>
      </c>
      <c r="M26" s="73" t="s">
        <v>35</v>
      </c>
      <c r="N26" s="54">
        <f t="shared" si="0"/>
        <v>8</v>
      </c>
      <c r="O26" s="170">
        <v>0</v>
      </c>
      <c r="P26" s="191" t="s">
        <v>48</v>
      </c>
      <c r="Q26" s="192"/>
      <c r="R26" s="192"/>
      <c r="S26" s="192"/>
      <c r="T26" s="192"/>
      <c r="U26" s="193"/>
    </row>
    <row r="27" spans="1:21" ht="16" thickBot="1">
      <c r="A27" s="118"/>
      <c r="B27" s="119"/>
      <c r="C27" s="120"/>
      <c r="D27" s="120"/>
      <c r="E27" s="121"/>
      <c r="F27" s="129"/>
      <c r="G27" s="122"/>
      <c r="H27" s="147"/>
      <c r="I27" s="148"/>
      <c r="J27" s="125"/>
      <c r="K27" s="125"/>
      <c r="L27" s="126"/>
      <c r="M27" s="126"/>
      <c r="N27" s="127"/>
      <c r="O27" s="172"/>
      <c r="P27" s="194"/>
      <c r="Q27" s="195"/>
      <c r="R27" s="195"/>
      <c r="S27" s="195"/>
      <c r="T27" s="195"/>
      <c r="U27" s="196"/>
    </row>
  </sheetData>
  <mergeCells count="44">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3"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59394"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59395"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59396"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59397"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59398"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31C19A0-BA06-48E4-8825-26E60EB6FA25}">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1DA44D1A-3651-42D8-B06C-40640A8C8982}">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3BE0740B-1EF8-4D1C-8E88-4AF9F9C04A03}">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913BDA0E-2390-4699-B665-C4BA7FED163A}">
            <xm:f>(AND(H20&lt;&gt;"",ISERROR(VLOOKUP(H20,system!$E:$E,1,FALSE))))</xm:f>
            <x14:dxf>
              <fill>
                <patternFill>
                  <bgColor rgb="FFFF0000"/>
                </patternFill>
              </fill>
            </x14:dxf>
          </x14:cfRule>
          <xm:sqref>I20:I27</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90943-B59C-4528-928E-6465B50ACE25}">
  <sheetPr codeName="Sheet58">
    <pageSetUpPr fitToPage="1"/>
  </sheetPr>
  <dimension ref="A1:U2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680</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179</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SUM(N14:N27)</f>
        <v>132</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681</v>
      </c>
      <c r="D14" s="80"/>
      <c r="E14" s="81"/>
      <c r="F14" s="146"/>
      <c r="G14" s="17"/>
      <c r="H14" s="18" t="s">
        <v>49</v>
      </c>
      <c r="I14" s="59"/>
      <c r="J14" s="19">
        <v>2</v>
      </c>
      <c r="K14" s="19"/>
      <c r="L14" s="50" t="s">
        <v>189</v>
      </c>
      <c r="M14" s="73" t="s">
        <v>21</v>
      </c>
      <c r="N14" s="54">
        <f t="shared" ref="N14:N25" si="0">IF(H14="NUMBER",IF(J14&gt;0,INT((J14+1)/2+0.9),0),IF(H14="DATE",7,IF(OR(H14="LONG",H14="LONG RAW"),100000,J14)))</f>
        <v>2</v>
      </c>
      <c r="O14" s="170"/>
      <c r="P14" s="191"/>
      <c r="Q14" s="192"/>
      <c r="R14" s="192"/>
      <c r="S14" s="192"/>
      <c r="T14" s="192"/>
      <c r="U14" s="193"/>
    </row>
    <row r="15" spans="1:21" ht="15.75" customHeight="1">
      <c r="A15" s="85" t="s">
        <v>190</v>
      </c>
      <c r="B15" s="37">
        <f>ROW()-13</f>
        <v>2</v>
      </c>
      <c r="C15" s="145" t="s">
        <v>682</v>
      </c>
      <c r="D15" s="80"/>
      <c r="E15" s="81"/>
      <c r="F15" s="146"/>
      <c r="G15" s="17"/>
      <c r="H15" s="18" t="s">
        <v>51</v>
      </c>
      <c r="I15" s="59"/>
      <c r="J15" s="19">
        <v>8</v>
      </c>
      <c r="K15" s="19"/>
      <c r="L15" s="50" t="s">
        <v>189</v>
      </c>
      <c r="M15" s="73" t="s">
        <v>21</v>
      </c>
      <c r="N15" s="54">
        <f t="shared" si="0"/>
        <v>8</v>
      </c>
      <c r="O15" s="170"/>
      <c r="P15" s="191"/>
      <c r="Q15" s="192"/>
      <c r="R15" s="192"/>
      <c r="S15" s="192"/>
      <c r="T15" s="192"/>
      <c r="U15" s="193"/>
    </row>
    <row r="16" spans="1:21" ht="15.75" customHeight="1">
      <c r="A16" s="85"/>
      <c r="B16" s="37">
        <f>ROW()-13</f>
        <v>3</v>
      </c>
      <c r="C16" s="145" t="s">
        <v>683</v>
      </c>
      <c r="D16" s="80"/>
      <c r="E16" s="81"/>
      <c r="F16" s="146"/>
      <c r="G16" s="17"/>
      <c r="H16" s="18" t="s">
        <v>51</v>
      </c>
      <c r="I16" s="59"/>
      <c r="J16" s="19">
        <v>10</v>
      </c>
      <c r="K16" s="19"/>
      <c r="L16" s="50"/>
      <c r="M16" s="73" t="s">
        <v>21</v>
      </c>
      <c r="N16" s="54">
        <f t="shared" si="0"/>
        <v>10</v>
      </c>
      <c r="O16" s="170"/>
      <c r="P16" s="191"/>
      <c r="Q16" s="192"/>
      <c r="R16" s="192"/>
      <c r="S16" s="192"/>
      <c r="T16" s="192"/>
      <c r="U16" s="193"/>
    </row>
    <row r="17" spans="1:21" ht="15.75" customHeight="1">
      <c r="A17" s="85"/>
      <c r="B17" s="37">
        <f>ROW()-13</f>
        <v>4</v>
      </c>
      <c r="C17" s="145" t="s">
        <v>684</v>
      </c>
      <c r="D17" s="80"/>
      <c r="E17" s="81"/>
      <c r="F17" s="146"/>
      <c r="G17" s="17"/>
      <c r="H17" s="18" t="s">
        <v>56</v>
      </c>
      <c r="I17" s="59"/>
      <c r="J17" s="19">
        <v>10</v>
      </c>
      <c r="K17" s="19">
        <v>0</v>
      </c>
      <c r="L17" s="50" t="s">
        <v>189</v>
      </c>
      <c r="M17" s="73" t="s">
        <v>21</v>
      </c>
      <c r="N17" s="54">
        <f t="shared" si="0"/>
        <v>10</v>
      </c>
      <c r="O17" s="170"/>
      <c r="P17" s="191"/>
      <c r="Q17" s="192"/>
      <c r="R17" s="192"/>
      <c r="S17" s="192"/>
      <c r="T17" s="192"/>
      <c r="U17" s="193"/>
    </row>
    <row r="18" spans="1:21" ht="15.75" customHeight="1">
      <c r="A18" s="85"/>
      <c r="B18" s="37">
        <f>ROW()-13</f>
        <v>5</v>
      </c>
      <c r="C18" s="145" t="s">
        <v>276</v>
      </c>
      <c r="D18" s="80"/>
      <c r="E18" s="81"/>
      <c r="F18" s="146" t="s">
        <v>534</v>
      </c>
      <c r="G18" s="17"/>
      <c r="H18" s="18" t="s">
        <v>51</v>
      </c>
      <c r="I18" s="59"/>
      <c r="J18" s="19">
        <v>50</v>
      </c>
      <c r="K18" s="19"/>
      <c r="L18" s="50"/>
      <c r="M18" s="73" t="s">
        <v>21</v>
      </c>
      <c r="N18" s="54">
        <f t="shared" si="0"/>
        <v>50</v>
      </c>
      <c r="O18" s="170"/>
      <c r="P18" s="191"/>
      <c r="Q18" s="192"/>
      <c r="R18" s="192"/>
      <c r="S18" s="192"/>
      <c r="T18" s="192"/>
      <c r="U18" s="193"/>
    </row>
    <row r="19" spans="1:21" ht="15.5">
      <c r="A19" s="85"/>
      <c r="B19" s="37">
        <f t="shared" ref="B19:B25" si="1">ROW()-13</f>
        <v>6</v>
      </c>
      <c r="C19" s="107" t="s">
        <v>36</v>
      </c>
      <c r="D19" s="107"/>
      <c r="E19" s="108"/>
      <c r="F19" s="109" t="s">
        <v>78</v>
      </c>
      <c r="G19" s="110"/>
      <c r="H19" s="18" t="s">
        <v>51</v>
      </c>
      <c r="I19" s="59"/>
      <c r="J19" s="113">
        <v>12</v>
      </c>
      <c r="K19" s="113"/>
      <c r="L19" s="114"/>
      <c r="M19" s="115" t="s">
        <v>35</v>
      </c>
      <c r="N19" s="116">
        <f t="shared" si="0"/>
        <v>12</v>
      </c>
      <c r="O19" s="171"/>
      <c r="P19" s="197"/>
      <c r="Q19" s="198"/>
      <c r="R19" s="198"/>
      <c r="S19" s="198"/>
      <c r="T19" s="198"/>
      <c r="U19" s="199"/>
    </row>
    <row r="20" spans="1:21" ht="15.5">
      <c r="A20" s="85"/>
      <c r="B20" s="37">
        <f t="shared" si="1"/>
        <v>7</v>
      </c>
      <c r="C20" s="107" t="s">
        <v>37</v>
      </c>
      <c r="D20" s="107"/>
      <c r="E20" s="108"/>
      <c r="F20" s="109" t="s">
        <v>43</v>
      </c>
      <c r="G20" s="110"/>
      <c r="H20" s="18" t="s">
        <v>51</v>
      </c>
      <c r="I20" s="59"/>
      <c r="J20" s="113">
        <v>10</v>
      </c>
      <c r="K20" s="113"/>
      <c r="L20" s="114"/>
      <c r="M20" s="115" t="s">
        <v>21</v>
      </c>
      <c r="N20" s="116">
        <f t="shared" si="0"/>
        <v>10</v>
      </c>
      <c r="O20" s="171"/>
      <c r="P20" s="197"/>
      <c r="Q20" s="198"/>
      <c r="R20" s="198"/>
      <c r="S20" s="198"/>
      <c r="T20" s="198"/>
      <c r="U20" s="199"/>
    </row>
    <row r="21" spans="1:21" ht="15.5">
      <c r="A21" s="85"/>
      <c r="B21" s="37">
        <f t="shared" si="1"/>
        <v>8</v>
      </c>
      <c r="C21" s="107" t="s">
        <v>38</v>
      </c>
      <c r="D21" s="107"/>
      <c r="E21" s="108"/>
      <c r="F21" s="109" t="s">
        <v>80</v>
      </c>
      <c r="G21" s="110"/>
      <c r="H21" s="18" t="s">
        <v>86</v>
      </c>
      <c r="I21" s="59"/>
      <c r="J21" s="113"/>
      <c r="K21" s="113"/>
      <c r="L21" s="114"/>
      <c r="M21" s="115" t="s">
        <v>21</v>
      </c>
      <c r="N21" s="116">
        <f t="shared" si="0"/>
        <v>0</v>
      </c>
      <c r="O21" s="171"/>
      <c r="P21" s="197"/>
      <c r="Q21" s="198"/>
      <c r="R21" s="198"/>
      <c r="S21" s="198"/>
      <c r="T21" s="198"/>
      <c r="U21" s="199"/>
    </row>
    <row r="22" spans="1:21" ht="15.5">
      <c r="A22" s="85"/>
      <c r="B22" s="37">
        <f t="shared" si="1"/>
        <v>9</v>
      </c>
      <c r="C22" s="107" t="s">
        <v>39</v>
      </c>
      <c r="D22" s="107"/>
      <c r="E22" s="108"/>
      <c r="F22" s="109" t="s">
        <v>79</v>
      </c>
      <c r="G22" s="110"/>
      <c r="H22" s="18" t="s">
        <v>51</v>
      </c>
      <c r="I22" s="59"/>
      <c r="J22" s="113">
        <v>12</v>
      </c>
      <c r="K22" s="113"/>
      <c r="L22" s="114"/>
      <c r="M22" s="115" t="s">
        <v>35</v>
      </c>
      <c r="N22" s="116">
        <f t="shared" si="0"/>
        <v>12</v>
      </c>
      <c r="O22" s="171"/>
      <c r="P22" s="197"/>
      <c r="Q22" s="198"/>
      <c r="R22" s="198"/>
      <c r="S22" s="198"/>
      <c r="T22" s="198"/>
      <c r="U22" s="199"/>
    </row>
    <row r="23" spans="1:21" ht="15.5">
      <c r="A23" s="85"/>
      <c r="B23" s="37">
        <f t="shared" si="1"/>
        <v>10</v>
      </c>
      <c r="C23" s="107" t="s">
        <v>40</v>
      </c>
      <c r="D23" s="107"/>
      <c r="E23" s="108"/>
      <c r="F23" s="109" t="s">
        <v>44</v>
      </c>
      <c r="G23" s="110"/>
      <c r="H23" s="18" t="s">
        <v>51</v>
      </c>
      <c r="I23" s="59"/>
      <c r="J23" s="113">
        <v>10</v>
      </c>
      <c r="K23" s="113"/>
      <c r="L23" s="114"/>
      <c r="M23" s="115" t="s">
        <v>21</v>
      </c>
      <c r="N23" s="116">
        <f t="shared" si="0"/>
        <v>10</v>
      </c>
      <c r="O23" s="171"/>
      <c r="P23" s="197"/>
      <c r="Q23" s="198"/>
      <c r="R23" s="198"/>
      <c r="S23" s="198"/>
      <c r="T23" s="198"/>
      <c r="U23" s="199"/>
    </row>
    <row r="24" spans="1:21" ht="15.5">
      <c r="A24" s="85"/>
      <c r="B24" s="37">
        <f t="shared" si="1"/>
        <v>11</v>
      </c>
      <c r="C24" s="107" t="s">
        <v>41</v>
      </c>
      <c r="D24" s="107"/>
      <c r="E24" s="108"/>
      <c r="F24" s="109" t="s">
        <v>81</v>
      </c>
      <c r="G24" s="110"/>
      <c r="H24" s="18" t="s">
        <v>86</v>
      </c>
      <c r="I24" s="59"/>
      <c r="J24" s="113"/>
      <c r="K24" s="113"/>
      <c r="L24" s="114"/>
      <c r="M24" s="115" t="s">
        <v>21</v>
      </c>
      <c r="N24" s="116">
        <f t="shared" si="0"/>
        <v>0</v>
      </c>
      <c r="O24" s="171"/>
      <c r="P24" s="197"/>
      <c r="Q24" s="198"/>
      <c r="R24" s="198"/>
      <c r="S24" s="198"/>
      <c r="T24" s="198"/>
      <c r="U24" s="199"/>
    </row>
    <row r="25" spans="1:21" ht="15.5">
      <c r="A25" s="85"/>
      <c r="B25" s="37">
        <f t="shared" si="1"/>
        <v>12</v>
      </c>
      <c r="C25" s="80" t="s">
        <v>46</v>
      </c>
      <c r="D25" s="80"/>
      <c r="E25" s="81"/>
      <c r="F25" s="84" t="s">
        <v>71</v>
      </c>
      <c r="G25" s="17"/>
      <c r="H25" s="18" t="s">
        <v>62</v>
      </c>
      <c r="I25" s="59"/>
      <c r="J25" s="19">
        <v>8</v>
      </c>
      <c r="K25" s="19"/>
      <c r="L25" s="50" t="s">
        <v>47</v>
      </c>
      <c r="M25" s="73" t="s">
        <v>35</v>
      </c>
      <c r="N25" s="54">
        <f t="shared" si="0"/>
        <v>8</v>
      </c>
      <c r="O25" s="170">
        <v>0</v>
      </c>
      <c r="P25" s="191" t="s">
        <v>48</v>
      </c>
      <c r="Q25" s="192"/>
      <c r="R25" s="192"/>
      <c r="S25" s="192"/>
      <c r="T25" s="192"/>
      <c r="U25" s="193"/>
    </row>
    <row r="26" spans="1:21" ht="16" thickBot="1">
      <c r="A26" s="118"/>
      <c r="B26" s="119"/>
      <c r="C26" s="120"/>
      <c r="D26" s="120"/>
      <c r="E26" s="121"/>
      <c r="F26" s="129"/>
      <c r="G26" s="122"/>
      <c r="H26" s="147"/>
      <c r="I26" s="148"/>
      <c r="J26" s="125"/>
      <c r="K26" s="125"/>
      <c r="L26" s="126"/>
      <c r="M26" s="126"/>
      <c r="N26" s="127"/>
      <c r="O26" s="172"/>
      <c r="P26" s="194"/>
      <c r="Q26" s="195"/>
      <c r="R26" s="195"/>
      <c r="S26" s="195"/>
      <c r="T26" s="195"/>
      <c r="U26" s="196"/>
    </row>
  </sheetData>
  <mergeCells count="43">
    <mergeCell ref="P22:U22"/>
    <mergeCell ref="P23:U23"/>
    <mergeCell ref="P24:U24"/>
    <mergeCell ref="P25:U25"/>
    <mergeCell ref="P26:U26"/>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7"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60418"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60419"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60420"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60421"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60422"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A5F077FC-AF9B-4D9E-8F40-16359FE721CD}">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369BC02D-3183-4178-9CA5-8486BB4AE609}">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F2E8C085-4CC2-4DFC-BE9F-04ABF524E8FD}">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EE4120AB-14FB-4FC3-B0BD-CEC96E483B0C}">
            <xm:f>(AND(H19&lt;&gt;"",ISERROR(VLOOKUP(H19,system!$E:$E,1,FALSE))))</xm:f>
            <x14:dxf>
              <fill>
                <patternFill>
                  <bgColor rgb="FFFF0000"/>
                </patternFill>
              </fill>
            </x14:dxf>
          </x14:cfRule>
          <xm:sqref>I19:I26</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2CCF5-210C-486F-8B44-49398BE52881}">
  <sheetPr codeName="Sheet59">
    <pageSetUpPr fitToPage="1"/>
  </sheetPr>
  <dimension ref="A1:U2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686</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180</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SUM(N14:N27)</f>
        <v>119</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27.5" customHeight="1">
      <c r="A14" s="85" t="s">
        <v>190</v>
      </c>
      <c r="B14" s="37">
        <f>ROW()-13</f>
        <v>1</v>
      </c>
      <c r="C14" s="145" t="s">
        <v>605</v>
      </c>
      <c r="D14" s="80"/>
      <c r="E14" s="81"/>
      <c r="F14" s="146"/>
      <c r="G14" s="17"/>
      <c r="H14" s="18" t="s">
        <v>211</v>
      </c>
      <c r="I14" s="59"/>
      <c r="J14" s="19"/>
      <c r="K14" s="19"/>
      <c r="L14" s="50" t="s">
        <v>189</v>
      </c>
      <c r="M14" s="73" t="s">
        <v>21</v>
      </c>
      <c r="N14" s="54">
        <f t="shared" ref="N14:N25" si="0">IF(H14="NUMBER",IF(J14&gt;0,INT((J14+1)/2+0.9),0),IF(H14="DATE",7,IF(OR(H14="LONG",H14="LONG RAW"),100000,J14)))</f>
        <v>0</v>
      </c>
      <c r="O14" s="170"/>
      <c r="P14" s="251" t="s">
        <v>606</v>
      </c>
      <c r="Q14" s="192"/>
      <c r="R14" s="192"/>
      <c r="S14" s="192"/>
      <c r="T14" s="192"/>
      <c r="U14" s="193"/>
    </row>
    <row r="15" spans="1:21" ht="15.75" customHeight="1">
      <c r="A15" s="85"/>
      <c r="B15" s="37">
        <f>ROW()-13</f>
        <v>2</v>
      </c>
      <c r="C15" s="145" t="s">
        <v>311</v>
      </c>
      <c r="D15" s="80"/>
      <c r="E15" s="81"/>
      <c r="F15" s="146"/>
      <c r="G15" s="17"/>
      <c r="H15" s="18" t="s">
        <v>51</v>
      </c>
      <c r="I15" s="59"/>
      <c r="J15" s="19">
        <v>4</v>
      </c>
      <c r="K15" s="19"/>
      <c r="L15" s="50" t="s">
        <v>189</v>
      </c>
      <c r="M15" s="73" t="s">
        <v>21</v>
      </c>
      <c r="N15" s="54">
        <f t="shared" si="0"/>
        <v>4</v>
      </c>
      <c r="O15" s="170"/>
      <c r="P15" s="191" t="s">
        <v>203</v>
      </c>
      <c r="Q15" s="192"/>
      <c r="R15" s="192"/>
      <c r="S15" s="192"/>
      <c r="T15" s="192"/>
      <c r="U15" s="193"/>
    </row>
    <row r="16" spans="1:21" ht="15.75" customHeight="1">
      <c r="A16" s="85"/>
      <c r="B16" s="37">
        <f>ROW()-13</f>
        <v>3</v>
      </c>
      <c r="C16" s="145" t="s">
        <v>687</v>
      </c>
      <c r="D16" s="80"/>
      <c r="E16" s="81"/>
      <c r="F16" s="146"/>
      <c r="G16" s="17"/>
      <c r="H16" s="18" t="s">
        <v>49</v>
      </c>
      <c r="I16" s="59"/>
      <c r="J16" s="19">
        <v>12</v>
      </c>
      <c r="K16" s="19"/>
      <c r="L16" s="50"/>
      <c r="M16" s="73" t="s">
        <v>21</v>
      </c>
      <c r="N16" s="54">
        <f t="shared" si="0"/>
        <v>12</v>
      </c>
      <c r="O16" s="170"/>
      <c r="P16" s="191" t="s">
        <v>688</v>
      </c>
      <c r="Q16" s="192"/>
      <c r="R16" s="192"/>
      <c r="S16" s="192"/>
      <c r="T16" s="192"/>
      <c r="U16" s="193"/>
    </row>
    <row r="17" spans="1:21" ht="27.5" customHeight="1">
      <c r="A17" s="85"/>
      <c r="B17" s="37">
        <f>ROW()-13</f>
        <v>4</v>
      </c>
      <c r="C17" s="145" t="s">
        <v>689</v>
      </c>
      <c r="D17" s="80"/>
      <c r="E17" s="81"/>
      <c r="F17" s="146"/>
      <c r="G17" s="17"/>
      <c r="H17" s="18" t="s">
        <v>49</v>
      </c>
      <c r="I17" s="59"/>
      <c r="J17" s="19">
        <v>1</v>
      </c>
      <c r="K17" s="19"/>
      <c r="L17" s="50" t="s">
        <v>189</v>
      </c>
      <c r="M17" s="73" t="s">
        <v>21</v>
      </c>
      <c r="N17" s="54">
        <f t="shared" si="0"/>
        <v>1</v>
      </c>
      <c r="O17" s="170">
        <v>0</v>
      </c>
      <c r="P17" s="251" t="s">
        <v>690</v>
      </c>
      <c r="Q17" s="192"/>
      <c r="R17" s="192"/>
      <c r="S17" s="192"/>
      <c r="T17" s="192"/>
      <c r="U17" s="193"/>
    </row>
    <row r="18" spans="1:21" ht="15.75" customHeight="1">
      <c r="A18" s="85"/>
      <c r="B18" s="37">
        <f>ROW()-13</f>
        <v>5</v>
      </c>
      <c r="C18" s="145" t="s">
        <v>276</v>
      </c>
      <c r="D18" s="80"/>
      <c r="E18" s="81"/>
      <c r="F18" s="146" t="s">
        <v>534</v>
      </c>
      <c r="G18" s="17"/>
      <c r="H18" s="18" t="s">
        <v>51</v>
      </c>
      <c r="I18" s="59"/>
      <c r="J18" s="19">
        <v>50</v>
      </c>
      <c r="K18" s="19"/>
      <c r="L18" s="50"/>
      <c r="M18" s="73" t="s">
        <v>21</v>
      </c>
      <c r="N18" s="54">
        <f t="shared" si="0"/>
        <v>50</v>
      </c>
      <c r="O18" s="170"/>
      <c r="P18" s="191"/>
      <c r="Q18" s="192"/>
      <c r="R18" s="192"/>
      <c r="S18" s="192"/>
      <c r="T18" s="192"/>
      <c r="U18" s="193"/>
    </row>
    <row r="19" spans="1:21" ht="15.5">
      <c r="A19" s="85"/>
      <c r="B19" s="37">
        <f t="shared" ref="B19:B25" si="1">ROW()-13</f>
        <v>6</v>
      </c>
      <c r="C19" s="107" t="s">
        <v>36</v>
      </c>
      <c r="D19" s="107"/>
      <c r="E19" s="108"/>
      <c r="F19" s="109" t="s">
        <v>78</v>
      </c>
      <c r="G19" s="110"/>
      <c r="H19" s="18" t="s">
        <v>51</v>
      </c>
      <c r="I19" s="59"/>
      <c r="J19" s="113">
        <v>12</v>
      </c>
      <c r="K19" s="113"/>
      <c r="L19" s="114"/>
      <c r="M19" s="115" t="s">
        <v>35</v>
      </c>
      <c r="N19" s="116">
        <f t="shared" si="0"/>
        <v>12</v>
      </c>
      <c r="O19" s="171"/>
      <c r="P19" s="197"/>
      <c r="Q19" s="198"/>
      <c r="R19" s="198"/>
      <c r="S19" s="198"/>
      <c r="T19" s="198"/>
      <c r="U19" s="199"/>
    </row>
    <row r="20" spans="1:21" ht="15.5">
      <c r="A20" s="85"/>
      <c r="B20" s="37">
        <f t="shared" si="1"/>
        <v>7</v>
      </c>
      <c r="C20" s="107" t="s">
        <v>37</v>
      </c>
      <c r="D20" s="107"/>
      <c r="E20" s="108"/>
      <c r="F20" s="109" t="s">
        <v>43</v>
      </c>
      <c r="G20" s="110"/>
      <c r="H20" s="18" t="s">
        <v>51</v>
      </c>
      <c r="I20" s="59"/>
      <c r="J20" s="113">
        <v>10</v>
      </c>
      <c r="K20" s="113"/>
      <c r="L20" s="114"/>
      <c r="M20" s="115" t="s">
        <v>21</v>
      </c>
      <c r="N20" s="116">
        <f t="shared" si="0"/>
        <v>10</v>
      </c>
      <c r="O20" s="171"/>
      <c r="P20" s="197"/>
      <c r="Q20" s="198"/>
      <c r="R20" s="198"/>
      <c r="S20" s="198"/>
      <c r="T20" s="198"/>
      <c r="U20" s="199"/>
    </row>
    <row r="21" spans="1:21" ht="15.5">
      <c r="A21" s="85"/>
      <c r="B21" s="37">
        <f t="shared" si="1"/>
        <v>8</v>
      </c>
      <c r="C21" s="107" t="s">
        <v>38</v>
      </c>
      <c r="D21" s="107"/>
      <c r="E21" s="108"/>
      <c r="F21" s="109" t="s">
        <v>80</v>
      </c>
      <c r="G21" s="110"/>
      <c r="H21" s="18" t="s">
        <v>86</v>
      </c>
      <c r="I21" s="59"/>
      <c r="J21" s="113"/>
      <c r="K21" s="113"/>
      <c r="L21" s="114"/>
      <c r="M21" s="115" t="s">
        <v>21</v>
      </c>
      <c r="N21" s="116">
        <f t="shared" si="0"/>
        <v>0</v>
      </c>
      <c r="O21" s="171"/>
      <c r="P21" s="197"/>
      <c r="Q21" s="198"/>
      <c r="R21" s="198"/>
      <c r="S21" s="198"/>
      <c r="T21" s="198"/>
      <c r="U21" s="199"/>
    </row>
    <row r="22" spans="1:21" ht="15.5">
      <c r="A22" s="85"/>
      <c r="B22" s="37">
        <f t="shared" si="1"/>
        <v>9</v>
      </c>
      <c r="C22" s="107" t="s">
        <v>39</v>
      </c>
      <c r="D22" s="107"/>
      <c r="E22" s="108"/>
      <c r="F22" s="109" t="s">
        <v>79</v>
      </c>
      <c r="G22" s="110"/>
      <c r="H22" s="18" t="s">
        <v>51</v>
      </c>
      <c r="I22" s="59"/>
      <c r="J22" s="113">
        <v>12</v>
      </c>
      <c r="K22" s="113"/>
      <c r="L22" s="114"/>
      <c r="M22" s="115" t="s">
        <v>35</v>
      </c>
      <c r="N22" s="116">
        <f t="shared" si="0"/>
        <v>12</v>
      </c>
      <c r="O22" s="171"/>
      <c r="P22" s="197"/>
      <c r="Q22" s="198"/>
      <c r="R22" s="198"/>
      <c r="S22" s="198"/>
      <c r="T22" s="198"/>
      <c r="U22" s="199"/>
    </row>
    <row r="23" spans="1:21" ht="15.5">
      <c r="A23" s="85"/>
      <c r="B23" s="37">
        <f t="shared" si="1"/>
        <v>10</v>
      </c>
      <c r="C23" s="107" t="s">
        <v>40</v>
      </c>
      <c r="D23" s="107"/>
      <c r="E23" s="108"/>
      <c r="F23" s="109" t="s">
        <v>44</v>
      </c>
      <c r="G23" s="110"/>
      <c r="H23" s="18" t="s">
        <v>51</v>
      </c>
      <c r="I23" s="59"/>
      <c r="J23" s="113">
        <v>10</v>
      </c>
      <c r="K23" s="113"/>
      <c r="L23" s="114"/>
      <c r="M23" s="115" t="s">
        <v>21</v>
      </c>
      <c r="N23" s="116">
        <f t="shared" si="0"/>
        <v>10</v>
      </c>
      <c r="O23" s="171"/>
      <c r="P23" s="197"/>
      <c r="Q23" s="198"/>
      <c r="R23" s="198"/>
      <c r="S23" s="198"/>
      <c r="T23" s="198"/>
      <c r="U23" s="199"/>
    </row>
    <row r="24" spans="1:21" ht="15.5">
      <c r="A24" s="85"/>
      <c r="B24" s="37">
        <f t="shared" si="1"/>
        <v>11</v>
      </c>
      <c r="C24" s="107" t="s">
        <v>41</v>
      </c>
      <c r="D24" s="107"/>
      <c r="E24" s="108"/>
      <c r="F24" s="109" t="s">
        <v>81</v>
      </c>
      <c r="G24" s="110"/>
      <c r="H24" s="18" t="s">
        <v>86</v>
      </c>
      <c r="I24" s="59"/>
      <c r="J24" s="113"/>
      <c r="K24" s="113"/>
      <c r="L24" s="114"/>
      <c r="M24" s="115" t="s">
        <v>21</v>
      </c>
      <c r="N24" s="116">
        <f t="shared" si="0"/>
        <v>0</v>
      </c>
      <c r="O24" s="171"/>
      <c r="P24" s="197"/>
      <c r="Q24" s="198"/>
      <c r="R24" s="198"/>
      <c r="S24" s="198"/>
      <c r="T24" s="198"/>
      <c r="U24" s="199"/>
    </row>
    <row r="25" spans="1:21" ht="15.5">
      <c r="A25" s="85"/>
      <c r="B25" s="37">
        <f t="shared" si="1"/>
        <v>12</v>
      </c>
      <c r="C25" s="80" t="s">
        <v>46</v>
      </c>
      <c r="D25" s="80"/>
      <c r="E25" s="81"/>
      <c r="F25" s="84" t="s">
        <v>71</v>
      </c>
      <c r="G25" s="17"/>
      <c r="H25" s="18" t="s">
        <v>62</v>
      </c>
      <c r="I25" s="59"/>
      <c r="J25" s="19">
        <v>8</v>
      </c>
      <c r="K25" s="19"/>
      <c r="L25" s="50" t="s">
        <v>47</v>
      </c>
      <c r="M25" s="73" t="s">
        <v>35</v>
      </c>
      <c r="N25" s="54">
        <f t="shared" si="0"/>
        <v>8</v>
      </c>
      <c r="O25" s="170">
        <v>0</v>
      </c>
      <c r="P25" s="191" t="s">
        <v>48</v>
      </c>
      <c r="Q25" s="192"/>
      <c r="R25" s="192"/>
      <c r="S25" s="192"/>
      <c r="T25" s="192"/>
      <c r="U25" s="193"/>
    </row>
    <row r="26" spans="1:21" ht="16" thickBot="1">
      <c r="A26" s="118"/>
      <c r="B26" s="119"/>
      <c r="C26" s="120"/>
      <c r="D26" s="120"/>
      <c r="E26" s="121"/>
      <c r="F26" s="129"/>
      <c r="G26" s="122"/>
      <c r="H26" s="147"/>
      <c r="I26" s="148"/>
      <c r="J26" s="125"/>
      <c r="K26" s="125"/>
      <c r="L26" s="126"/>
      <c r="M26" s="126"/>
      <c r="N26" s="127"/>
      <c r="O26" s="172"/>
      <c r="P26" s="194"/>
      <c r="Q26" s="195"/>
      <c r="R26" s="195"/>
      <c r="S26" s="195"/>
      <c r="T26" s="195"/>
      <c r="U26" s="196"/>
    </row>
  </sheetData>
  <mergeCells count="43">
    <mergeCell ref="P22:U22"/>
    <mergeCell ref="P23:U23"/>
    <mergeCell ref="P24:U24"/>
    <mergeCell ref="P25:U25"/>
    <mergeCell ref="P26:U26"/>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1"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61442"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61443"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61444"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61445"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61446"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D5B66E95-C8EE-4AF2-9AFB-FAFC891988A4}">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DB083AF0-9126-4CC9-85CE-D245C9A0F605}">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C7FBF73D-5771-400A-B7E5-3EF59EF90778}">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65CEC003-0759-44F1-8233-D744F37EFE4E}">
            <xm:f>(AND(H19&lt;&gt;"",ISERROR(VLOOKUP(H19,system!$E:$E,1,FALSE))))</xm:f>
            <x14:dxf>
              <fill>
                <patternFill>
                  <bgColor rgb="FFFF0000"/>
                </patternFill>
              </fill>
            </x14:dxf>
          </x14:cfRule>
          <xm:sqref>I19:I26</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CC80-8B1B-42F1-9B3B-CF430EBA5AA7}">
  <sheetPr codeName="Sheet60">
    <pageSetUpPr fitToPage="1"/>
  </sheetPr>
  <dimension ref="A1:U2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692</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181</v>
      </c>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SUM(N14:N26)</f>
        <v>115</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190</v>
      </c>
      <c r="B14" s="37">
        <f>ROW()-13</f>
        <v>1</v>
      </c>
      <c r="C14" s="145" t="s">
        <v>687</v>
      </c>
      <c r="D14" s="80"/>
      <c r="E14" s="81"/>
      <c r="F14" s="146"/>
      <c r="G14" s="17"/>
      <c r="H14" s="18" t="s">
        <v>49</v>
      </c>
      <c r="I14" s="59"/>
      <c r="J14" s="19">
        <v>12</v>
      </c>
      <c r="K14" s="19"/>
      <c r="L14" s="50" t="s">
        <v>189</v>
      </c>
      <c r="M14" s="73" t="s">
        <v>21</v>
      </c>
      <c r="N14" s="54">
        <f t="shared" ref="N14:N24" si="0">IF(H14="NUMBER",IF(J14&gt;0,INT((J14+1)/2+0.9),0),IF(H14="DATE",7,IF(OR(H14="LONG",H14="LONG RAW"),100000,J14)))</f>
        <v>12</v>
      </c>
      <c r="O14" s="170"/>
      <c r="P14" s="191" t="s">
        <v>693</v>
      </c>
      <c r="Q14" s="192"/>
      <c r="R14" s="192"/>
      <c r="S14" s="192"/>
      <c r="T14" s="192"/>
      <c r="U14" s="193"/>
    </row>
    <row r="15" spans="1:21" ht="15.75" customHeight="1">
      <c r="A15" s="85"/>
      <c r="B15" s="37">
        <f>ROW()-13</f>
        <v>2</v>
      </c>
      <c r="C15" s="145" t="s">
        <v>694</v>
      </c>
      <c r="D15" s="80"/>
      <c r="E15" s="81"/>
      <c r="F15" s="146"/>
      <c r="G15" s="17"/>
      <c r="H15" s="18" t="s">
        <v>211</v>
      </c>
      <c r="I15" s="59"/>
      <c r="J15" s="19"/>
      <c r="K15" s="19"/>
      <c r="L15" s="50" t="s">
        <v>189</v>
      </c>
      <c r="M15" s="73" t="s">
        <v>21</v>
      </c>
      <c r="N15" s="54">
        <f t="shared" si="0"/>
        <v>0</v>
      </c>
      <c r="O15" s="170"/>
      <c r="P15" s="191" t="s">
        <v>695</v>
      </c>
      <c r="Q15" s="192"/>
      <c r="R15" s="192"/>
      <c r="S15" s="192"/>
      <c r="T15" s="192"/>
      <c r="U15" s="193"/>
    </row>
    <row r="16" spans="1:21" ht="15.75" customHeight="1">
      <c r="A16" s="85"/>
      <c r="B16" s="37">
        <f>ROW()-13</f>
        <v>3</v>
      </c>
      <c r="C16" s="145" t="s">
        <v>696</v>
      </c>
      <c r="D16" s="80"/>
      <c r="E16" s="81"/>
      <c r="F16" s="146"/>
      <c r="G16" s="17"/>
      <c r="H16" s="18" t="s">
        <v>49</v>
      </c>
      <c r="I16" s="59"/>
      <c r="J16" s="19">
        <v>1</v>
      </c>
      <c r="K16" s="19"/>
      <c r="L16" s="50" t="s">
        <v>189</v>
      </c>
      <c r="M16" s="73" t="s">
        <v>21</v>
      </c>
      <c r="N16" s="54">
        <f t="shared" si="0"/>
        <v>1</v>
      </c>
      <c r="O16" s="170"/>
      <c r="P16" s="191" t="s">
        <v>697</v>
      </c>
      <c r="Q16" s="192"/>
      <c r="R16" s="192"/>
      <c r="S16" s="192"/>
      <c r="T16" s="192"/>
      <c r="U16" s="193"/>
    </row>
    <row r="17" spans="1:21" ht="15.75" customHeight="1">
      <c r="A17" s="85"/>
      <c r="B17" s="37">
        <f>ROW()-13</f>
        <v>4</v>
      </c>
      <c r="C17" s="145" t="s">
        <v>276</v>
      </c>
      <c r="D17" s="80"/>
      <c r="E17" s="81"/>
      <c r="F17" s="146" t="s">
        <v>534</v>
      </c>
      <c r="G17" s="17"/>
      <c r="H17" s="18" t="s">
        <v>51</v>
      </c>
      <c r="I17" s="59"/>
      <c r="J17" s="19">
        <v>50</v>
      </c>
      <c r="K17" s="19"/>
      <c r="L17" s="50"/>
      <c r="M17" s="73" t="s">
        <v>21</v>
      </c>
      <c r="N17" s="54">
        <f t="shared" si="0"/>
        <v>50</v>
      </c>
      <c r="O17" s="170"/>
      <c r="P17" s="191"/>
      <c r="Q17" s="192"/>
      <c r="R17" s="192"/>
      <c r="S17" s="192"/>
      <c r="T17" s="192"/>
      <c r="U17" s="193"/>
    </row>
    <row r="18" spans="1:21" ht="15.5">
      <c r="A18" s="85"/>
      <c r="B18" s="37">
        <f t="shared" ref="B18:B24" si="1">ROW()-13</f>
        <v>5</v>
      </c>
      <c r="C18" s="107" t="s">
        <v>36</v>
      </c>
      <c r="D18" s="107"/>
      <c r="E18" s="108"/>
      <c r="F18" s="109" t="s">
        <v>78</v>
      </c>
      <c r="G18" s="110"/>
      <c r="H18" s="18" t="s">
        <v>51</v>
      </c>
      <c r="I18" s="59"/>
      <c r="J18" s="113">
        <v>12</v>
      </c>
      <c r="K18" s="113"/>
      <c r="L18" s="114"/>
      <c r="M18" s="115" t="s">
        <v>35</v>
      </c>
      <c r="N18" s="116">
        <f t="shared" si="0"/>
        <v>12</v>
      </c>
      <c r="O18" s="171"/>
      <c r="P18" s="197"/>
      <c r="Q18" s="198"/>
      <c r="R18" s="198"/>
      <c r="S18" s="198"/>
      <c r="T18" s="198"/>
      <c r="U18" s="199"/>
    </row>
    <row r="19" spans="1:21" ht="15.5">
      <c r="A19" s="85"/>
      <c r="B19" s="37">
        <f t="shared" si="1"/>
        <v>6</v>
      </c>
      <c r="C19" s="107" t="s">
        <v>37</v>
      </c>
      <c r="D19" s="107"/>
      <c r="E19" s="108"/>
      <c r="F19" s="109" t="s">
        <v>43</v>
      </c>
      <c r="G19" s="110"/>
      <c r="H19" s="18" t="s">
        <v>51</v>
      </c>
      <c r="I19" s="59"/>
      <c r="J19" s="113">
        <v>10</v>
      </c>
      <c r="K19" s="113"/>
      <c r="L19" s="114"/>
      <c r="M19" s="115" t="s">
        <v>21</v>
      </c>
      <c r="N19" s="116">
        <f t="shared" si="0"/>
        <v>10</v>
      </c>
      <c r="O19" s="171"/>
      <c r="P19" s="197"/>
      <c r="Q19" s="198"/>
      <c r="R19" s="198"/>
      <c r="S19" s="198"/>
      <c r="T19" s="198"/>
      <c r="U19" s="199"/>
    </row>
    <row r="20" spans="1:21" ht="15.5">
      <c r="A20" s="85"/>
      <c r="B20" s="37">
        <f t="shared" si="1"/>
        <v>7</v>
      </c>
      <c r="C20" s="107" t="s">
        <v>38</v>
      </c>
      <c r="D20" s="107"/>
      <c r="E20" s="108"/>
      <c r="F20" s="109" t="s">
        <v>80</v>
      </c>
      <c r="G20" s="110"/>
      <c r="H20" s="18" t="s">
        <v>86</v>
      </c>
      <c r="I20" s="59"/>
      <c r="J20" s="113"/>
      <c r="K20" s="113"/>
      <c r="L20" s="114"/>
      <c r="M20" s="115" t="s">
        <v>21</v>
      </c>
      <c r="N20" s="116">
        <f t="shared" si="0"/>
        <v>0</v>
      </c>
      <c r="O20" s="171"/>
      <c r="P20" s="197"/>
      <c r="Q20" s="198"/>
      <c r="R20" s="198"/>
      <c r="S20" s="198"/>
      <c r="T20" s="198"/>
      <c r="U20" s="199"/>
    </row>
    <row r="21" spans="1:21" ht="15.5">
      <c r="A21" s="85"/>
      <c r="B21" s="37">
        <f t="shared" si="1"/>
        <v>8</v>
      </c>
      <c r="C21" s="107" t="s">
        <v>39</v>
      </c>
      <c r="D21" s="107"/>
      <c r="E21" s="108"/>
      <c r="F21" s="109" t="s">
        <v>79</v>
      </c>
      <c r="G21" s="110"/>
      <c r="H21" s="18" t="s">
        <v>51</v>
      </c>
      <c r="I21" s="59"/>
      <c r="J21" s="113">
        <v>12</v>
      </c>
      <c r="K21" s="113"/>
      <c r="L21" s="114"/>
      <c r="M21" s="115" t="s">
        <v>35</v>
      </c>
      <c r="N21" s="116">
        <f t="shared" si="0"/>
        <v>12</v>
      </c>
      <c r="O21" s="171"/>
      <c r="P21" s="197"/>
      <c r="Q21" s="198"/>
      <c r="R21" s="198"/>
      <c r="S21" s="198"/>
      <c r="T21" s="198"/>
      <c r="U21" s="199"/>
    </row>
    <row r="22" spans="1:21" ht="15.5">
      <c r="A22" s="85"/>
      <c r="B22" s="37">
        <f t="shared" si="1"/>
        <v>9</v>
      </c>
      <c r="C22" s="107" t="s">
        <v>40</v>
      </c>
      <c r="D22" s="107"/>
      <c r="E22" s="108"/>
      <c r="F22" s="109" t="s">
        <v>44</v>
      </c>
      <c r="G22" s="110"/>
      <c r="H22" s="18" t="s">
        <v>51</v>
      </c>
      <c r="I22" s="59"/>
      <c r="J22" s="113">
        <v>10</v>
      </c>
      <c r="K22" s="113"/>
      <c r="L22" s="114"/>
      <c r="M22" s="115" t="s">
        <v>21</v>
      </c>
      <c r="N22" s="116">
        <f t="shared" si="0"/>
        <v>10</v>
      </c>
      <c r="O22" s="171"/>
      <c r="P22" s="197"/>
      <c r="Q22" s="198"/>
      <c r="R22" s="198"/>
      <c r="S22" s="198"/>
      <c r="T22" s="198"/>
      <c r="U22" s="199"/>
    </row>
    <row r="23" spans="1:21" ht="15.5">
      <c r="A23" s="85"/>
      <c r="B23" s="37">
        <f t="shared" si="1"/>
        <v>10</v>
      </c>
      <c r="C23" s="107" t="s">
        <v>41</v>
      </c>
      <c r="D23" s="107"/>
      <c r="E23" s="108"/>
      <c r="F23" s="109" t="s">
        <v>81</v>
      </c>
      <c r="G23" s="110"/>
      <c r="H23" s="18" t="s">
        <v>86</v>
      </c>
      <c r="I23" s="59"/>
      <c r="J23" s="113"/>
      <c r="K23" s="113"/>
      <c r="L23" s="114"/>
      <c r="M23" s="115" t="s">
        <v>21</v>
      </c>
      <c r="N23" s="116">
        <f t="shared" si="0"/>
        <v>0</v>
      </c>
      <c r="O23" s="171"/>
      <c r="P23" s="197"/>
      <c r="Q23" s="198"/>
      <c r="R23" s="198"/>
      <c r="S23" s="198"/>
      <c r="T23" s="198"/>
      <c r="U23" s="199"/>
    </row>
    <row r="24" spans="1:21" ht="15.5">
      <c r="A24" s="85"/>
      <c r="B24" s="37">
        <f t="shared" si="1"/>
        <v>11</v>
      </c>
      <c r="C24" s="80" t="s">
        <v>46</v>
      </c>
      <c r="D24" s="80"/>
      <c r="E24" s="81"/>
      <c r="F24" s="84" t="s">
        <v>71</v>
      </c>
      <c r="G24" s="17"/>
      <c r="H24" s="18" t="s">
        <v>62</v>
      </c>
      <c r="I24" s="59"/>
      <c r="J24" s="19">
        <v>8</v>
      </c>
      <c r="K24" s="19"/>
      <c r="L24" s="50" t="s">
        <v>47</v>
      </c>
      <c r="M24" s="73" t="s">
        <v>35</v>
      </c>
      <c r="N24" s="54">
        <f t="shared" si="0"/>
        <v>8</v>
      </c>
      <c r="O24" s="170">
        <v>0</v>
      </c>
      <c r="P24" s="191" t="s">
        <v>48</v>
      </c>
      <c r="Q24" s="192"/>
      <c r="R24" s="192"/>
      <c r="S24" s="192"/>
      <c r="T24" s="192"/>
      <c r="U24" s="193"/>
    </row>
    <row r="25" spans="1:21" ht="16" thickBot="1">
      <c r="A25" s="118"/>
      <c r="B25" s="119"/>
      <c r="C25" s="120"/>
      <c r="D25" s="120"/>
      <c r="E25" s="121"/>
      <c r="F25" s="129"/>
      <c r="G25" s="122"/>
      <c r="H25" s="147"/>
      <c r="I25" s="148"/>
      <c r="J25" s="125"/>
      <c r="K25" s="125"/>
      <c r="L25" s="126"/>
      <c r="M25" s="126"/>
      <c r="N25" s="127"/>
      <c r="O25" s="172"/>
      <c r="P25" s="194"/>
      <c r="Q25" s="195"/>
      <c r="R25" s="195"/>
      <c r="S25" s="195"/>
      <c r="T25" s="195"/>
      <c r="U25" s="196"/>
    </row>
  </sheetData>
  <mergeCells count="42">
    <mergeCell ref="P22:U22"/>
    <mergeCell ref="P23:U23"/>
    <mergeCell ref="P24:U24"/>
    <mergeCell ref="P25:U25"/>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5"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62466"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62467"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62468"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62469"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62470"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1EAC841-3CC0-4B2B-B024-D00609AF7F63}">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60BD27DB-978B-44BD-BDDB-1EDC4D66F60B}">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432A05D5-120E-4799-8886-01C030DD9EE4}">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A62DAE64-B060-4905-BA0B-693EC3BA0671}">
            <xm:f>(AND(H18&lt;&gt;"",ISERROR(VLOOKUP(H18,system!$E:$E,1,FALSE))))</xm:f>
            <x14:dxf>
              <fill>
                <patternFill>
                  <bgColor rgb="FFFF0000"/>
                </patternFill>
              </fill>
            </x14:dxf>
          </x14:cfRule>
          <xm:sqref>I18:I25</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pageSetUpPr fitToPage="1"/>
  </sheetPr>
  <dimension ref="A1:U25"/>
  <sheetViews>
    <sheetView showGridLines="0" zoomScale="120" zoomScaleNormal="120" workbookViewId="0">
      <pane ySplit="13" topLeftCell="A14" activePane="bottomLeft" state="frozen"/>
      <selection pane="bottomLeft" activeCell="J2" sqref="J2:M5"/>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t="s">
        <v>83</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66</v>
      </c>
      <c r="F7" s="217"/>
      <c r="G7" s="217"/>
      <c r="H7" s="218"/>
      <c r="I7" s="61" t="s">
        <v>28</v>
      </c>
      <c r="J7" s="27"/>
      <c r="K7" s="234" t="s">
        <v>34</v>
      </c>
      <c r="L7" s="235"/>
      <c r="M7" s="236"/>
      <c r="N7" s="92">
        <f>COUNTIF(H14:H23,"LONG")+COUNTIF(H14:H23,"LONG RAW")</f>
        <v>0</v>
      </c>
      <c r="O7" s="188"/>
      <c r="P7" s="189"/>
      <c r="Q7" s="189"/>
      <c r="R7" s="189"/>
      <c r="S7" s="189"/>
      <c r="T7" s="189"/>
      <c r="U7" s="190"/>
    </row>
    <row r="8" spans="1:21" ht="14.5" customHeight="1">
      <c r="A8" s="45"/>
      <c r="B8" s="22" t="s">
        <v>7</v>
      </c>
      <c r="C8" s="22"/>
      <c r="D8" s="23"/>
      <c r="E8" s="216" t="s">
        <v>67</v>
      </c>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SUM(N14:N23)</f>
        <v>106</v>
      </c>
      <c r="M9" s="82"/>
      <c r="N9" s="93">
        <f>SUMIF(M14:M23,"■",N14:N23)</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10.6</v>
      </c>
      <c r="M10" s="82"/>
      <c r="N10" s="55"/>
      <c r="O10" s="188"/>
      <c r="P10" s="189"/>
      <c r="Q10" s="189"/>
      <c r="R10" s="189"/>
      <c r="S10" s="189"/>
      <c r="T10" s="189"/>
      <c r="U10" s="190"/>
    </row>
    <row r="11" spans="1:21" ht="17.25" customHeight="1" thickBot="1">
      <c r="A11" s="46"/>
      <c r="B11" s="24" t="s">
        <v>29</v>
      </c>
      <c r="C11" s="24"/>
      <c r="D11" s="25"/>
      <c r="E11" s="185">
        <v>100</v>
      </c>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COUNTA(H14:H23)</f>
        <v>9</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63" t="s">
        <v>18</v>
      </c>
      <c r="K13" s="63" t="s">
        <v>19</v>
      </c>
      <c r="L13" s="98" t="s">
        <v>30</v>
      </c>
      <c r="M13" s="99" t="s">
        <v>20</v>
      </c>
      <c r="N13" s="106">
        <f>COUNTIF(M14:M23,"■")</f>
        <v>0</v>
      </c>
      <c r="O13" s="96" t="s">
        <v>31</v>
      </c>
      <c r="P13" s="200" t="s">
        <v>32</v>
      </c>
      <c r="Q13" s="201"/>
      <c r="R13" s="201"/>
      <c r="S13" s="201"/>
      <c r="T13" s="201"/>
      <c r="U13" s="202"/>
    </row>
    <row r="14" spans="1:21" ht="15.75" customHeight="1">
      <c r="A14" s="85" t="s">
        <v>42</v>
      </c>
      <c r="B14" s="37">
        <f>ROW()-13</f>
        <v>1</v>
      </c>
      <c r="C14" s="80" t="s">
        <v>69</v>
      </c>
      <c r="D14" s="80"/>
      <c r="E14" s="81"/>
      <c r="F14" s="84" t="s">
        <v>72</v>
      </c>
      <c r="G14" s="17"/>
      <c r="H14" s="18" t="s">
        <v>77</v>
      </c>
      <c r="I14" s="59"/>
      <c r="J14" s="19">
        <v>4</v>
      </c>
      <c r="K14" s="19"/>
      <c r="L14" s="50"/>
      <c r="M14" s="73" t="s">
        <v>122</v>
      </c>
      <c r="N14" s="54">
        <f t="shared" ref="N14:N22" si="0">IF(H14="NUMBER",IF(J14&gt;0,INT((J14+1)/2+0.9),0),IF(H14="DATE",7,IF(OR(H14="LONG",H14="LONG RAW"),100000,J14)))</f>
        <v>4</v>
      </c>
      <c r="O14" s="97"/>
      <c r="P14" s="191"/>
      <c r="Q14" s="192"/>
      <c r="R14" s="192"/>
      <c r="S14" s="192"/>
      <c r="T14" s="192"/>
      <c r="U14" s="193"/>
    </row>
    <row r="15" spans="1:21" ht="15.75" customHeight="1">
      <c r="A15" s="85"/>
      <c r="B15" s="37">
        <f>ROW()-13</f>
        <v>2</v>
      </c>
      <c r="C15" s="80" t="s">
        <v>70</v>
      </c>
      <c r="D15" s="80"/>
      <c r="E15" s="81"/>
      <c r="F15" s="84" t="s">
        <v>73</v>
      </c>
      <c r="G15" s="17"/>
      <c r="H15" s="18" t="s">
        <v>76</v>
      </c>
      <c r="I15" s="59"/>
      <c r="J15" s="19">
        <v>50</v>
      </c>
      <c r="K15" s="19"/>
      <c r="L15" s="50"/>
      <c r="M15" s="73" t="s">
        <v>35</v>
      </c>
      <c r="N15" s="54">
        <f t="shared" si="0"/>
        <v>50</v>
      </c>
      <c r="O15" s="97"/>
      <c r="P15" s="197"/>
      <c r="Q15" s="198"/>
      <c r="R15" s="198"/>
      <c r="S15" s="198"/>
      <c r="T15" s="198"/>
      <c r="U15" s="199"/>
    </row>
    <row r="16" spans="1:21" ht="15.75" customHeight="1">
      <c r="A16" s="85"/>
      <c r="B16" s="37">
        <f t="shared" ref="B16:B22" si="1">ROW()-13</f>
        <v>3</v>
      </c>
      <c r="C16" s="107" t="s">
        <v>36</v>
      </c>
      <c r="D16" s="107"/>
      <c r="E16" s="108"/>
      <c r="F16" s="109" t="s">
        <v>78</v>
      </c>
      <c r="G16" s="110"/>
      <c r="H16" s="18" t="s">
        <v>76</v>
      </c>
      <c r="I16" s="112"/>
      <c r="J16" s="113">
        <v>12</v>
      </c>
      <c r="K16" s="113"/>
      <c r="L16" s="114"/>
      <c r="M16" s="115" t="s">
        <v>35</v>
      </c>
      <c r="N16" s="116">
        <f t="shared" si="0"/>
        <v>12</v>
      </c>
      <c r="O16" s="117"/>
      <c r="P16" s="197"/>
      <c r="Q16" s="198"/>
      <c r="R16" s="198"/>
      <c r="S16" s="198"/>
      <c r="T16" s="198"/>
      <c r="U16" s="199"/>
    </row>
    <row r="17" spans="1:21" ht="15.75" customHeight="1">
      <c r="A17" s="85"/>
      <c r="B17" s="37">
        <f t="shared" si="1"/>
        <v>4</v>
      </c>
      <c r="C17" s="107" t="s">
        <v>37</v>
      </c>
      <c r="D17" s="107"/>
      <c r="E17" s="108"/>
      <c r="F17" s="109" t="s">
        <v>43</v>
      </c>
      <c r="G17" s="110"/>
      <c r="H17" s="18" t="s">
        <v>76</v>
      </c>
      <c r="I17" s="112"/>
      <c r="J17" s="113">
        <v>10</v>
      </c>
      <c r="K17" s="113"/>
      <c r="L17" s="114"/>
      <c r="M17" s="115" t="s">
        <v>21</v>
      </c>
      <c r="N17" s="116">
        <f t="shared" si="0"/>
        <v>10</v>
      </c>
      <c r="O17" s="117"/>
      <c r="P17" s="197"/>
      <c r="Q17" s="198"/>
      <c r="R17" s="198"/>
      <c r="S17" s="198"/>
      <c r="T17" s="198"/>
      <c r="U17" s="199"/>
    </row>
    <row r="18" spans="1:21" ht="15.75" customHeight="1">
      <c r="A18" s="85"/>
      <c r="B18" s="37">
        <f t="shared" si="1"/>
        <v>5</v>
      </c>
      <c r="C18" s="107" t="s">
        <v>38</v>
      </c>
      <c r="D18" s="107"/>
      <c r="E18" s="108"/>
      <c r="F18" s="109" t="s">
        <v>80</v>
      </c>
      <c r="G18" s="110"/>
      <c r="H18" s="111" t="s">
        <v>75</v>
      </c>
      <c r="I18" s="112"/>
      <c r="J18" s="113"/>
      <c r="K18" s="113"/>
      <c r="L18" s="114"/>
      <c r="M18" s="115" t="s">
        <v>21</v>
      </c>
      <c r="N18" s="116">
        <f t="shared" si="0"/>
        <v>0</v>
      </c>
      <c r="O18" s="117"/>
      <c r="P18" s="197"/>
      <c r="Q18" s="198"/>
      <c r="R18" s="198"/>
      <c r="S18" s="198"/>
      <c r="T18" s="198"/>
      <c r="U18" s="199"/>
    </row>
    <row r="19" spans="1:21" ht="15.75" customHeight="1">
      <c r="A19" s="85"/>
      <c r="B19" s="37">
        <f t="shared" si="1"/>
        <v>6</v>
      </c>
      <c r="C19" s="107" t="s">
        <v>39</v>
      </c>
      <c r="D19" s="107"/>
      <c r="E19" s="108"/>
      <c r="F19" s="109" t="s">
        <v>79</v>
      </c>
      <c r="G19" s="110"/>
      <c r="H19" s="18" t="s">
        <v>76</v>
      </c>
      <c r="I19" s="112"/>
      <c r="J19" s="113">
        <v>12</v>
      </c>
      <c r="K19" s="113"/>
      <c r="L19" s="114"/>
      <c r="M19" s="115" t="s">
        <v>35</v>
      </c>
      <c r="N19" s="116">
        <f t="shared" si="0"/>
        <v>12</v>
      </c>
      <c r="O19" s="117"/>
      <c r="P19" s="197"/>
      <c r="Q19" s="198"/>
      <c r="R19" s="198"/>
      <c r="S19" s="198"/>
      <c r="T19" s="198"/>
      <c r="U19" s="199"/>
    </row>
    <row r="20" spans="1:21" ht="15.75" customHeight="1">
      <c r="A20" s="85"/>
      <c r="B20" s="37">
        <f t="shared" si="1"/>
        <v>7</v>
      </c>
      <c r="C20" s="107" t="s">
        <v>40</v>
      </c>
      <c r="D20" s="107"/>
      <c r="E20" s="108"/>
      <c r="F20" s="109" t="s">
        <v>44</v>
      </c>
      <c r="G20" s="110"/>
      <c r="H20" s="18" t="s">
        <v>76</v>
      </c>
      <c r="I20" s="112"/>
      <c r="J20" s="113">
        <v>10</v>
      </c>
      <c r="K20" s="113"/>
      <c r="L20" s="114"/>
      <c r="M20" s="115" t="s">
        <v>21</v>
      </c>
      <c r="N20" s="116">
        <f t="shared" si="0"/>
        <v>10</v>
      </c>
      <c r="O20" s="117"/>
      <c r="P20" s="197"/>
      <c r="Q20" s="198"/>
      <c r="R20" s="198"/>
      <c r="S20" s="198"/>
      <c r="T20" s="198"/>
      <c r="U20" s="199"/>
    </row>
    <row r="21" spans="1:21" ht="15.75" customHeight="1">
      <c r="A21" s="85"/>
      <c r="B21" s="37">
        <f t="shared" si="1"/>
        <v>8</v>
      </c>
      <c r="C21" s="107" t="s">
        <v>41</v>
      </c>
      <c r="D21" s="107"/>
      <c r="E21" s="108"/>
      <c r="F21" s="109" t="s">
        <v>81</v>
      </c>
      <c r="G21" s="110"/>
      <c r="H21" s="18" t="s">
        <v>75</v>
      </c>
      <c r="I21" s="112"/>
      <c r="J21" s="113"/>
      <c r="K21" s="113"/>
      <c r="L21" s="114"/>
      <c r="M21" s="115" t="s">
        <v>21</v>
      </c>
      <c r="N21" s="116">
        <f t="shared" si="0"/>
        <v>0</v>
      </c>
      <c r="O21" s="117"/>
      <c r="P21" s="197"/>
      <c r="Q21" s="198"/>
      <c r="R21" s="198"/>
      <c r="S21" s="198"/>
      <c r="T21" s="198"/>
      <c r="U21" s="199"/>
    </row>
    <row r="22" spans="1:21" ht="15.75" customHeight="1">
      <c r="A22" s="85"/>
      <c r="B22" s="37">
        <f t="shared" si="1"/>
        <v>9</v>
      </c>
      <c r="C22" s="80" t="s">
        <v>46</v>
      </c>
      <c r="D22" s="80"/>
      <c r="E22" s="81"/>
      <c r="F22" s="84" t="s">
        <v>71</v>
      </c>
      <c r="G22" s="17"/>
      <c r="H22" s="18" t="s">
        <v>82</v>
      </c>
      <c r="I22" s="59"/>
      <c r="J22" s="19">
        <v>8</v>
      </c>
      <c r="K22" s="19"/>
      <c r="L22" s="50" t="s">
        <v>47</v>
      </c>
      <c r="M22" s="73" t="s">
        <v>45</v>
      </c>
      <c r="N22" s="54">
        <f t="shared" si="0"/>
        <v>8</v>
      </c>
      <c r="O22" s="97">
        <v>0</v>
      </c>
      <c r="P22" s="191" t="s">
        <v>48</v>
      </c>
      <c r="Q22" s="192"/>
      <c r="R22" s="192"/>
      <c r="S22" s="192"/>
      <c r="T22" s="192"/>
      <c r="U22" s="193"/>
    </row>
    <row r="23" spans="1:21" ht="16" thickBot="1">
      <c r="A23" s="118"/>
      <c r="B23" s="119"/>
      <c r="C23" s="120"/>
      <c r="D23" s="120"/>
      <c r="E23" s="121"/>
      <c r="F23" s="129"/>
      <c r="G23" s="122"/>
      <c r="H23" s="123"/>
      <c r="I23" s="124"/>
      <c r="J23" s="125"/>
      <c r="K23" s="125"/>
      <c r="L23" s="126"/>
      <c r="M23" s="126"/>
      <c r="N23" s="127"/>
      <c r="O23" s="128"/>
      <c r="P23" s="194"/>
      <c r="Q23" s="195"/>
      <c r="R23" s="195"/>
      <c r="S23" s="195"/>
      <c r="T23" s="195"/>
      <c r="U23" s="196"/>
    </row>
    <row r="24" spans="1:21" ht="15" customHeight="1">
      <c r="A24" s="69"/>
      <c r="B24" s="70"/>
      <c r="C24" s="74"/>
      <c r="D24" s="74"/>
      <c r="E24" s="74"/>
      <c r="F24" s="74"/>
      <c r="G24" s="75"/>
      <c r="H24" s="76"/>
      <c r="I24" s="76"/>
      <c r="J24" s="77"/>
      <c r="K24" s="77"/>
      <c r="L24" s="78"/>
      <c r="M24" s="79"/>
      <c r="N24" s="52"/>
    </row>
    <row r="25" spans="1:21" ht="13">
      <c r="C25" s="67"/>
      <c r="D25" s="67"/>
      <c r="E25" s="67"/>
      <c r="F25" s="67"/>
      <c r="G25" s="67"/>
      <c r="H25" s="67"/>
      <c r="I25" s="67"/>
      <c r="J25" s="67"/>
      <c r="K25" s="67"/>
      <c r="L25" s="68"/>
      <c r="M25" s="67"/>
    </row>
  </sheetData>
  <mergeCells count="40">
    <mergeCell ref="E8:H8"/>
    <mergeCell ref="E9:H9"/>
    <mergeCell ref="E10:H10"/>
    <mergeCell ref="K8:M8"/>
    <mergeCell ref="E6:H6"/>
    <mergeCell ref="E7:H7"/>
    <mergeCell ref="K6:M6"/>
    <mergeCell ref="K7:M7"/>
    <mergeCell ref="O9:U9"/>
    <mergeCell ref="O6:U6"/>
    <mergeCell ref="O1:U1"/>
    <mergeCell ref="O2:U2"/>
    <mergeCell ref="O3:U3"/>
    <mergeCell ref="O4:U4"/>
    <mergeCell ref="O8:U8"/>
    <mergeCell ref="O5:U5"/>
    <mergeCell ref="O7:U7"/>
    <mergeCell ref="E11:H11"/>
    <mergeCell ref="O10:U10"/>
    <mergeCell ref="P14:U14"/>
    <mergeCell ref="P23:U23"/>
    <mergeCell ref="P22:U22"/>
    <mergeCell ref="P19:U19"/>
    <mergeCell ref="P21:U21"/>
    <mergeCell ref="P20:U20"/>
    <mergeCell ref="P15:U15"/>
    <mergeCell ref="P17:U17"/>
    <mergeCell ref="P16:U16"/>
    <mergeCell ref="P18:U18"/>
    <mergeCell ref="O11:U11"/>
    <mergeCell ref="P13:U13"/>
    <mergeCell ref="O12:U12"/>
    <mergeCell ref="L4:M4"/>
    <mergeCell ref="L3:M3"/>
    <mergeCell ref="L2:M2"/>
    <mergeCell ref="L5:M5"/>
    <mergeCell ref="J2:K2"/>
    <mergeCell ref="J3:K3"/>
    <mergeCell ref="J4:K4"/>
    <mergeCell ref="J5:K5"/>
  </mergeCells>
  <phoneticPr fontId="16"/>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12290"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12291"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12292"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12293"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12294"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51"/>
  <sheetViews>
    <sheetView workbookViewId="0">
      <selection activeCell="C13" sqref="C13"/>
    </sheetView>
  </sheetViews>
  <sheetFormatPr defaultColWidth="8.7265625" defaultRowHeight="17.5"/>
  <cols>
    <col min="1" max="1" width="3.6328125" style="133" customWidth="1"/>
    <col min="2" max="2" width="20.36328125" style="133" customWidth="1"/>
    <col min="3" max="3" width="12.90625" style="133" customWidth="1"/>
    <col min="4" max="8" width="8.7265625" style="133"/>
    <col min="9" max="9" width="111.7265625" style="133" bestFit="1" customWidth="1"/>
    <col min="10" max="16384" width="8.7265625" style="133"/>
  </cols>
  <sheetData>
    <row r="1" spans="1:10" ht="18" thickBot="1">
      <c r="A1" s="133" t="s">
        <v>22</v>
      </c>
      <c r="B1" s="133" t="s">
        <v>23</v>
      </c>
    </row>
    <row r="2" spans="1:10">
      <c r="A2" s="134">
        <f>ROW()-1</f>
        <v>1</v>
      </c>
      <c r="B2" s="135" t="s">
        <v>49</v>
      </c>
      <c r="E2" s="133" t="s">
        <v>50</v>
      </c>
      <c r="I2" s="133" t="s">
        <v>87</v>
      </c>
    </row>
    <row r="3" spans="1:10">
      <c r="A3" s="136">
        <f t="shared" ref="A3:A11" si="0">ROW()-1</f>
        <v>2</v>
      </c>
      <c r="B3" s="137" t="s">
        <v>51</v>
      </c>
      <c r="E3" s="133" t="s">
        <v>52</v>
      </c>
      <c r="I3" s="149" t="s">
        <v>130</v>
      </c>
    </row>
    <row r="4" spans="1:10">
      <c r="A4" s="136">
        <f t="shared" si="0"/>
        <v>3</v>
      </c>
      <c r="B4" s="137" t="s">
        <v>24</v>
      </c>
      <c r="E4" s="133" t="s">
        <v>53</v>
      </c>
    </row>
    <row r="5" spans="1:10">
      <c r="A5" s="136">
        <f t="shared" si="0"/>
        <v>4</v>
      </c>
      <c r="B5" s="137" t="s">
        <v>54</v>
      </c>
      <c r="E5" s="133" t="s">
        <v>55</v>
      </c>
    </row>
    <row r="6" spans="1:10">
      <c r="A6" s="136">
        <f t="shared" si="0"/>
        <v>5</v>
      </c>
      <c r="B6" s="137" t="s">
        <v>74</v>
      </c>
      <c r="E6" s="133" t="s">
        <v>74</v>
      </c>
    </row>
    <row r="7" spans="1:10">
      <c r="A7" s="136">
        <f t="shared" si="0"/>
        <v>6</v>
      </c>
      <c r="B7" s="137" t="s">
        <v>56</v>
      </c>
      <c r="E7" s="133" t="s">
        <v>57</v>
      </c>
      <c r="I7" s="133" t="s">
        <v>88</v>
      </c>
      <c r="J7" s="133" t="s">
        <v>90</v>
      </c>
    </row>
    <row r="8" spans="1:10">
      <c r="A8" s="136">
        <f t="shared" si="0"/>
        <v>7</v>
      </c>
      <c r="B8" s="137" t="s">
        <v>58</v>
      </c>
      <c r="E8" s="133" t="s">
        <v>59</v>
      </c>
      <c r="I8" s="133" t="s">
        <v>89</v>
      </c>
      <c r="J8" s="133" t="s">
        <v>90</v>
      </c>
    </row>
    <row r="9" spans="1:10">
      <c r="A9" s="136">
        <f t="shared" si="0"/>
        <v>8</v>
      </c>
      <c r="B9" s="137" t="s">
        <v>60</v>
      </c>
      <c r="E9" s="133" t="s">
        <v>61</v>
      </c>
      <c r="I9" s="133" t="s">
        <v>93</v>
      </c>
      <c r="J9" s="133" t="s">
        <v>90</v>
      </c>
    </row>
    <row r="10" spans="1:10">
      <c r="A10" s="136">
        <f t="shared" si="0"/>
        <v>9</v>
      </c>
      <c r="B10" s="137" t="s">
        <v>62</v>
      </c>
      <c r="E10" s="133" t="s">
        <v>63</v>
      </c>
      <c r="I10" s="133" t="s">
        <v>94</v>
      </c>
      <c r="J10" s="133" t="s">
        <v>90</v>
      </c>
    </row>
    <row r="11" spans="1:10" ht="18" thickBot="1">
      <c r="A11" s="138">
        <f t="shared" si="0"/>
        <v>10</v>
      </c>
      <c r="B11" s="139" t="s">
        <v>91</v>
      </c>
      <c r="E11" s="133" t="s">
        <v>92</v>
      </c>
      <c r="I11" s="133" t="s">
        <v>136</v>
      </c>
      <c r="J11" s="133" t="s">
        <v>90</v>
      </c>
    </row>
    <row r="12" spans="1:10" ht="18" thickBot="1">
      <c r="B12" s="140" t="s">
        <v>25</v>
      </c>
      <c r="C12" s="141">
        <v>10</v>
      </c>
      <c r="D12" s="142" t="str">
        <f>VLOOKUP(C12,A2:B11,2,FALSE)</f>
        <v>INT</v>
      </c>
      <c r="I12" s="133" t="s">
        <v>95</v>
      </c>
      <c r="J12" s="133" t="s">
        <v>90</v>
      </c>
    </row>
    <row r="13" spans="1:10">
      <c r="I13" s="133" t="s">
        <v>96</v>
      </c>
      <c r="J13" s="133" t="s">
        <v>90</v>
      </c>
    </row>
    <row r="14" spans="1:10">
      <c r="I14" s="133" t="s">
        <v>97</v>
      </c>
      <c r="J14" s="133" t="s">
        <v>90</v>
      </c>
    </row>
    <row r="15" spans="1:10">
      <c r="I15" s="133" t="s">
        <v>98</v>
      </c>
      <c r="J15" s="133" t="s">
        <v>90</v>
      </c>
    </row>
    <row r="16" spans="1:10">
      <c r="I16" s="133" t="s">
        <v>142</v>
      </c>
      <c r="J16" s="133" t="s">
        <v>90</v>
      </c>
    </row>
    <row r="17" spans="9:10">
      <c r="I17" s="133" t="s">
        <v>99</v>
      </c>
      <c r="J17" s="133" t="s">
        <v>90</v>
      </c>
    </row>
    <row r="18" spans="9:10">
      <c r="I18" s="133" t="s">
        <v>100</v>
      </c>
      <c r="J18" s="133" t="s">
        <v>90</v>
      </c>
    </row>
    <row r="19" spans="9:10">
      <c r="I19" s="133" t="s">
        <v>101</v>
      </c>
      <c r="J19" s="133" t="s">
        <v>90</v>
      </c>
    </row>
    <row r="20" spans="9:10">
      <c r="I20" s="133" t="s">
        <v>102</v>
      </c>
      <c r="J20" s="133" t="s">
        <v>90</v>
      </c>
    </row>
    <row r="21" spans="9:10">
      <c r="I21" s="133" t="s">
        <v>103</v>
      </c>
      <c r="J21" s="133" t="s">
        <v>90</v>
      </c>
    </row>
    <row r="22" spans="9:10">
      <c r="I22" s="133" t="s">
        <v>149</v>
      </c>
      <c r="J22" s="133" t="s">
        <v>90</v>
      </c>
    </row>
    <row r="23" spans="9:10">
      <c r="I23" s="133" t="s">
        <v>104</v>
      </c>
      <c r="J23" s="133" t="s">
        <v>90</v>
      </c>
    </row>
    <row r="24" spans="9:10">
      <c r="I24" s="133" t="s">
        <v>105</v>
      </c>
      <c r="J24" s="133" t="s">
        <v>90</v>
      </c>
    </row>
    <row r="25" spans="9:10">
      <c r="I25" s="133" t="s">
        <v>106</v>
      </c>
      <c r="J25" s="133" t="s">
        <v>90</v>
      </c>
    </row>
    <row r="26" spans="9:10">
      <c r="I26" s="133" t="s">
        <v>107</v>
      </c>
      <c r="J26" s="133" t="s">
        <v>90</v>
      </c>
    </row>
    <row r="27" spans="9:10">
      <c r="I27" s="133" t="s">
        <v>155</v>
      </c>
      <c r="J27" s="133" t="s">
        <v>90</v>
      </c>
    </row>
    <row r="28" spans="9:10">
      <c r="I28" s="133" t="s">
        <v>108</v>
      </c>
      <c r="J28" s="133" t="s">
        <v>90</v>
      </c>
    </row>
    <row r="29" spans="9:10">
      <c r="I29" s="133" t="s">
        <v>109</v>
      </c>
      <c r="J29" s="133" t="s">
        <v>90</v>
      </c>
    </row>
    <row r="30" spans="9:10">
      <c r="I30" s="133" t="s">
        <v>159</v>
      </c>
      <c r="J30" s="133" t="s">
        <v>90</v>
      </c>
    </row>
    <row r="31" spans="9:10">
      <c r="I31" s="133" t="s">
        <v>110</v>
      </c>
      <c r="J31" s="133" t="s">
        <v>90</v>
      </c>
    </row>
    <row r="32" spans="9:10">
      <c r="I32" s="133" t="s">
        <v>111</v>
      </c>
      <c r="J32" s="133" t="s">
        <v>90</v>
      </c>
    </row>
    <row r="33" spans="9:10">
      <c r="I33" s="133" t="s">
        <v>112</v>
      </c>
      <c r="J33" s="133" t="s">
        <v>90</v>
      </c>
    </row>
    <row r="34" spans="9:10">
      <c r="I34" s="133" t="s">
        <v>113</v>
      </c>
      <c r="J34" s="133" t="s">
        <v>90</v>
      </c>
    </row>
    <row r="35" spans="9:10">
      <c r="I35" s="133" t="s">
        <v>165</v>
      </c>
      <c r="J35" s="133" t="s">
        <v>90</v>
      </c>
    </row>
    <row r="36" spans="9:10">
      <c r="I36" s="133" t="s">
        <v>114</v>
      </c>
      <c r="J36" s="133" t="s">
        <v>90</v>
      </c>
    </row>
    <row r="37" spans="9:10">
      <c r="I37" s="133" t="s">
        <v>115</v>
      </c>
      <c r="J37" s="133" t="s">
        <v>90</v>
      </c>
    </row>
    <row r="38" spans="9:10">
      <c r="I38" s="133" t="s">
        <v>169</v>
      </c>
      <c r="J38" s="133" t="s">
        <v>90</v>
      </c>
    </row>
    <row r="39" spans="9:10">
      <c r="I39" s="133" t="s">
        <v>116</v>
      </c>
      <c r="J39" s="133" t="s">
        <v>90</v>
      </c>
    </row>
    <row r="40" spans="9:10">
      <c r="I40" s="133" t="s">
        <v>117</v>
      </c>
      <c r="J40" s="133" t="s">
        <v>90</v>
      </c>
    </row>
    <row r="41" spans="9:10">
      <c r="I41" s="133" t="s">
        <v>118</v>
      </c>
      <c r="J41" s="133" t="s">
        <v>90</v>
      </c>
    </row>
    <row r="42" spans="9:10">
      <c r="I42" s="133" t="s">
        <v>119</v>
      </c>
      <c r="J42" s="133" t="s">
        <v>90</v>
      </c>
    </row>
    <row r="43" spans="9:10">
      <c r="I43" s="133" t="s">
        <v>120</v>
      </c>
      <c r="J43" s="133" t="s">
        <v>90</v>
      </c>
    </row>
    <row r="44" spans="9:10">
      <c r="I44" s="133" t="s">
        <v>121</v>
      </c>
      <c r="J44" s="133" t="s">
        <v>90</v>
      </c>
    </row>
    <row r="45" spans="9:10">
      <c r="I45" s="133" t="s">
        <v>176</v>
      </c>
      <c r="J45" s="133" t="s">
        <v>182</v>
      </c>
    </row>
    <row r="46" spans="9:10">
      <c r="I46" s="133" t="s">
        <v>177</v>
      </c>
      <c r="J46" s="133" t="s">
        <v>182</v>
      </c>
    </row>
    <row r="47" spans="9:10">
      <c r="I47" s="133" t="s">
        <v>178</v>
      </c>
      <c r="J47" s="133" t="s">
        <v>182</v>
      </c>
    </row>
    <row r="48" spans="9:10">
      <c r="I48" s="133" t="s">
        <v>179</v>
      </c>
      <c r="J48" s="133" t="s">
        <v>182</v>
      </c>
    </row>
    <row r="49" spans="9:10">
      <c r="I49" s="133" t="s">
        <v>180</v>
      </c>
      <c r="J49" s="133" t="s">
        <v>182</v>
      </c>
    </row>
    <row r="50" spans="9:10">
      <c r="I50" s="133" t="s">
        <v>181</v>
      </c>
      <c r="J50" s="133" t="s">
        <v>182</v>
      </c>
    </row>
    <row r="51" spans="9:10">
      <c r="J51" s="133" t="s">
        <v>182</v>
      </c>
    </row>
  </sheetData>
  <phoneticPr fontId="17"/>
  <printOptions gridLinesSet="0"/>
  <pageMargins left="0.75" right="0.75" top="1" bottom="1" header="0.5" footer="0.5"/>
  <headerFooter alignWithMargins="0">
    <oddHeader>&amp;A</oddHeader>
    <oddFooter>- &amp;P -</oddFooter>
  </headerFooter>
  <drawing r:id="rId1"/>
  <legacyDrawing r:id="rId2"/>
  <controls>
    <mc:AlternateContent xmlns:mc="http://schemas.openxmlformats.org/markup-compatibility/2006">
      <mc:Choice Requires="x14">
        <control shapeId="14337" r:id="rId3" name="btnPath">
          <controlPr autoLine="0" autoPict="0" r:id="rId4">
            <anchor moveWithCells="1">
              <from>
                <xdr:col>9</xdr:col>
                <xdr:colOff>31750</xdr:colOff>
                <xdr:row>1</xdr:row>
                <xdr:rowOff>228600</xdr:rowOff>
              </from>
              <to>
                <xdr:col>10</xdr:col>
                <xdr:colOff>0</xdr:colOff>
                <xdr:row>3</xdr:row>
                <xdr:rowOff>0</xdr:rowOff>
              </to>
            </anchor>
          </controlPr>
        </control>
      </mc:Choice>
      <mc:Fallback>
        <control shapeId="14337" r:id="rId3" name="btnPath"/>
      </mc:Fallback>
    </mc:AlternateContent>
    <mc:AlternateContent xmlns:mc="http://schemas.openxmlformats.org/markup-compatibility/2006">
      <mc:Choice Requires="x14">
        <control shapeId="14338" r:id="rId5" name="btnCreate">
          <controlPr autoLine="0" r:id="rId6">
            <anchor moveWithCells="1">
              <from>
                <xdr:col>8</xdr:col>
                <xdr:colOff>38100</xdr:colOff>
                <xdr:row>3</xdr:row>
                <xdr:rowOff>31750</xdr:rowOff>
              </from>
              <to>
                <xdr:col>8</xdr:col>
                <xdr:colOff>952500</xdr:colOff>
                <xdr:row>4</xdr:row>
                <xdr:rowOff>114300</xdr:rowOff>
              </to>
            </anchor>
          </controlPr>
        </control>
      </mc:Choice>
      <mc:Fallback>
        <control shapeId="14338" r:id="rId5" name="btnCreate"/>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U1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5" customHeight="1">
      <c r="A2" s="39"/>
      <c r="B2" s="100" t="s">
        <v>64</v>
      </c>
      <c r="C2" s="5"/>
      <c r="D2" s="5"/>
      <c r="E2" s="5"/>
      <c r="F2" s="5"/>
      <c r="G2" s="6"/>
      <c r="H2" s="7"/>
      <c r="I2" s="8"/>
      <c r="J2" s="177"/>
      <c r="K2" s="178"/>
      <c r="L2" s="177"/>
      <c r="M2" s="178"/>
      <c r="N2" s="52"/>
      <c r="O2" s="209"/>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5" customHeight="1">
      <c r="A4" s="41"/>
      <c r="B4" s="36" t="s">
        <v>3</v>
      </c>
      <c r="C4" s="5"/>
      <c r="D4" s="5"/>
      <c r="E4" s="5"/>
      <c r="F4" s="5"/>
      <c r="G4" s="6"/>
      <c r="H4" s="10"/>
      <c r="I4" s="144"/>
      <c r="J4" s="181"/>
      <c r="K4" s="182"/>
      <c r="L4" s="173"/>
      <c r="M4" s="174"/>
      <c r="N4" s="52"/>
      <c r="O4" s="188"/>
      <c r="P4" s="189"/>
      <c r="Q4" s="189"/>
      <c r="R4" s="189"/>
      <c r="S4" s="189"/>
      <c r="T4" s="189"/>
      <c r="U4" s="190"/>
    </row>
    <row r="5" spans="1:21" ht="14.5" customHeight="1" thickBot="1">
      <c r="A5" s="42"/>
      <c r="B5" s="11"/>
      <c r="C5" s="11"/>
      <c r="D5" s="11"/>
      <c r="E5" s="11"/>
      <c r="F5" s="11"/>
      <c r="G5" s="12"/>
      <c r="H5" s="13"/>
      <c r="I5" s="14"/>
      <c r="J5" s="183"/>
      <c r="K5" s="184"/>
      <c r="L5" s="179"/>
      <c r="M5" s="180"/>
      <c r="N5" s="53"/>
      <c r="O5" s="215"/>
      <c r="P5" s="189"/>
      <c r="Q5" s="189"/>
      <c r="R5" s="189"/>
      <c r="S5" s="189"/>
      <c r="T5" s="189"/>
      <c r="U5" s="190"/>
    </row>
    <row r="6" spans="1:21" ht="1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c r="F7" s="217"/>
      <c r="G7" s="217"/>
      <c r="H7" s="218"/>
      <c r="I7" s="61" t="s">
        <v>28</v>
      </c>
      <c r="J7" s="27"/>
      <c r="K7" s="234" t="s">
        <v>34</v>
      </c>
      <c r="L7" s="235"/>
      <c r="M7" s="236"/>
      <c r="N7" s="92">
        <f>COUNTIF(H14:H14,"LONG")+COUNTIF(H14:H14,"LONG RAW")</f>
        <v>0</v>
      </c>
      <c r="O7" s="188"/>
      <c r="P7" s="189"/>
      <c r="Q7" s="189"/>
      <c r="R7" s="189"/>
      <c r="S7" s="189"/>
      <c r="T7" s="189"/>
      <c r="U7" s="190"/>
    </row>
    <row r="8" spans="1:21" ht="14.5" customHeight="1">
      <c r="A8" s="45"/>
      <c r="B8" s="22" t="s">
        <v>7</v>
      </c>
      <c r="C8" s="22"/>
      <c r="D8" s="23"/>
      <c r="E8" s="216"/>
      <c r="F8" s="217"/>
      <c r="G8" s="217"/>
      <c r="H8" s="218"/>
      <c r="I8" s="62"/>
      <c r="J8" s="27"/>
      <c r="K8" s="225"/>
      <c r="L8" s="226"/>
      <c r="M8" s="227"/>
      <c r="N8" s="92"/>
      <c r="O8" s="188"/>
      <c r="P8" s="189"/>
      <c r="Q8" s="189"/>
      <c r="R8" s="189"/>
      <c r="S8" s="189"/>
      <c r="T8" s="189"/>
      <c r="U8" s="190"/>
    </row>
    <row r="9" spans="1:21" ht="14.5" customHeight="1">
      <c r="A9" s="45"/>
      <c r="B9" s="22" t="s">
        <v>8</v>
      </c>
      <c r="C9" s="22"/>
      <c r="D9" s="23"/>
      <c r="E9" s="219" t="s">
        <v>68</v>
      </c>
      <c r="F9" s="220"/>
      <c r="G9" s="220"/>
      <c r="H9" s="221"/>
      <c r="I9" s="61" t="s">
        <v>9</v>
      </c>
      <c r="J9" s="27"/>
      <c r="K9" s="86"/>
      <c r="L9" s="88">
        <f>SUM(N14:N14)</f>
        <v>0</v>
      </c>
      <c r="M9" s="82"/>
      <c r="N9" s="93">
        <f>SUMIF(M14:M14,"■",N14:N14)</f>
        <v>0</v>
      </c>
      <c r="O9" s="188"/>
      <c r="P9" s="189"/>
      <c r="Q9" s="189"/>
      <c r="R9" s="189"/>
      <c r="S9" s="189"/>
      <c r="T9" s="189"/>
      <c r="U9" s="190"/>
    </row>
    <row r="10" spans="1:21" ht="1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0</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32" t="s">
        <v>18</v>
      </c>
      <c r="K13" s="132" t="s">
        <v>19</v>
      </c>
      <c r="L13" s="98" t="s">
        <v>30</v>
      </c>
      <c r="M13" s="99" t="s">
        <v>20</v>
      </c>
      <c r="N13" s="106">
        <f>COUNTIF(M14:M14,"■")</f>
        <v>0</v>
      </c>
      <c r="O13" s="131" t="s">
        <v>31</v>
      </c>
      <c r="P13" s="200" t="s">
        <v>32</v>
      </c>
      <c r="Q13" s="201"/>
      <c r="R13" s="201"/>
      <c r="S13" s="201"/>
      <c r="T13" s="201"/>
      <c r="U13" s="202"/>
    </row>
    <row r="14" spans="1:21" ht="15.75" customHeight="1">
      <c r="A14" s="85"/>
      <c r="B14" s="37">
        <f>ROW()-13</f>
        <v>1</v>
      </c>
      <c r="C14" s="145" t="s">
        <v>84</v>
      </c>
      <c r="D14" s="80"/>
      <c r="E14" s="81"/>
      <c r="F14" s="146" t="s">
        <v>85</v>
      </c>
      <c r="G14" s="17"/>
      <c r="H14" s="18"/>
      <c r="I14" s="59"/>
      <c r="J14" s="19"/>
      <c r="K14" s="19"/>
      <c r="L14" s="50"/>
      <c r="M14" s="73" t="s">
        <v>21</v>
      </c>
      <c r="N14" s="54">
        <f t="shared" ref="N14" si="0">IF(H14="NUMBER",IF(J14&gt;0,INT((J14+1)/2+0.9),0),IF(H14="DATE",7,IF(OR(H14="LONG",H14="LONG RAW"),100000,J14)))</f>
        <v>0</v>
      </c>
      <c r="O14" s="170"/>
      <c r="P14" s="191"/>
      <c r="Q14" s="192"/>
      <c r="R14" s="192"/>
      <c r="S14" s="192"/>
      <c r="T14" s="192"/>
      <c r="U14" s="193"/>
    </row>
    <row r="15" spans="1:21" ht="13">
      <c r="C15" s="67"/>
      <c r="D15" s="67"/>
      <c r="E15" s="67"/>
      <c r="F15" s="67"/>
      <c r="G15" s="67"/>
      <c r="H15" s="67"/>
      <c r="I15" s="67"/>
      <c r="J15" s="67"/>
      <c r="K15" s="67"/>
      <c r="L15" s="68"/>
      <c r="M15" s="67"/>
    </row>
  </sheetData>
  <mergeCells count="31">
    <mergeCell ref="O5:U5"/>
    <mergeCell ref="O1:U1"/>
    <mergeCell ref="O2:U2"/>
    <mergeCell ref="O3:U3"/>
    <mergeCell ref="L4:M4"/>
    <mergeCell ref="O4:U4"/>
    <mergeCell ref="E10:H10"/>
    <mergeCell ref="O10:U10"/>
    <mergeCell ref="E6:H6"/>
    <mergeCell ref="K6:M6"/>
    <mergeCell ref="O6:U6"/>
    <mergeCell ref="E7:H7"/>
    <mergeCell ref="K7:M7"/>
    <mergeCell ref="O7:U7"/>
    <mergeCell ref="E8:H8"/>
    <mergeCell ref="K8:M8"/>
    <mergeCell ref="O8:U8"/>
    <mergeCell ref="E9:H9"/>
    <mergeCell ref="O9:U9"/>
    <mergeCell ref="E11:H11"/>
    <mergeCell ref="O11:U11"/>
    <mergeCell ref="O12:U12"/>
    <mergeCell ref="P13:U13"/>
    <mergeCell ref="P14:U14"/>
    <mergeCell ref="J5:K5"/>
    <mergeCell ref="L5:M5"/>
    <mergeCell ref="J2:K2"/>
    <mergeCell ref="L2:M2"/>
    <mergeCell ref="J3:K3"/>
    <mergeCell ref="L3:M3"/>
    <mergeCell ref="J4:K4"/>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Drop Down 1">
              <controlPr defaultSize="0" print="0" autoFill="0" autoLine="0" autoPict="0" macro="[0]!Type_Select">
                <anchor moveWithCells="1">
                  <from>
                    <xdr:col>7</xdr:col>
                    <xdr:colOff>184150</xdr:colOff>
                    <xdr:row>11</xdr:row>
                    <xdr:rowOff>12700</xdr:rowOff>
                  </from>
                  <to>
                    <xdr:col>8</xdr:col>
                    <xdr:colOff>565150</xdr:colOff>
                    <xdr:row>11</xdr:row>
                    <xdr:rowOff>190500</xdr:rowOff>
                  </to>
                </anchor>
              </controlPr>
            </control>
          </mc:Choice>
        </mc:AlternateContent>
        <mc:AlternateContent xmlns:mc="http://schemas.openxmlformats.org/markup-compatibility/2006">
          <mc:Choice Requires="x14">
            <control shapeId="15362" r:id="rId5" name="Button 2">
              <controlPr defaultSize="0" print="0" autoFill="0" autoLine="0" autoPict="0" macro="[0]!Index_Select">
                <anchor moveWithCells="1" sizeWithCells="1">
                  <from>
                    <xdr:col>12</xdr:col>
                    <xdr:colOff>50800</xdr:colOff>
                    <xdr:row>11</xdr:row>
                    <xdr:rowOff>12700</xdr:rowOff>
                  </from>
                  <to>
                    <xdr:col>12</xdr:col>
                    <xdr:colOff>431800</xdr:colOff>
                    <xdr:row>11</xdr:row>
                    <xdr:rowOff>184150</xdr:rowOff>
                  </to>
                </anchor>
              </controlPr>
            </control>
          </mc:Choice>
        </mc:AlternateContent>
        <mc:AlternateContent xmlns:mc="http://schemas.openxmlformats.org/markup-compatibility/2006">
          <mc:Choice Requires="x14">
            <control shapeId="15363" r:id="rId6" name="Button 3">
              <controlPr defaultSize="0" print="0" autoFill="0" autoLine="0" autoPict="0" macro="[0]!UKey_Select">
                <anchor moveWithCells="1" sizeWithCells="1">
                  <from>
                    <xdr:col>0</xdr:col>
                    <xdr:colOff>12700</xdr:colOff>
                    <xdr:row>11</xdr:row>
                    <xdr:rowOff>12700</xdr:rowOff>
                  </from>
                  <to>
                    <xdr:col>1</xdr:col>
                    <xdr:colOff>222250</xdr:colOff>
                    <xdr:row>12</xdr:row>
                    <xdr:rowOff>0</xdr:rowOff>
                  </to>
                </anchor>
              </controlPr>
            </control>
          </mc:Choice>
        </mc:AlternateContent>
        <mc:AlternateContent xmlns:mc="http://schemas.openxmlformats.org/markup-compatibility/2006">
          <mc:Choice Requires="x14">
            <control shapeId="15364" r:id="rId7" name="Button 4">
              <controlPr defaultSize="0" print="0" autoFill="0" autoLine="0" autoPict="0" macro="[0]!NotNull_Select">
                <anchor moveWithCells="1" sizeWithCells="1">
                  <from>
                    <xdr:col>10</xdr:col>
                    <xdr:colOff>323850</xdr:colOff>
                    <xdr:row>11</xdr:row>
                    <xdr:rowOff>12700</xdr:rowOff>
                  </from>
                  <to>
                    <xdr:col>12</xdr:col>
                    <xdr:colOff>31750</xdr:colOff>
                    <xdr:row>11</xdr:row>
                    <xdr:rowOff>184150</xdr:rowOff>
                  </to>
                </anchor>
              </controlPr>
            </control>
          </mc:Choice>
        </mc:AlternateContent>
        <mc:AlternateContent xmlns:mc="http://schemas.openxmlformats.org/markup-compatibility/2006">
          <mc:Choice Requires="x14">
            <control shapeId="15365" r:id="rId8" name="Button 5">
              <controlPr defaultSize="0" print="0" autoFill="0" autoLine="0" autoPict="0" macro="[0]!GYO_Insert">
                <anchor moveWithCells="1" sizeWithCells="1">
                  <from>
                    <xdr:col>2</xdr:col>
                    <xdr:colOff>165100</xdr:colOff>
                    <xdr:row>11</xdr:row>
                    <xdr:rowOff>12700</xdr:rowOff>
                  </from>
                  <to>
                    <xdr:col>3</xdr:col>
                    <xdr:colOff>114300</xdr:colOff>
                    <xdr:row>11</xdr:row>
                    <xdr:rowOff>184150</xdr:rowOff>
                  </to>
                </anchor>
              </controlPr>
            </control>
          </mc:Choice>
        </mc:AlternateContent>
        <mc:AlternateContent xmlns:mc="http://schemas.openxmlformats.org/markup-compatibility/2006">
          <mc:Choice Requires="x14">
            <control shapeId="15366" r:id="rId9" name="Button 6">
              <controlPr defaultSize="0" print="0" autoFill="0" autoLine="0" autoPict="0" macro="[0]!GYO_Delete">
                <anchor moveWithCells="1" sizeWithCells="1">
                  <from>
                    <xdr:col>3</xdr:col>
                    <xdr:colOff>374650</xdr:colOff>
                    <xdr:row>11</xdr:row>
                    <xdr:rowOff>12700</xdr:rowOff>
                  </from>
                  <to>
                    <xdr:col>4</xdr:col>
                    <xdr:colOff>190500</xdr:colOff>
                    <xdr:row>11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BA33584D-B9D6-497F-A01F-A328EAE452A7}">
            <xm:f>(AND(H14&lt;&gt;"",ISERROR(VLOOKUP(H14,system!$E:$E,1,FALSE))))</xm:f>
            <x14:dxf>
              <fill>
                <patternFill patternType="solid">
                  <bgColor rgb="FFFF0000"/>
                </patternFill>
              </fill>
            </x14:dxf>
          </x14:cfRule>
          <xm:sqref>H14</xm:sqref>
        </x14:conditionalFormatting>
        <x14:conditionalFormatting xmlns:xm="http://schemas.microsoft.com/office/excel/2006/main">
          <x14:cfRule type="expression" priority="1" id="{45A009D8-867F-4910-B1BF-BF2631EA4088}">
            <xm:f>(AND(H14&lt;&gt;"",ISERROR(VLOOKUP(H14,system!$E:$E,1,FALSE))))</xm:f>
            <x14:dxf>
              <fill>
                <patternFill>
                  <bgColor rgb="FFFF0000"/>
                </patternFill>
              </fill>
            </x14:dxf>
          </x14:cfRule>
          <xm:sqref>I14</xm:sqref>
        </x14:conditionalFormatting>
      </x14:conditionalFormatting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M11"/>
  <sheetViews>
    <sheetView showGridLines="0" zoomScaleNormal="100" workbookViewId="0">
      <pane ySplit="9" topLeftCell="A10" activePane="bottomLeft" state="frozen"/>
      <selection activeCell="A14" sqref="A14"/>
      <selection pane="bottomLeft" activeCell="A10" sqref="A10"/>
    </sheetView>
  </sheetViews>
  <sheetFormatPr defaultColWidth="9" defaultRowHeight="12"/>
  <cols>
    <col min="1" max="1" width="5" style="4" customWidth="1"/>
    <col min="2" max="3" width="28.7265625" style="4" customWidth="1"/>
    <col min="4" max="4" width="13.7265625" style="4" customWidth="1"/>
    <col min="5" max="6" width="10" style="4" customWidth="1"/>
    <col min="7" max="7" width="10" style="16" customWidth="1"/>
    <col min="8" max="8" width="8.984375E-2" style="58" customWidth="1"/>
    <col min="9" max="9" width="35" style="4" customWidth="1"/>
    <col min="10" max="10" width="8.6328125" style="4" customWidth="1"/>
    <col min="11" max="11" width="10.08984375" style="4" customWidth="1"/>
    <col min="12" max="12" width="8.6328125" style="4" customWidth="1"/>
    <col min="13" max="13" width="43.36328125" style="4" customWidth="1"/>
    <col min="14" max="16384" width="9" style="4"/>
  </cols>
  <sheetData>
    <row r="1" spans="1:13" ht="17.25" customHeight="1" thickBot="1">
      <c r="A1" s="1"/>
      <c r="B1" s="1"/>
      <c r="C1" s="1"/>
      <c r="D1" s="2"/>
      <c r="E1" s="33" t="s">
        <v>0</v>
      </c>
      <c r="F1" s="34" t="s">
        <v>1</v>
      </c>
      <c r="G1" s="155" t="s">
        <v>2</v>
      </c>
      <c r="H1" s="154"/>
    </row>
    <row r="2" spans="1:13" ht="14.5" customHeight="1">
      <c r="A2" s="244" t="s">
        <v>127</v>
      </c>
      <c r="B2" s="244"/>
      <c r="C2" s="244"/>
      <c r="D2" s="245"/>
      <c r="E2" s="8"/>
      <c r="F2" s="152"/>
      <c r="G2" s="156"/>
      <c r="H2" s="52"/>
    </row>
    <row r="3" spans="1:13" ht="14.25" customHeight="1">
      <c r="A3" s="35"/>
      <c r="B3" s="5"/>
      <c r="C3" s="5"/>
      <c r="D3" s="9"/>
      <c r="E3" s="143"/>
      <c r="F3" s="130"/>
      <c r="G3" s="157"/>
      <c r="H3" s="52"/>
    </row>
    <row r="4" spans="1:13" ht="14.5" customHeight="1">
      <c r="A4" s="246" t="s">
        <v>3</v>
      </c>
      <c r="B4" s="246"/>
      <c r="C4" s="246"/>
      <c r="D4" s="247"/>
      <c r="E4" s="144"/>
      <c r="F4" s="130"/>
      <c r="G4" s="158"/>
      <c r="H4" s="52"/>
    </row>
    <row r="5" spans="1:13" ht="14.5" customHeight="1" thickBot="1">
      <c r="A5" s="11"/>
      <c r="B5" s="153"/>
      <c r="C5" s="153"/>
      <c r="D5" s="9"/>
      <c r="E5" s="14"/>
      <c r="F5" s="15"/>
      <c r="G5" s="159"/>
      <c r="H5" s="53"/>
    </row>
    <row r="6" spans="1:13" ht="14.5" customHeight="1">
      <c r="A6" s="160" t="s">
        <v>4</v>
      </c>
      <c r="B6" s="60"/>
      <c r="C6" s="240" t="s">
        <v>65</v>
      </c>
      <c r="D6" s="240"/>
      <c r="E6" s="240"/>
      <c r="F6" s="240"/>
      <c r="G6" s="241"/>
      <c r="H6" s="151"/>
      <c r="I6" s="151"/>
    </row>
    <row r="7" spans="1:13" ht="15.75" customHeight="1" thickBot="1">
      <c r="A7" s="161" t="s">
        <v>126</v>
      </c>
      <c r="B7" s="103"/>
      <c r="C7" s="242"/>
      <c r="D7" s="242"/>
      <c r="E7" s="242"/>
      <c r="F7" s="242"/>
      <c r="G7" s="243"/>
      <c r="H7" s="151"/>
      <c r="I7" s="151"/>
    </row>
    <row r="8" spans="1:13" ht="7.5" customHeight="1" thickBot="1">
      <c r="A8" s="151"/>
      <c r="B8" s="151"/>
      <c r="C8" s="151"/>
      <c r="D8" s="151"/>
      <c r="E8" s="151"/>
      <c r="F8" s="151"/>
      <c r="G8" s="151"/>
      <c r="H8" s="151"/>
      <c r="I8" s="151"/>
      <c r="J8" s="151"/>
      <c r="K8" s="151"/>
      <c r="L8" s="151"/>
      <c r="M8" s="151"/>
    </row>
    <row r="9" spans="1:13" ht="32.25" customHeight="1">
      <c r="A9" s="163" t="s">
        <v>128</v>
      </c>
      <c r="B9" s="101" t="s">
        <v>123</v>
      </c>
      <c r="C9" s="60" t="s">
        <v>124</v>
      </c>
      <c r="D9" s="60" t="s">
        <v>125</v>
      </c>
      <c r="E9" s="248" t="s">
        <v>129</v>
      </c>
      <c r="F9" s="249"/>
      <c r="G9" s="249"/>
      <c r="H9" s="249"/>
      <c r="I9" s="250"/>
    </row>
    <row r="10" spans="1:13" ht="15.75" customHeight="1">
      <c r="A10" s="162">
        <f>ROW()-9</f>
        <v>1</v>
      </c>
      <c r="B10" s="145" t="s">
        <v>84</v>
      </c>
      <c r="C10" s="150" t="s">
        <v>85</v>
      </c>
      <c r="D10" s="169"/>
      <c r="E10" s="237"/>
      <c r="F10" s="238"/>
      <c r="G10" s="238"/>
      <c r="H10" s="238"/>
      <c r="I10" s="239"/>
    </row>
    <row r="11" spans="1:13" ht="13">
      <c r="B11" s="67"/>
      <c r="C11" s="67"/>
      <c r="D11" s="67"/>
      <c r="E11" s="67"/>
      <c r="F11" s="67"/>
      <c r="G11" s="68"/>
    </row>
  </sheetData>
  <mergeCells count="6">
    <mergeCell ref="E10:I10"/>
    <mergeCell ref="C6:G6"/>
    <mergeCell ref="C7:G7"/>
    <mergeCell ref="A2:D2"/>
    <mergeCell ref="A4:D4"/>
    <mergeCell ref="E9:I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legacy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U12"/>
  <sheetViews>
    <sheetView showGridLines="0" zoomScale="120" zoomScaleNormal="120" workbookViewId="0">
      <pane ySplit="1" topLeftCell="A2" activePane="bottomLeft" state="frozen"/>
      <selection activeCell="A14" sqref="A14"/>
      <selection pane="bottomLeft" activeCell="B2" sqref="B2"/>
    </sheetView>
  </sheetViews>
  <sheetFormatPr defaultColWidth="9" defaultRowHeight="12.5"/>
  <cols>
    <col min="1" max="1" width="2.7265625" style="47" customWidth="1"/>
    <col min="2" max="2" width="3.26953125" style="4" customWidth="1"/>
    <col min="3" max="4" width="9" style="4"/>
    <col min="5" max="5" width="5.453125" style="4" customWidth="1"/>
    <col min="6" max="6" width="8.7265625" style="4" customWidth="1"/>
    <col min="7" max="7" width="19.6328125" style="4" customWidth="1"/>
    <col min="8" max="8" width="6.26953125" style="4" customWidth="1"/>
    <col min="9" max="9" width="10" style="4" customWidth="1"/>
    <col min="10" max="10" width="6.36328125" style="4" customWidth="1"/>
    <col min="11" max="11" width="4.90625" style="4" customWidth="1"/>
    <col min="12" max="12" width="5.6328125" style="16" customWidth="1"/>
    <col min="13" max="13" width="6.36328125" style="4" customWidth="1"/>
    <col min="14" max="14" width="8.984375E-2" style="58" customWidth="1"/>
    <col min="15" max="15" width="7" style="4" customWidth="1"/>
    <col min="16" max="16" width="8.6328125" style="4" customWidth="1"/>
    <col min="17" max="17" width="15.6328125" style="4" customWidth="1"/>
    <col min="18" max="18" width="8.6328125" style="4" customWidth="1"/>
    <col min="19" max="19" width="10.08984375" style="4" customWidth="1"/>
    <col min="20" max="20" width="8.6328125" style="4" customWidth="1"/>
    <col min="21" max="21" width="43.36328125" style="4" customWidth="1"/>
    <col min="22" max="16384" width="9" style="4"/>
  </cols>
  <sheetData>
    <row r="1" spans="1:21" ht="32.25" customHeight="1" thickBot="1">
      <c r="A1" s="105" t="s">
        <v>14</v>
      </c>
      <c r="B1" s="94"/>
      <c r="C1" s="95" t="s">
        <v>15</v>
      </c>
      <c r="D1" s="72"/>
      <c r="E1" s="71"/>
      <c r="F1" s="72" t="s">
        <v>16</v>
      </c>
      <c r="G1" s="71"/>
      <c r="H1" s="72" t="s">
        <v>17</v>
      </c>
      <c r="I1" s="71"/>
      <c r="J1" s="132" t="s">
        <v>18</v>
      </c>
      <c r="K1" s="132" t="s">
        <v>19</v>
      </c>
      <c r="L1" s="98" t="s">
        <v>30</v>
      </c>
      <c r="M1" s="99" t="s">
        <v>20</v>
      </c>
      <c r="N1" s="106">
        <f>COUNTIF(M2:M10,"■")</f>
        <v>0</v>
      </c>
      <c r="O1" s="131" t="s">
        <v>31</v>
      </c>
      <c r="P1" s="200" t="s">
        <v>32</v>
      </c>
      <c r="Q1" s="201"/>
      <c r="R1" s="201"/>
      <c r="S1" s="201"/>
      <c r="T1" s="201"/>
      <c r="U1" s="202"/>
    </row>
    <row r="2" spans="1:21" ht="15.75" customHeight="1">
      <c r="A2" s="85"/>
      <c r="B2" s="37">
        <f>ROW()-13</f>
        <v>-11</v>
      </c>
      <c r="C2" s="145" t="s">
        <v>84</v>
      </c>
      <c r="D2" s="80"/>
      <c r="E2" s="81"/>
      <c r="F2" s="146" t="s">
        <v>85</v>
      </c>
      <c r="G2" s="17"/>
      <c r="H2" s="18"/>
      <c r="I2" s="59"/>
      <c r="J2" s="19"/>
      <c r="K2" s="19"/>
      <c r="L2" s="50"/>
      <c r="M2" s="73" t="s">
        <v>21</v>
      </c>
      <c r="N2" s="54">
        <f t="shared" ref="N2" si="0">IF(H2="NUMBER",IF(J2&gt;0,INT((J2+1)/2+0.9),0),IF(H2="DATE",7,IF(OR(H2="LONG",H2="LONG RAW"),100000,J2)))</f>
        <v>0</v>
      </c>
      <c r="O2" s="170"/>
      <c r="P2" s="191"/>
      <c r="Q2" s="192"/>
      <c r="R2" s="192"/>
      <c r="S2" s="192"/>
      <c r="T2" s="192"/>
      <c r="U2" s="193"/>
    </row>
    <row r="3" spans="1:21" ht="15.75" customHeight="1">
      <c r="A3" s="85"/>
      <c r="B3" s="37">
        <f t="shared" ref="B3:B9" si="1">ROW()-13</f>
        <v>-10</v>
      </c>
      <c r="C3" s="107" t="s">
        <v>36</v>
      </c>
      <c r="D3" s="107"/>
      <c r="E3" s="108"/>
      <c r="F3" s="109" t="s">
        <v>78</v>
      </c>
      <c r="G3" s="110"/>
      <c r="H3" s="18" t="s">
        <v>51</v>
      </c>
      <c r="I3" s="59"/>
      <c r="J3" s="113">
        <v>12</v>
      </c>
      <c r="K3" s="113"/>
      <c r="L3" s="114"/>
      <c r="M3" s="115" t="s">
        <v>35</v>
      </c>
      <c r="N3" s="116">
        <f t="shared" ref="N3:N9" si="2">IF(H3="NUMBER",IF(J3&gt;0,INT((J3+1)/2+0.9),0),IF(H3="DATE",7,IF(OR(H3="LONG",H3="LONG RAW"),100000,J3)))</f>
        <v>12</v>
      </c>
      <c r="O3" s="171"/>
      <c r="P3" s="197"/>
      <c r="Q3" s="198"/>
      <c r="R3" s="198"/>
      <c r="S3" s="198"/>
      <c r="T3" s="198"/>
      <c r="U3" s="199"/>
    </row>
    <row r="4" spans="1:21" ht="15.75" customHeight="1">
      <c r="A4" s="85"/>
      <c r="B4" s="37">
        <f t="shared" si="1"/>
        <v>-9</v>
      </c>
      <c r="C4" s="107" t="s">
        <v>37</v>
      </c>
      <c r="D4" s="107"/>
      <c r="E4" s="108"/>
      <c r="F4" s="109" t="s">
        <v>43</v>
      </c>
      <c r="G4" s="110"/>
      <c r="H4" s="18" t="s">
        <v>51</v>
      </c>
      <c r="I4" s="59"/>
      <c r="J4" s="113">
        <v>10</v>
      </c>
      <c r="K4" s="113"/>
      <c r="L4" s="114"/>
      <c r="M4" s="115" t="s">
        <v>21</v>
      </c>
      <c r="N4" s="116">
        <f t="shared" si="2"/>
        <v>10</v>
      </c>
      <c r="O4" s="171"/>
      <c r="P4" s="197"/>
      <c r="Q4" s="198"/>
      <c r="R4" s="198"/>
      <c r="S4" s="198"/>
      <c r="T4" s="198"/>
      <c r="U4" s="199"/>
    </row>
    <row r="5" spans="1:21" ht="15.75" customHeight="1">
      <c r="A5" s="85"/>
      <c r="B5" s="37">
        <f t="shared" si="1"/>
        <v>-8</v>
      </c>
      <c r="C5" s="107" t="s">
        <v>38</v>
      </c>
      <c r="D5" s="107"/>
      <c r="E5" s="108"/>
      <c r="F5" s="109" t="s">
        <v>80</v>
      </c>
      <c r="G5" s="110"/>
      <c r="H5" s="18" t="s">
        <v>86</v>
      </c>
      <c r="I5" s="59"/>
      <c r="J5" s="113"/>
      <c r="K5" s="113"/>
      <c r="L5" s="114"/>
      <c r="M5" s="115" t="s">
        <v>21</v>
      </c>
      <c r="N5" s="116">
        <f t="shared" si="2"/>
        <v>0</v>
      </c>
      <c r="O5" s="171"/>
      <c r="P5" s="197"/>
      <c r="Q5" s="198"/>
      <c r="R5" s="198"/>
      <c r="S5" s="198"/>
      <c r="T5" s="198"/>
      <c r="U5" s="199"/>
    </row>
    <row r="6" spans="1:21" ht="15.75" customHeight="1">
      <c r="A6" s="85"/>
      <c r="B6" s="37">
        <f t="shared" si="1"/>
        <v>-7</v>
      </c>
      <c r="C6" s="107" t="s">
        <v>39</v>
      </c>
      <c r="D6" s="107"/>
      <c r="E6" s="108"/>
      <c r="F6" s="109" t="s">
        <v>79</v>
      </c>
      <c r="G6" s="110"/>
      <c r="H6" s="18" t="s">
        <v>51</v>
      </c>
      <c r="I6" s="59"/>
      <c r="J6" s="113">
        <v>12</v>
      </c>
      <c r="K6" s="113"/>
      <c r="L6" s="114"/>
      <c r="M6" s="115" t="s">
        <v>35</v>
      </c>
      <c r="N6" s="116">
        <f t="shared" si="2"/>
        <v>12</v>
      </c>
      <c r="O6" s="171"/>
      <c r="P6" s="197"/>
      <c r="Q6" s="198"/>
      <c r="R6" s="198"/>
      <c r="S6" s="198"/>
      <c r="T6" s="198"/>
      <c r="U6" s="199"/>
    </row>
    <row r="7" spans="1:21" ht="15.75" customHeight="1">
      <c r="A7" s="85"/>
      <c r="B7" s="37">
        <f t="shared" si="1"/>
        <v>-6</v>
      </c>
      <c r="C7" s="107" t="s">
        <v>40</v>
      </c>
      <c r="D7" s="107"/>
      <c r="E7" s="108"/>
      <c r="F7" s="109" t="s">
        <v>44</v>
      </c>
      <c r="G7" s="110"/>
      <c r="H7" s="18" t="s">
        <v>51</v>
      </c>
      <c r="I7" s="59"/>
      <c r="J7" s="113">
        <v>10</v>
      </c>
      <c r="K7" s="113"/>
      <c r="L7" s="114"/>
      <c r="M7" s="115" t="s">
        <v>21</v>
      </c>
      <c r="N7" s="116">
        <f t="shared" si="2"/>
        <v>10</v>
      </c>
      <c r="O7" s="171"/>
      <c r="P7" s="197"/>
      <c r="Q7" s="198"/>
      <c r="R7" s="198"/>
      <c r="S7" s="198"/>
      <c r="T7" s="198"/>
      <c r="U7" s="199"/>
    </row>
    <row r="8" spans="1:21" ht="15.75" customHeight="1">
      <c r="A8" s="85"/>
      <c r="B8" s="37">
        <f t="shared" si="1"/>
        <v>-5</v>
      </c>
      <c r="C8" s="107" t="s">
        <v>41</v>
      </c>
      <c r="D8" s="107"/>
      <c r="E8" s="108"/>
      <c r="F8" s="109" t="s">
        <v>81</v>
      </c>
      <c r="G8" s="110"/>
      <c r="H8" s="18" t="s">
        <v>86</v>
      </c>
      <c r="I8" s="59"/>
      <c r="J8" s="113"/>
      <c r="K8" s="113"/>
      <c r="L8" s="114"/>
      <c r="M8" s="115" t="s">
        <v>21</v>
      </c>
      <c r="N8" s="116">
        <f t="shared" si="2"/>
        <v>0</v>
      </c>
      <c r="O8" s="171"/>
      <c r="P8" s="197"/>
      <c r="Q8" s="198"/>
      <c r="R8" s="198"/>
      <c r="S8" s="198"/>
      <c r="T8" s="198"/>
      <c r="U8" s="199"/>
    </row>
    <row r="9" spans="1:21" ht="15.75" customHeight="1">
      <c r="A9" s="85"/>
      <c r="B9" s="37">
        <f t="shared" si="1"/>
        <v>-4</v>
      </c>
      <c r="C9" s="80" t="s">
        <v>46</v>
      </c>
      <c r="D9" s="80"/>
      <c r="E9" s="81"/>
      <c r="F9" s="84" t="s">
        <v>71</v>
      </c>
      <c r="G9" s="17"/>
      <c r="H9" s="18" t="s">
        <v>62</v>
      </c>
      <c r="I9" s="59"/>
      <c r="J9" s="19">
        <v>8</v>
      </c>
      <c r="K9" s="19"/>
      <c r="L9" s="50" t="s">
        <v>47</v>
      </c>
      <c r="M9" s="73" t="s">
        <v>35</v>
      </c>
      <c r="N9" s="54">
        <f t="shared" si="2"/>
        <v>8</v>
      </c>
      <c r="O9" s="170">
        <v>0</v>
      </c>
      <c r="P9" s="191" t="s">
        <v>48</v>
      </c>
      <c r="Q9" s="192"/>
      <c r="R9" s="192"/>
      <c r="S9" s="192"/>
      <c r="T9" s="192"/>
      <c r="U9" s="193"/>
    </row>
    <row r="10" spans="1:21" ht="16" thickBot="1">
      <c r="A10" s="118"/>
      <c r="B10" s="119"/>
      <c r="C10" s="120"/>
      <c r="D10" s="120"/>
      <c r="E10" s="121"/>
      <c r="F10" s="129"/>
      <c r="G10" s="122"/>
      <c r="H10" s="147"/>
      <c r="I10" s="148"/>
      <c r="J10" s="125"/>
      <c r="K10" s="125"/>
      <c r="L10" s="126"/>
      <c r="M10" s="126"/>
      <c r="N10" s="127"/>
      <c r="O10" s="172"/>
      <c r="P10" s="194"/>
      <c r="Q10" s="195"/>
      <c r="R10" s="195"/>
      <c r="S10" s="195"/>
      <c r="T10" s="195"/>
      <c r="U10" s="196"/>
    </row>
    <row r="11" spans="1:21" ht="15" customHeight="1">
      <c r="A11" s="69"/>
      <c r="B11" s="70"/>
      <c r="C11" s="74"/>
      <c r="D11" s="74"/>
      <c r="E11" s="74"/>
      <c r="F11" s="74"/>
      <c r="G11" s="75"/>
      <c r="H11" s="76"/>
      <c r="I11" s="76"/>
      <c r="J11" s="77"/>
      <c r="K11" s="77"/>
      <c r="L11" s="78"/>
      <c r="M11" s="79"/>
      <c r="N11" s="52"/>
    </row>
    <row r="12" spans="1:21" ht="13">
      <c r="C12" s="67"/>
      <c r="D12" s="67"/>
      <c r="E12" s="67"/>
      <c r="F12" s="67"/>
      <c r="G12" s="67"/>
      <c r="H12" s="67"/>
      <c r="I12" s="67"/>
      <c r="J12" s="67"/>
      <c r="K12" s="67"/>
      <c r="L12" s="68"/>
      <c r="M12" s="67"/>
    </row>
  </sheetData>
  <mergeCells count="10">
    <mergeCell ref="P10:U10"/>
    <mergeCell ref="P1:U1"/>
    <mergeCell ref="P2:U2"/>
    <mergeCell ref="P3:U3"/>
    <mergeCell ref="P4:U4"/>
    <mergeCell ref="P5:U5"/>
    <mergeCell ref="P6:U6"/>
    <mergeCell ref="P7:U7"/>
    <mergeCell ref="P8:U8"/>
    <mergeCell ref="P9:U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extLst>
    <ext xmlns:x14="http://schemas.microsoft.com/office/spreadsheetml/2009/9/main" uri="{78C0D931-6437-407d-A8EE-F0AAD7539E65}">
      <x14:conditionalFormattings>
        <x14:conditionalFormatting xmlns:xm="http://schemas.microsoft.com/office/excel/2006/main">
          <x14:cfRule type="expression" priority="4" id="{F035184A-C1E8-4AB7-AD0E-535608644B21}">
            <xm:f>(AND(H2&lt;&gt;"",ISERROR(VLOOKUP(H2,system!$E:$E,1,FALSE))))</xm:f>
            <x14:dxf>
              <fill>
                <patternFill patternType="solid">
                  <bgColor rgb="FFFF0000"/>
                </patternFill>
              </fill>
            </x14:dxf>
          </x14:cfRule>
          <xm:sqref>H2:H10</xm:sqref>
        </x14:conditionalFormatting>
        <x14:conditionalFormatting xmlns:xm="http://schemas.microsoft.com/office/excel/2006/main">
          <x14:cfRule type="expression" priority="3" id="{C1BED7A7-081D-43E1-BBA2-52A1BA2CDE09}">
            <xm:f>(AND(H2&lt;&gt;"",ISERROR(VLOOKUP(H2,system!$E:$E,1,FALSE))))</xm:f>
            <x14:dxf>
              <fill>
                <patternFill>
                  <bgColor rgb="FFFF0000"/>
                </patternFill>
              </fill>
            </x14:dxf>
          </x14:cfRule>
          <xm:sqref>I2:I10</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5B3AFDF1A27EF4448B30400A700269C9" ma:contentTypeVersion="7" ma:contentTypeDescription="新しいドキュメントを作成します。" ma:contentTypeScope="" ma:versionID="af1e50296a73b747a155d4c5a148cd8b">
  <xsd:schema xmlns:xsd="http://www.w3.org/2001/XMLSchema" xmlns:xs="http://www.w3.org/2001/XMLSchema" xmlns:p="http://schemas.microsoft.com/office/2006/metadata/properties" xmlns:ns2="72c70d25-b9e8-475b-ae7b-39931ca24b85" targetNamespace="http://schemas.microsoft.com/office/2006/metadata/properties" ma:root="true" ma:fieldsID="d7c374c4e1cfeff0cf58497e8c642c22" ns2:_="">
    <xsd:import namespace="72c70d25-b9e8-475b-ae7b-39931ca24b8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c70d25-b9e8-475b-ae7b-39931ca24b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D2215C6-1332-4811-943D-4FA1EA66A5C0}"/>
</file>

<file path=customXml/itemProps2.xml><?xml version="1.0" encoding="utf-8"?>
<ds:datastoreItem xmlns:ds="http://schemas.openxmlformats.org/officeDocument/2006/customXml" ds:itemID="{212A1C7E-0C91-4B5D-A0F1-35389B88122D}"/>
</file>

<file path=customXml/itemProps3.xml><?xml version="1.0" encoding="utf-8"?>
<ds:datastoreItem xmlns:ds="http://schemas.openxmlformats.org/officeDocument/2006/customXml" ds:itemID="{681E33E6-FF67-4C54-A84A-5C6134CEA14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50</vt:i4>
      </vt:variant>
      <vt:variant>
        <vt:lpstr>名前付き一覧</vt:lpstr>
      </vt:variant>
      <vt:variant>
        <vt:i4>98</vt:i4>
      </vt:variant>
    </vt:vector>
  </HeadingPairs>
  <TitlesOfParts>
    <vt:vector size="148" baseType="lpstr">
      <vt:lpstr>テーブル一覧</vt:lpstr>
      <vt:lpstr>作業計画データ</vt:lpstr>
      <vt:lpstr>作業計画準備データ</vt:lpstr>
      <vt:lpstr>実績数量</vt:lpstr>
      <vt:lpstr>作業指示明細データ</vt:lpstr>
      <vt:lpstr>投入指示データ</vt:lpstr>
      <vt:lpstr>実績管理データ</vt:lpstr>
      <vt:lpstr>実績登録データ</vt:lpstr>
      <vt:lpstr>個体ＮＯ管理データ</vt:lpstr>
      <vt:lpstr>付帯作業データ</vt:lpstr>
      <vt:lpstr>投入順序実績</vt:lpstr>
      <vt:lpstr>梱包指示データ</vt:lpstr>
      <vt:lpstr>梱包実績データ</vt:lpstr>
      <vt:lpstr>在庫データ</vt:lpstr>
      <vt:lpstr>受払データ</vt:lpstr>
      <vt:lpstr>順列納入指示データ</vt:lpstr>
      <vt:lpstr>非順列納入指示データ</vt:lpstr>
      <vt:lpstr>シミュレーションヘッダ</vt:lpstr>
      <vt:lpstr>シミュレーションデータ</vt:lpstr>
      <vt:lpstr>シミュレーション組立順序</vt:lpstr>
      <vt:lpstr>生産品名マスタ</vt:lpstr>
      <vt:lpstr>組立品構成マスタ</vt:lpstr>
      <vt:lpstr>資材マスタ</vt:lpstr>
      <vt:lpstr>使用資材</vt:lpstr>
      <vt:lpstr>生産製品マスタ</vt:lpstr>
      <vt:lpstr>車種マスタ</vt:lpstr>
      <vt:lpstr>設備マスタ</vt:lpstr>
      <vt:lpstr>工程マスタ</vt:lpstr>
      <vt:lpstr>標準通過工程マスタ</vt:lpstr>
      <vt:lpstr>工程グループマスタ</vt:lpstr>
      <vt:lpstr>区分標準通過工程</vt:lpstr>
      <vt:lpstr>通過工程間チェック</vt:lpstr>
      <vt:lpstr>投入指示作成</vt:lpstr>
      <vt:lpstr>判定理由マスタ</vt:lpstr>
      <vt:lpstr>コードマスタ</vt:lpstr>
      <vt:lpstr>社員マスタ</vt:lpstr>
      <vt:lpstr>稼働日マスタ</vt:lpstr>
      <vt:lpstr>休憩時間マスタ</vt:lpstr>
      <vt:lpstr>事業所マスタ</vt:lpstr>
      <vt:lpstr>品種マスタ</vt:lpstr>
      <vt:lpstr>パスワードマスタ</vt:lpstr>
      <vt:lpstr>ＩＰアドレス管理マスタ</vt:lpstr>
      <vt:lpstr>採番マスタ</vt:lpstr>
      <vt:lpstr>読込ラベルグループマスタ</vt:lpstr>
      <vt:lpstr>ラベル定義マスタ</vt:lpstr>
      <vt:lpstr>サンプル</vt:lpstr>
      <vt:lpstr>system</vt:lpstr>
      <vt:lpstr>原紙</vt:lpstr>
      <vt:lpstr>一覧原紙</vt:lpstr>
      <vt:lpstr>原紙_行</vt:lpstr>
      <vt:lpstr>ＩＰアドレス管理マスタ!Print_Area</vt:lpstr>
      <vt:lpstr>コードマスタ!Print_Area</vt:lpstr>
      <vt:lpstr>サンプル!Print_Area</vt:lpstr>
      <vt:lpstr>シミュレーションデータ!Print_Area</vt:lpstr>
      <vt:lpstr>シミュレーションヘッダ!Print_Area</vt:lpstr>
      <vt:lpstr>シミュレーション組立順序!Print_Area</vt:lpstr>
      <vt:lpstr>テーブル一覧!Print_Area</vt:lpstr>
      <vt:lpstr>パスワードマスタ!Print_Area</vt:lpstr>
      <vt:lpstr>ラベル定義マスタ!Print_Area</vt:lpstr>
      <vt:lpstr>一覧原紙!Print_Area</vt:lpstr>
      <vt:lpstr>稼働日マスタ!Print_Area</vt:lpstr>
      <vt:lpstr>休憩時間マスタ!Print_Area</vt:lpstr>
      <vt:lpstr>区分標準通過工程!Print_Area</vt:lpstr>
      <vt:lpstr>原紙!Print_Area</vt:lpstr>
      <vt:lpstr>原紙_行!Print_Area</vt:lpstr>
      <vt:lpstr>個体ＮＯ管理データ!Print_Area</vt:lpstr>
      <vt:lpstr>工程グループマスタ!Print_Area</vt:lpstr>
      <vt:lpstr>工程マスタ!Print_Area</vt:lpstr>
      <vt:lpstr>梱包指示データ!Print_Area</vt:lpstr>
      <vt:lpstr>梱包実績データ!Print_Area</vt:lpstr>
      <vt:lpstr>採番マスタ!Print_Area</vt:lpstr>
      <vt:lpstr>在庫データ!Print_Area</vt:lpstr>
      <vt:lpstr>作業計画データ!Print_Area</vt:lpstr>
      <vt:lpstr>作業計画準備データ!Print_Area</vt:lpstr>
      <vt:lpstr>作業指示明細データ!Print_Area</vt:lpstr>
      <vt:lpstr>使用資材!Print_Area</vt:lpstr>
      <vt:lpstr>資材マスタ!Print_Area</vt:lpstr>
      <vt:lpstr>事業所マスタ!Print_Area</vt:lpstr>
      <vt:lpstr>実績管理データ!Print_Area</vt:lpstr>
      <vt:lpstr>実績数量!Print_Area</vt:lpstr>
      <vt:lpstr>実績登録データ!Print_Area</vt:lpstr>
      <vt:lpstr>社員マスタ!Print_Area</vt:lpstr>
      <vt:lpstr>車種マスタ!Print_Area</vt:lpstr>
      <vt:lpstr>受払データ!Print_Area</vt:lpstr>
      <vt:lpstr>順列納入指示データ!Print_Area</vt:lpstr>
      <vt:lpstr>生産製品マスタ!Print_Area</vt:lpstr>
      <vt:lpstr>生産品名マスタ!Print_Area</vt:lpstr>
      <vt:lpstr>設備マスタ!Print_Area</vt:lpstr>
      <vt:lpstr>組立品構成マスタ!Print_Area</vt:lpstr>
      <vt:lpstr>通過工程間チェック!Print_Area</vt:lpstr>
      <vt:lpstr>投入指示データ!Print_Area</vt:lpstr>
      <vt:lpstr>投入指示作成!Print_Area</vt:lpstr>
      <vt:lpstr>投入順序実績!Print_Area</vt:lpstr>
      <vt:lpstr>読込ラベルグループマスタ!Print_Area</vt:lpstr>
      <vt:lpstr>判定理由マスタ!Print_Area</vt:lpstr>
      <vt:lpstr>非順列納入指示データ!Print_Area</vt:lpstr>
      <vt:lpstr>標準通過工程マスタ!Print_Area</vt:lpstr>
      <vt:lpstr>品種マスタ!Print_Area</vt:lpstr>
      <vt:lpstr>付帯作業データ!Print_Area</vt:lpstr>
      <vt:lpstr>ＩＰアドレス管理マスタ!Print_Titles</vt:lpstr>
      <vt:lpstr>コードマスタ!Print_Titles</vt:lpstr>
      <vt:lpstr>サンプル!Print_Titles</vt:lpstr>
      <vt:lpstr>シミュレーションデータ!Print_Titles</vt:lpstr>
      <vt:lpstr>シミュレーションヘッダ!Print_Titles</vt:lpstr>
      <vt:lpstr>シミュレーション組立順序!Print_Titles</vt:lpstr>
      <vt:lpstr>テーブル一覧!Print_Titles</vt:lpstr>
      <vt:lpstr>パスワードマスタ!Print_Titles</vt:lpstr>
      <vt:lpstr>ラベル定義マスタ!Print_Titles</vt:lpstr>
      <vt:lpstr>一覧原紙!Print_Titles</vt:lpstr>
      <vt:lpstr>稼働日マスタ!Print_Titles</vt:lpstr>
      <vt:lpstr>休憩時間マスタ!Print_Titles</vt:lpstr>
      <vt:lpstr>区分標準通過工程!Print_Titles</vt:lpstr>
      <vt:lpstr>原紙!Print_Titles</vt:lpstr>
      <vt:lpstr>原紙_行!Print_Titles</vt:lpstr>
      <vt:lpstr>個体ＮＯ管理データ!Print_Titles</vt:lpstr>
      <vt:lpstr>工程グループマスタ!Print_Titles</vt:lpstr>
      <vt:lpstr>工程マスタ!Print_Titles</vt:lpstr>
      <vt:lpstr>梱包指示データ!Print_Titles</vt:lpstr>
      <vt:lpstr>梱包実績データ!Print_Titles</vt:lpstr>
      <vt:lpstr>採番マスタ!Print_Titles</vt:lpstr>
      <vt:lpstr>在庫データ!Print_Titles</vt:lpstr>
      <vt:lpstr>作業計画データ!Print_Titles</vt:lpstr>
      <vt:lpstr>作業計画準備データ!Print_Titles</vt:lpstr>
      <vt:lpstr>作業指示明細データ!Print_Titles</vt:lpstr>
      <vt:lpstr>使用資材!Print_Titles</vt:lpstr>
      <vt:lpstr>資材マスタ!Print_Titles</vt:lpstr>
      <vt:lpstr>事業所マスタ!Print_Titles</vt:lpstr>
      <vt:lpstr>実績管理データ!Print_Titles</vt:lpstr>
      <vt:lpstr>実績数量!Print_Titles</vt:lpstr>
      <vt:lpstr>実績登録データ!Print_Titles</vt:lpstr>
      <vt:lpstr>社員マスタ!Print_Titles</vt:lpstr>
      <vt:lpstr>車種マスタ!Print_Titles</vt:lpstr>
      <vt:lpstr>受払データ!Print_Titles</vt:lpstr>
      <vt:lpstr>順列納入指示データ!Print_Titles</vt:lpstr>
      <vt:lpstr>生産製品マスタ!Print_Titles</vt:lpstr>
      <vt:lpstr>生産品名マスタ!Print_Titles</vt:lpstr>
      <vt:lpstr>設備マスタ!Print_Titles</vt:lpstr>
      <vt:lpstr>組立品構成マスタ!Print_Titles</vt:lpstr>
      <vt:lpstr>通過工程間チェック!Print_Titles</vt:lpstr>
      <vt:lpstr>投入指示データ!Print_Titles</vt:lpstr>
      <vt:lpstr>投入指示作成!Print_Titles</vt:lpstr>
      <vt:lpstr>投入順序実績!Print_Titles</vt:lpstr>
      <vt:lpstr>読込ラベルグループマスタ!Print_Titles</vt:lpstr>
      <vt:lpstr>判定理由マスタ!Print_Titles</vt:lpstr>
      <vt:lpstr>非順列納入指示データ!Print_Titles</vt:lpstr>
      <vt:lpstr>標準通過工程マスタ!Print_Titles</vt:lpstr>
      <vt:lpstr>品種マスタ!Print_Titles</vt:lpstr>
      <vt:lpstr>付帯作業データ!Print_Titles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日立化成工業（株）結城工場</dc:creator>
  <cp:lastModifiedBy>aoki-tatsu</cp:lastModifiedBy>
  <cp:lastPrinted>2012-06-08T06:13:52Z</cp:lastPrinted>
  <dcterms:created xsi:type="dcterms:W3CDTF">1999-06-21T07:28:53Z</dcterms:created>
  <dcterms:modified xsi:type="dcterms:W3CDTF">2019-10-15T11:33:34Z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0x0101005B3AFDF1A27EF4448B30400A700269C9</vt:lpwstr>
  </property>
</Properties>
</file>