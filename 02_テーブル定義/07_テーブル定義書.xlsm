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29.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38.xml" ContentType="application/vnd.openxmlformats-officedocument.drawing+xml"/>
  <Override PartName="/xl/drawings/drawing37.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25.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3.xml" ContentType="application/vnd.openxmlformats-officedocument.drawing+xml"/>
  <Override PartName="/xl/drawings/drawing12.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7.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1.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42.xml" ContentType="application/vnd.openxmlformats-officedocument.drawing+xml"/>
  <Override PartName="/xl/drawings/drawing46.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9.xml" ContentType="application/vnd.openxmlformats-officedocument.drawing+xml"/>
  <Override PartName="/xl/worksheets/sheet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1.xml" ContentType="application/vnd.openxmlformats-officedocument.spreadsheetml.worksheet+xml"/>
  <Override PartName="/xl/drawings/drawing8.xml" ContentType="application/vnd.openxmlformats-officedocument.drawing+xml"/>
  <Override PartName="/xl/drawings/drawing4.xml" ContentType="application/vnd.openxmlformats-officedocument.drawing+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drawings/drawing3.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5.xml" ContentType="application/vnd.openxmlformats-officedocument.drawing+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sheet35.xml" ContentType="application/vnd.openxmlformats-officedocument.spreadsheetml.worksheet+xml"/>
  <Override PartName="/xl/worksheets/sheet36.xml" ContentType="application/vnd.openxmlformats-officedocument.spreadsheetml.worksheet+xml"/>
  <Override PartName="/xl/worksheets/sheet33.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34.xml" ContentType="application/vnd.openxmlformats-officedocument.spreadsheetml.worksheet+xml"/>
  <Override PartName="/xl/worksheets/sheet16.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17.xml" ContentType="application/vnd.openxmlformats-officedocument.spreadsheetml.worksheet+xml"/>
  <Override PartName="/xl/worksheets/sheet15.xml" ContentType="application/vnd.openxmlformats-officedocument.spreadsheetml.worksheet+xml"/>
  <Override PartName="/xl/worksheets/sheet19.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18.xml" ContentType="application/vnd.openxmlformats-officedocument.spreadsheetml.worksheet+xml"/>
  <Override PartName="/xl/worksheets/sheet23.xml" ContentType="application/vnd.openxmlformats-officedocument.spreadsheetml.worksheet+xml"/>
  <Override PartName="/xl/ctrlProps/ctrlProp14.xml" ContentType="application/vnd.ms-excel.controlproperties+xml"/>
  <Override PartName="/xl/comments37.xml" ContentType="application/vnd.openxmlformats-officedocument.spreadsheetml.comments+xml"/>
  <Override PartName="/xl/comments9.xml" ContentType="application/vnd.openxmlformats-officedocument.spreadsheetml.comments+xml"/>
  <Override PartName="/xl/ctrlProps/ctrlProp13.xml" ContentType="application/vnd.ms-excel.controlproperties+xml"/>
  <Override PartName="/xl/ctrlProps/ctrlProp217.xml" ContentType="application/vnd.ms-excel.controlproperties+xml"/>
  <Override PartName="/xl/ctrlProps/ctrlProp215.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6.xml" ContentType="application/vnd.ms-excel.controlproperties+xml"/>
  <Override PartName="/xl/ctrlProps/ctrlProp219.xml" ContentType="application/vnd.ms-excel.controlproperties+xml"/>
  <Override PartName="/xl/ctrlProps/ctrlProp228.xml" ContentType="application/vnd.ms-excel.controlproperties+xml"/>
  <Override PartName="/xl/comments39.xml" ContentType="application/vnd.openxmlformats-officedocument.spreadsheetml.comments+xml"/>
  <Override PartName="/xl/comments3.xml" ContentType="application/vnd.openxmlformats-officedocument.spreadsheetml.comment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27.xml" ContentType="application/vnd.ms-excel.controlproperties+xml"/>
  <Override PartName="/xl/ctrlProps/ctrlProp226.xml" ContentType="application/vnd.ms-excel.controlproperties+xml"/>
  <Override PartName="/xl/ctrlProps/ctrlProp225.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omments38.xml" ContentType="application/vnd.openxmlformats-officedocument.spreadsheetml.comments+xml"/>
  <Override PartName="/xl/ctrlProps/ctrlProp223.xml" ContentType="application/vnd.ms-excel.controlproperties+xml"/>
  <Override PartName="/xl/ctrlProps/ctrlProp224.xml" ContentType="application/vnd.ms-excel.controlproperties+xml"/>
  <Override PartName="/xl/ctrlProps/ctrlProp218.xml" ContentType="application/vnd.ms-excel.controlproperties+xml"/>
  <Override PartName="/xl/ctrlProps/ctrlProp193.xml" ContentType="application/vnd.ms-excel.controlproperties+xml"/>
  <Override PartName="/xl/ctrlProps/ctrlProp210.xml" ContentType="application/vnd.ms-excel.controlproperties+xml"/>
  <Override PartName="/xl/ctrlProps/ctrlProp191.xml" ContentType="application/vnd.ms-excel.controlproperties+xml"/>
  <Override PartName="/xl/ctrlProps/ctrlProp192.xml" ContentType="application/vnd.ms-excel.controlproperties+xml"/>
  <Override PartName="/xl/comments33.xml" ContentType="application/vnd.openxmlformats-officedocument.spreadsheetml.comment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0.xml" ContentType="application/vnd.ms-excel.controlproperties+xml"/>
  <Override PartName="/xl/ctrlProps/ctrlProp189.xml" ContentType="application/vnd.ms-excel.controlproperties+xml"/>
  <Override PartName="/xl/ctrlProps/ctrlProp188.xml" ContentType="application/vnd.ms-excel.controlproperties+xml"/>
  <Override PartName="/xl/ctrlProps/ctrlProp185.xml" ContentType="application/vnd.ms-excel.controlproperties+xml"/>
  <Override PartName="/xl/ctrlProps/ctrlProp186.xml" ContentType="application/vnd.ms-excel.controlproperties+xml"/>
  <Override PartName="/xl/comments32.xml" ContentType="application/vnd.openxmlformats-officedocument.spreadsheetml.comments+xml"/>
  <Override PartName="/xl/ctrlProps/ctrlProp20.xml" ContentType="application/vnd.ms-excel.controlproperties+xml"/>
  <Override PartName="/xl/ctrlProps/ctrlProp19.xml" ContentType="application/vnd.ms-excel.controlproperties+xml"/>
  <Override PartName="/xl/ctrlProps/ctrlProp187.xml" ContentType="application/vnd.ms-excel.controlproperties+xml"/>
  <Override PartName="/xl/ctrlProps/ctrlProp198.xml" ContentType="application/vnd.ms-excel.controlproperties+xml"/>
  <Override PartName="/xl/comments34.xml" ContentType="application/vnd.openxmlformats-officedocument.spreadsheetml.comments+xml"/>
  <Override PartName="/xl/ctrlProps/ctrlProp18.xml" ContentType="application/vnd.ms-excel.controlproperties+xml"/>
  <Override PartName="/xl/ctrlProps/ctrlProp17.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omments35.xml" ContentType="application/vnd.openxmlformats-officedocument.spreadsheetml.comments+xml"/>
  <Override PartName="/xl/ctrlProps/ctrlProp204.xml" ContentType="application/vnd.ms-excel.controlproperties+xml"/>
  <Override PartName="/xl/comments4.xml" ContentType="application/vnd.openxmlformats-officedocument.spreadsheetml.comment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omments36.xml" ContentType="application/vnd.openxmlformats-officedocument.spreadsheetml.comments+xml"/>
  <Override PartName="/xl/ctrlProps/ctrlProp247.xml" ContentType="application/vnd.ms-excel.controlproperties+xml"/>
  <Override PartName="/xl/ctrlProps/ctrlProp233.xml" ContentType="application/vnd.ms-excel.controlproperties+xml"/>
  <Override PartName="/xl/ctrlProps/ctrlProp5.xml" ContentType="application/vnd.ms-excel.controlproperties+xml"/>
  <Override PartName="/xl/activeX/activeX1.xml" ContentType="application/vnd.ms-office.activeX+xml"/>
  <Override PartName="/xl/activeX/activeX1.bin" ContentType="application/vnd.ms-office.activeX"/>
  <Override PartName="/xl/ctrlProps/ctrlProp4.xml" ContentType="application/vnd.ms-excel.controlproperties+xml"/>
  <Override PartName="/xl/activeX/activeX2.xml" ContentType="application/vnd.ms-office.activeX+xml"/>
  <Override PartName="/xl/activeX/activeX2.bin" ContentType="application/vnd.ms-office.activeX"/>
  <Override PartName="/xl/ctrlProps/ctrlProp3.xml" ContentType="application/vnd.ms-excel.controlproperties+xml"/>
  <Override PartName="/xl/ctrlProps/ctrlProp6.xml" ContentType="application/vnd.ms-excel.controlproperties+xml"/>
  <Override PartName="/xl/comments45.xml" ContentType="application/vnd.openxmlformats-officedocument.spreadsheetml.comments+xml"/>
  <Override PartName="/xl/ctrlProps/ctrlProp264.xml" ContentType="application/vnd.ms-excel.controlproperties+xml"/>
  <Override PartName="/xl/comments2.xml" ContentType="application/vnd.openxmlformats-officedocument.spreadsheetml.comment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xml" ContentType="application/vnd.ms-excel.controlproperties+xml"/>
  <Override PartName="/xl/ctrlProps/ctrlProp1.xml" ContentType="application/vnd.ms-excel.controlproperties+xml"/>
  <Override PartName="/xl/ctrlProps/ctrlProp265.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comments1.xml" ContentType="application/vnd.openxmlformats-officedocument.spreadsheetml.comments+xml"/>
  <Override PartName="/xl/calcChain.xml" ContentType="application/vnd.openxmlformats-officedocument.spreadsheetml.calcChain+xml"/>
  <Override PartName="/xl/comments47.xml" ContentType="application/vnd.openxmlformats-officedocument.spreadsheetml.comment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omments46.xml" ContentType="application/vnd.openxmlformats-officedocument.spreadsheetml.comments+xml"/>
  <Override PartName="/xl/comments44.xml" ContentType="application/vnd.openxmlformats-officedocument.spreadsheetml.comments+xml"/>
  <Override PartName="/xl/ctrlProps/ctrlProp258.xml" ContentType="application/vnd.ms-excel.controlproperties+xml"/>
  <Override PartName="/xl/ctrlProps/ctrlProp240.xml" ContentType="application/vnd.ms-excel.controlproperties+xml"/>
  <Override PartName="/xl/comments41.xml" ContentType="application/vnd.openxmlformats-officedocument.spreadsheetml.comments+xml"/>
  <Override PartName="/xl/ctrlProps/ctrlProp10.xml" ContentType="application/vnd.ms-excel.controlproperties+xml"/>
  <Override PartName="/xl/ctrlProps/ctrlProp9.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39.xml" ContentType="application/vnd.ms-excel.controlproperties+xml"/>
  <Override PartName="/xl/ctrlProps/ctrlProp238.xml" ContentType="application/vnd.ms-excel.controlproperties+xml"/>
  <Override PartName="/xl/ctrlProps/ctrlProp237.xml" ContentType="application/vnd.ms-excel.controlproperties+xml"/>
  <Override PartName="/xl/ctrlProps/ctrlProp234.xml" ContentType="application/vnd.ms-excel.controlproperties+xml"/>
  <Override PartName="/xl/comments40.xml" ContentType="application/vnd.openxmlformats-officedocument.spreadsheetml.comments+xml"/>
  <Override PartName="/xl/ctrlProps/ctrlProp12.xml" ContentType="application/vnd.ms-excel.controlproperties+xml"/>
  <Override PartName="/xl/ctrlProps/ctrlProp11.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omments43.xml" ContentType="application/vnd.openxmlformats-officedocument.spreadsheetml.comment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2.xml" ContentType="application/vnd.ms-excel.controlproperties+xml"/>
  <Override PartName="/xl/ctrlProps/ctrlProp251.xml" ContentType="application/vnd.ms-excel.controlproperties+xml"/>
  <Override PartName="/xl/ctrlProps/ctrlProp250.xml" ContentType="application/vnd.ms-excel.controlproperties+xml"/>
  <Override PartName="/xl/comments42.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ctrlProps/ctrlProp184.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32.xml" ContentType="application/vnd.ms-excel.controlproperties+xml"/>
  <Override PartName="/xl/ctrlProps/ctrlProp22.xml" ContentType="application/vnd.ms-excel.controlproperties+xml"/>
  <Override PartName="/xl/ctrlProps/ctrlProp182.xml" ContentType="application/vnd.ms-excel.controlproperties+xml"/>
  <Override PartName="/xl/ctrlProps/ctrlProp93.xml" ContentType="application/vnd.ms-excel.controlproperties+xml"/>
  <Override PartName="/xl/ctrlProps/ctrlProp92.xml" ContentType="application/vnd.ms-excel.controlproperties+xml"/>
  <Override PartName="/xl/ctrlProps/ctrlProp91.xml" ContentType="application/vnd.ms-excel.controlproperties+xml"/>
  <Override PartName="/xl/ctrlProps/ctrlProp39.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37.xml" ContentType="application/vnd.ms-excel.controlproperties+xml"/>
  <Override PartName="/xl/ctrlProps/ctrlProp38.xml" ContentType="application/vnd.ms-excel.controlproperties+xml"/>
  <Override PartName="/xl/comments17.xml" ContentType="application/vnd.openxmlformats-officedocument.spreadsheetml.comments+xml"/>
  <Override PartName="/xl/ctrlProps/ctrlProp40.xml" ContentType="application/vnd.ms-excel.controlproperties+xml"/>
  <Override PartName="/xl/comments16.xml" ContentType="application/vnd.openxmlformats-officedocument.spreadsheetml.comments+xml"/>
  <Override PartName="/xl/ctrlProps/ctrlProp41.xml" ContentType="application/vnd.ms-excel.controlproperties+xml"/>
  <Override PartName="/xl/ctrlProps/ctrlProp42.xml" ContentType="application/vnd.ms-excel.controlproperties+xml"/>
  <Override PartName="/xl/comments15.xml" ContentType="application/vnd.openxmlformats-officedocument.spreadsheetml.comment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10.xml" ContentType="application/vnd.ms-excel.controlproperties+xml"/>
  <Override PartName="/xl/ctrlProps/ctrlProp109.xml" ContentType="application/vnd.ms-excel.controlproperties+xml"/>
  <Override PartName="/xl/comments7.xml" ContentType="application/vnd.openxmlformats-officedocument.spreadsheetml.comment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36.xml" ContentType="application/vnd.ms-excel.controlproperties+xml"/>
  <Override PartName="/xl/comments20.xml" ContentType="application/vnd.openxmlformats-officedocument.spreadsheetml.comments+xml"/>
  <Override PartName="/xl/ctrlProps/ctrlProp114.xml" ContentType="application/vnd.ms-excel.controlproperties+xml"/>
  <Override PartName="/xl/comments19.xml" ContentType="application/vnd.openxmlformats-officedocument.spreadsheetml.comments+xml"/>
  <Override PartName="/xl/ctrlProps/ctrlProp108.xml" ContentType="application/vnd.ms-excel.controlproperties+xml"/>
  <Override PartName="/xl/comments18.xml" ContentType="application/vnd.openxmlformats-officedocument.spreadsheetml.comments+xml"/>
  <Override PartName="/xl/ctrlProps/ctrlProp102.xml" ContentType="application/vnd.ms-excel.controlproperties+xml"/>
  <Override PartName="/xl/ctrlProps/ctrlProp101.xml" ContentType="application/vnd.ms-excel.controlproperties+xml"/>
  <Override PartName="/xl/ctrlProps/ctrlProp100.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84.xml" ContentType="application/vnd.ms-excel.controlproperties+xml"/>
  <Override PartName="/xl/ctrlProps/ctrlProp83.xml" ContentType="application/vnd.ms-excel.controlproperties+xml"/>
  <Override PartName="/xl/ctrlProps/ctrlProp82.xml" ContentType="application/vnd.ms-excel.controlproperties+xml"/>
  <Override PartName="/xl/comments11.xml" ContentType="application/vnd.openxmlformats-officedocument.spreadsheetml.comments+xml"/>
  <Override PartName="/xl/ctrlProps/ctrlProp60.xml" ContentType="application/vnd.ms-excel.controlproperties+xml"/>
  <Override PartName="/xl/ctrlProps/ctrlProp59.xml" ContentType="application/vnd.ms-excel.controlproperties+xml"/>
  <Override PartName="/xl/ctrlProps/ctrlProp58.xml" ContentType="application/vnd.ms-excel.controlproperties+xml"/>
  <Override PartName="/xl/ctrlProps/ctrlProp46.xml" ContentType="application/vnd.ms-excel.controlproperties+xml"/>
  <Override PartName="/xl/ctrlProps/ctrlProp45.xml" ContentType="application/vnd.ms-excel.controlproperties+xml"/>
  <Override PartName="/xl/ctrlProps/ctrlProp64.xml" ContentType="application/vnd.ms-excel.controlproperties+xml"/>
  <Override PartName="/xl/ctrlProps/ctrlProp63.xml" ContentType="application/vnd.ms-excel.controlproperties+xml"/>
  <Override PartName="/xl/ctrlProps/ctrlProp62.xml" ContentType="application/vnd.ms-excel.controlproperties+xml"/>
  <Override PartName="/xl/ctrlProps/ctrlProp61.xml" ContentType="application/vnd.ms-excel.controlproperties+xml"/>
  <Override PartName="/xl/ctrlProps/ctrlProp57.xml" ContentType="application/vnd.ms-excel.controlproperties+xml"/>
  <Override PartName="/xl/ctrlProps/ctrlProp56.xml" ContentType="application/vnd.ms-excel.controlproperties+xml"/>
  <Override PartName="/xl/ctrlProps/ctrlProp55.xml" ContentType="application/vnd.ms-excel.controlproperties+xml"/>
  <Override PartName="/xl/ctrlProps/ctrlProp52.xml" ContentType="application/vnd.ms-excel.controlproperties+xml"/>
  <Override PartName="/xl/ctrlProps/ctrlProp51.xml" ContentType="application/vnd.ms-excel.controlproperties+xml"/>
  <Override PartName="/xl/ctrlProps/ctrlProp50.xml" ContentType="application/vnd.ms-excel.controlproperties+xml"/>
  <Override PartName="/xl/ctrlProps/ctrlProp49.xml" ContentType="application/vnd.ms-excel.controlproperties+xml"/>
  <Override PartName="/xl/ctrlProps/ctrlProp53.xml" ContentType="application/vnd.ms-excel.controlproperties+xml"/>
  <Override PartName="/xl/ctrlProps/ctrlProp54.xml" ContentType="application/vnd.ms-excel.controlproperties+xml"/>
  <Override PartName="/xl/comments10.xml" ContentType="application/vnd.openxmlformats-officedocument.spreadsheetml.comments+xml"/>
  <Override PartName="/xl/ctrlProps/ctrlProp48.xml" ContentType="application/vnd.ms-excel.controlproperties+xml"/>
  <Override PartName="/xl/ctrlProps/ctrlProp47.xml" ContentType="application/vnd.ms-excel.controlproperties+xml"/>
  <Override PartName="/xl/ctrlProps/ctrlProp65.xml" ContentType="application/vnd.ms-excel.controlproperties+xml"/>
  <Override PartName="/xl/ctrlProps/ctrlProp66.xml" ContentType="application/vnd.ms-excel.controlproperties+xml"/>
  <Override PartName="/xl/comments12.xml" ContentType="application/vnd.openxmlformats-officedocument.spreadsheetml.comments+xml"/>
  <Override PartName="/xl/ctrlProps/ctrlProp78.xml" ContentType="application/vnd.ms-excel.controlproperties+xml"/>
  <Override PartName="/xl/ctrlProps/ctrlProp77.xml" ContentType="application/vnd.ms-excel.controlproperties+xml"/>
  <Override PartName="/xl/ctrlProps/ctrlProp76.xml" ContentType="application/vnd.ms-excel.controlproperties+xml"/>
  <Override PartName="/xl/ctrlProps/ctrlProp75.xml" ContentType="application/vnd.ms-excel.controlproperties+xml"/>
  <Override PartName="/xl/comments14.xml" ContentType="application/vnd.openxmlformats-officedocument.spreadsheetml.comments+xml"/>
  <Override PartName="/xl/ctrlProps/ctrlProp81.xml" ContentType="application/vnd.ms-excel.controlproperties+xml"/>
  <Override PartName="/xl/ctrlProps/ctrlProp80.xml" ContentType="application/vnd.ms-excel.controlproperties+xml"/>
  <Override PartName="/xl/ctrlProps/ctrlProp79.xml" ContentType="application/vnd.ms-excel.controlproperties+xml"/>
  <Override PartName="/xl/comments8.xml" ContentType="application/vnd.openxmlformats-officedocument.spreadsheetml.comments+xml"/>
  <Override PartName="/xl/ctrlProps/ctrlProp74.xml" ContentType="application/vnd.ms-excel.controlproperties+xml"/>
  <Override PartName="/xl/ctrlProps/ctrlProp73.xml" ContentType="application/vnd.ms-excel.controlproperties+xml"/>
  <Override PartName="/xl/ctrlProps/ctrlProp67.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13.xml" ContentType="application/vnd.openxmlformats-officedocument.spreadsheetml.comments+xml"/>
  <Override PartName="/xl/ctrlProps/ctrlProp35.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61.xml" ContentType="application/vnd.ms-excel.controlproperties+xml"/>
  <Override PartName="/xl/ctrlProps/ctrlProp160.xml" ContentType="application/vnd.ms-excel.controlproperties+xml"/>
  <Override PartName="/xl/ctrlProps/ctrlProp159.xml" ContentType="application/vnd.ms-excel.controlproperties+xml"/>
  <Override PartName="/xl/ctrlProps/ctrlProp158.xml" ContentType="application/vnd.ms-excel.controlproperties+xml"/>
  <Override PartName="/xl/ctrlProps/ctrlProp162.xml" ContentType="application/vnd.ms-excel.controlproperties+xml"/>
  <Override PartName="/xl/comments28.xml" ContentType="application/vnd.openxmlformats-officedocument.spreadsheetml.comments+xml"/>
  <Override PartName="/xl/ctrlProps/ctrlProp166.xml" ContentType="application/vnd.ms-excel.controlproperties+xml"/>
  <Override PartName="/xl/ctrlProps/ctrlProp165.xml" ContentType="application/vnd.ms-excel.controlproperties+xml"/>
  <Override PartName="/xl/ctrlProps/ctrlProp164.xml" ContentType="application/vnd.ms-excel.controlproperties+xml"/>
  <Override PartName="/xl/ctrlProps/ctrlProp163.xml" ContentType="application/vnd.ms-excel.controlproperties+xml"/>
  <Override PartName="/xl/ctrlProps/ctrlProp157.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152.xml" ContentType="application/vnd.ms-excel.controlproperties+xml"/>
  <Override PartName="/xl/ctrlProps/ctrlProp151.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omments27.xml" ContentType="application/vnd.openxmlformats-officedocument.spreadsheetml.comments+xml"/>
  <Override PartName="/xl/ctrlProps/ctrlProp167.xml" ContentType="application/vnd.ms-excel.controlproperties+xml"/>
  <Override PartName="/xl/ctrlProps/ctrlProp168.xml" ContentType="application/vnd.ms-excel.controlproperties+xml"/>
  <Override PartName="/xl/comments29.xml" ContentType="application/vnd.openxmlformats-officedocument.spreadsheetml.comments+xml"/>
  <Override PartName="/xl/ctrlProps/ctrlProp178.xml" ContentType="application/vnd.ms-excel.controlproperties+xml"/>
  <Override PartName="/xl/ctrlProps/ctrlProp177.xml" ContentType="application/vnd.ms-excel.controlproperties+xml"/>
  <Override PartName="/xl/ctrlProps/ctrlProp176.xml" ContentType="application/vnd.ms-excel.controlproperties+xml"/>
  <Override PartName="/xl/ctrlProps/ctrlProp175.xml" ContentType="application/vnd.ms-excel.controlproperties+xml"/>
  <Override PartName="/xl/ctrlProps/ctrlProp179.xml" ContentType="application/vnd.ms-excel.controlproperties+xml"/>
  <Override PartName="/xl/ctrlProps/ctrlProp180.xml" ContentType="application/vnd.ms-excel.controlproperties+xml"/>
  <Override PartName="/xl/comments31.xml" ContentType="application/vnd.openxmlformats-officedocument.spreadsheetml.comments+xml"/>
  <Override PartName="/xl/ctrlProps/ctrlProp181.xml" ContentType="application/vnd.ms-excel.controlproperties+xml"/>
  <Override PartName="/xl/ctrlProps/ctrlProp21.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169.xml" ContentType="application/vnd.ms-excel.controlproperties+xml"/>
  <Override PartName="/xl/comments5.xml" ContentType="application/vnd.openxmlformats-officedocument.spreadsheetml.comment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omments30.xml" ContentType="application/vnd.openxmlformats-officedocument.spreadsheetml.comments+xml"/>
  <Override PartName="/xl/comments26.xml" ContentType="application/vnd.openxmlformats-officedocument.spreadsheetml.comments+xml"/>
  <Override PartName="/xl/ctrlProps/ctrlProp150.xml" ContentType="application/vnd.ms-excel.controlproperties+xml"/>
  <Override PartName="/xl/ctrlProps/ctrlProp32.xml" ContentType="application/vnd.ms-excel.controlproperties+xml"/>
  <Override PartName="/xl/comments22.xml" ContentType="application/vnd.openxmlformats-officedocument.spreadsheetml.comments+xml"/>
  <Override PartName="/xl/ctrlProps/ctrlProp126.xml" ContentType="application/vnd.ms-excel.controlproperties+xml"/>
  <Override PartName="/xl/ctrlProps/ctrlProp31.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32.xml" ContentType="application/vnd.ms-excel.controlproperties+xml"/>
  <Override PartName="/xl/ctrlProps/ctrlProp131.xml" ContentType="application/vnd.ms-excel.controlproperties+xml"/>
  <Override PartName="/xl/ctrlProps/ctrlProp130.xml" ContentType="application/vnd.ms-excel.controlproperties+xml"/>
  <Override PartName="/xl/ctrlProps/ctrlProp129.xml" ContentType="application/vnd.ms-excel.controlproperties+xml"/>
  <Override PartName="/xl/ctrlProps/ctrlProp125.xml" ContentType="application/vnd.ms-excel.controlproperties+xml"/>
  <Override PartName="/xl/ctrlProps/ctrlProp124.xml" ContentType="application/vnd.ms-excel.controlproperties+xml"/>
  <Override PartName="/xl/ctrlProps/ctrlProp123.xml" ContentType="application/vnd.ms-excel.controlproperties+xml"/>
  <Override PartName="/xl/ctrlProps/ctrlProp120.xml" ContentType="application/vnd.ms-excel.controlproperties+xml"/>
  <Override PartName="/xl/ctrlProps/ctrlProp119.xml" ContentType="application/vnd.ms-excel.controlproperties+xml"/>
  <Override PartName="/xl/ctrlProps/ctrlProp118.xml" ContentType="application/vnd.ms-excel.controlproperties+xml"/>
  <Override PartName="/xl/ctrlProps/ctrlProp117.xml" ContentType="application/vnd.ms-excel.controlproperties+xml"/>
  <Override PartName="/xl/comments21.xml" ContentType="application/vnd.openxmlformats-officedocument.spreadsheetml.comments+xml"/>
  <Override PartName="/xl/ctrlProps/ctrlProp34.xml" ContentType="application/vnd.ms-excel.controlproperties+xml"/>
  <Override PartName="/xl/ctrlProps/ctrlProp33.xml" ContentType="application/vnd.ms-excel.controlproperties+xml"/>
  <Override PartName="/xl/ctrlProps/ctrlProp121.xml" ContentType="application/vnd.ms-excel.controlproperties+xml"/>
  <Override PartName="/xl/ctrlProps/ctrlProp122.xml" ContentType="application/vnd.ms-excel.controlproperties+xml"/>
  <Override PartName="/xl/comments23.xml" ContentType="application/vnd.openxmlformats-officedocument.spreadsheetml.comments+xml"/>
  <Override PartName="/xl/ctrlProps/ctrlProp133.xml" ContentType="application/vnd.ms-excel.controlproperties+xml"/>
  <Override PartName="/xl/comments25.xml" ContentType="application/vnd.openxmlformats-officedocument.spreadsheetml.comments+xml"/>
  <Override PartName="/xl/ctrlProps/ctrlProp144.xml" ContentType="application/vnd.ms-excel.controlproperties+xml"/>
  <Override PartName="/xl/ctrlProps/ctrlProp143.xml" ContentType="application/vnd.ms-excel.controlproperties+xml"/>
  <Override PartName="/xl/ctrlProps/ctrlProp30.xml" ContentType="application/vnd.ms-excel.controlproperties+xml"/>
  <Override PartName="/xl/ctrlProps/ctrlProp29.xml" ContentType="application/vnd.ms-excel.controlproperties+xml"/>
  <Override PartName="/xl/ctrlProps/ctrlProp145.xml" ContentType="application/vnd.ms-excel.controlproperties+xml"/>
  <Override PartName="/xl/ctrlProps/ctrlProp149.xml" ContentType="application/vnd.ms-excel.controlproperties+xml"/>
  <Override PartName="/xl/ctrlProps/ctrlProp148.xml" ContentType="application/vnd.ms-excel.controlproperties+xml"/>
  <Override PartName="/xl/ctrlProps/ctrlProp147.xml" ContentType="application/vnd.ms-excel.controlproperties+xml"/>
  <Override PartName="/xl/ctrlProps/ctrlProp146.xml" ContentType="application/vnd.ms-excel.controlproperties+xml"/>
  <Override PartName="/xl/ctrlProps/ctrlProp142.xml" ContentType="application/vnd.ms-excel.controlproperties+xml"/>
  <Override PartName="/xl/ctrlProps/ctrlProp141.xml" ContentType="application/vnd.ms-excel.controlproperties+xml"/>
  <Override PartName="/xl/ctrlProps/ctrlProp140.xml" ContentType="application/vnd.ms-excel.controlproperties+xml"/>
  <Override PartName="/xl/ctrlProps/ctrlProp137.xml" ContentType="application/vnd.ms-excel.controlproperties+xml"/>
  <Override PartName="/xl/ctrlProps/ctrlProp136.xml" ContentType="application/vnd.ms-excel.controlproperties+xml"/>
  <Override PartName="/xl/ctrlProps/ctrlProp135.xml" ContentType="application/vnd.ms-excel.controlproperties+xml"/>
  <Override PartName="/xl/ctrlProps/ctrlProp134.xml" ContentType="application/vnd.ms-excel.controlproperties+xml"/>
  <Override PartName="/xl/ctrlProps/ctrlProp138.xml" ContentType="application/vnd.ms-excel.controlproperties+xml"/>
  <Override PartName="/xl/comments24.xml" ContentType="application/vnd.openxmlformats-officedocument.spreadsheetml.comments+xml"/>
  <Override PartName="/xl/comments6.xml" ContentType="application/vnd.openxmlformats-officedocument.spreadsheetml.comments+xml"/>
  <Override PartName="/xl/ctrlProps/ctrlProp139.xml" ContentType="application/vnd.ms-excel.controlproperties+xml"/>
  <Override PartName="/xl/ctrlProps/ctrlProp183.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np-tabataniwa\Desktop\テーブル設計書コンバート\"/>
    </mc:Choice>
  </mc:AlternateContent>
  <bookViews>
    <workbookView xWindow="32295" yWindow="-105" windowWidth="29025" windowHeight="15825" tabRatio="801"/>
  </bookViews>
  <sheets>
    <sheet name="テーブル一覧" sheetId="13" r:id="rId1"/>
    <sheet name="作業計画データ" sheetId="14" r:id="rId2"/>
    <sheet name="作業計画準備データ" sheetId="15" r:id="rId3"/>
    <sheet name="実績数量" sheetId="16" r:id="rId4"/>
    <sheet name="作業指示明細データ" sheetId="17" r:id="rId5"/>
    <sheet name="投入指示データ" sheetId="18" r:id="rId6"/>
    <sheet name="実績管理データ" sheetId="19" r:id="rId7"/>
    <sheet name="実績登録データ" sheetId="20" r:id="rId8"/>
    <sheet name="個体ＮＯ管理データ" sheetId="21" r:id="rId9"/>
    <sheet name="付帯作業データ" sheetId="22" r:id="rId10"/>
    <sheet name="投入順序実績" sheetId="23" r:id="rId11"/>
    <sheet name="梱包指示データ" sheetId="24" r:id="rId12"/>
    <sheet name="梱包実績データ" sheetId="25" r:id="rId13"/>
    <sheet name="在庫データ" sheetId="26" r:id="rId14"/>
    <sheet name="受払データ" sheetId="27" r:id="rId15"/>
    <sheet name="順列納入指示データ" sheetId="28" r:id="rId16"/>
    <sheet name="非順列納入指示データ" sheetId="29" r:id="rId17"/>
    <sheet name="シミュレーションヘッダ" sheetId="30" r:id="rId18"/>
    <sheet name="シミュレーションデータ" sheetId="31" r:id="rId19"/>
    <sheet name="シミュレーション組立順序" sheetId="32" r:id="rId20"/>
    <sheet name="生産品名マスタ" sheetId="33" r:id="rId21"/>
    <sheet name="組立品構成マスタ" sheetId="34" r:id="rId22"/>
    <sheet name="資材マスタ" sheetId="35" r:id="rId23"/>
    <sheet name="使用資材" sheetId="36" r:id="rId24"/>
    <sheet name="製品マスタ" sheetId="37" r:id="rId25"/>
    <sheet name="車種マスタ" sheetId="38" r:id="rId26"/>
    <sheet name="設備マスタ" sheetId="39" r:id="rId27"/>
    <sheet name="工程マスタ" sheetId="40" r:id="rId28"/>
    <sheet name="標準通過工程マスタ" sheetId="41" r:id="rId29"/>
    <sheet name="区分標準通過工程" sheetId="42" r:id="rId30"/>
    <sheet name="通過工程間チェック" sheetId="43" r:id="rId31"/>
    <sheet name="投入指示作成" sheetId="44" r:id="rId32"/>
    <sheet name="判定理由マスタ" sheetId="45" r:id="rId33"/>
    <sheet name="コードマスタ" sheetId="46" r:id="rId34"/>
    <sheet name="社員マスタ" sheetId="47" r:id="rId35"/>
    <sheet name="稼働日マスタ" sheetId="48" r:id="rId36"/>
    <sheet name="休憩時間マスタ" sheetId="49" r:id="rId37"/>
    <sheet name="事業所マスタ" sheetId="50" r:id="rId38"/>
    <sheet name="品種マスタ" sheetId="51" r:id="rId39"/>
    <sheet name="パスワードマスタ" sheetId="52" r:id="rId40"/>
    <sheet name="ＩＰアドレス管理マスタ" sheetId="53" r:id="rId41"/>
    <sheet name="採番マスタ" sheetId="54" r:id="rId42"/>
    <sheet name="読込ラベルグループマスタ" sheetId="55" r:id="rId43"/>
    <sheet name="ラベル定義マスタ" sheetId="56" r:id="rId44"/>
    <sheet name="サンプル" sheetId="9" state="hidden" r:id="rId45"/>
    <sheet name="system" sheetId="2" state="hidden" r:id="rId46"/>
    <sheet name="原紙" sheetId="11" state="hidden" r:id="rId47"/>
    <sheet name="一覧原紙" sheetId="12" state="hidden" r:id="rId48"/>
    <sheet name="原紙_行" sheetId="10" state="hidden" r:id="rId49"/>
  </sheets>
  <definedNames>
    <definedName name="_xlnm.Print_Area" localSheetId="40">ＩＰアドレス管理マスタ!$A$1:$U$14</definedName>
    <definedName name="_xlnm.Print_Area" localSheetId="33">コードマスタ!$A$1:$U$14</definedName>
    <definedName name="_xlnm.Print_Area" localSheetId="44">サンプル!$A$1:$U$23</definedName>
    <definedName name="_xlnm.Print_Area" localSheetId="18">シミュレーションデータ!$A$1:$U$14</definedName>
    <definedName name="_xlnm.Print_Area" localSheetId="17">シミュレーションヘッダ!$A$1:$U$14</definedName>
    <definedName name="_xlnm.Print_Area" localSheetId="19">シミュレーション組立順序!$A$1:$U$14</definedName>
    <definedName name="_xlnm.Print_Area" localSheetId="0">テーブル一覧!$A$1:$M$10</definedName>
    <definedName name="_xlnm.Print_Area" localSheetId="39">パスワードマスタ!$A$1:$U$14</definedName>
    <definedName name="_xlnm.Print_Area" localSheetId="43">ラベル定義マスタ!$A$1:$U$14</definedName>
    <definedName name="_xlnm.Print_Area" localSheetId="47">一覧原紙!$A$1:$M$10</definedName>
    <definedName name="_xlnm.Print_Area" localSheetId="35">稼働日マスタ!$A$1:$U$14</definedName>
    <definedName name="_xlnm.Print_Area" localSheetId="36">休憩時間マスタ!$A$1:$U$14</definedName>
    <definedName name="_xlnm.Print_Area" localSheetId="29">区分標準通過工程!$A$1:$U$14</definedName>
    <definedName name="_xlnm.Print_Area" localSheetId="46">原紙!$A$1:$U$14</definedName>
    <definedName name="_xlnm.Print_Area" localSheetId="48">原紙_行!$A$1:$U$10</definedName>
    <definedName name="_xlnm.Print_Area" localSheetId="8">個体ＮＯ管理データ!$A$1:$U$14</definedName>
    <definedName name="_xlnm.Print_Area" localSheetId="27">工程マスタ!$A$1:$U$14</definedName>
    <definedName name="_xlnm.Print_Area" localSheetId="11">梱包指示データ!$A$1:$U$14</definedName>
    <definedName name="_xlnm.Print_Area" localSheetId="12">梱包実績データ!$A$1:$U$14</definedName>
    <definedName name="_xlnm.Print_Area" localSheetId="41">採番マスタ!$A$1:$U$14</definedName>
    <definedName name="_xlnm.Print_Area" localSheetId="13">在庫データ!$A$1:$U$14</definedName>
    <definedName name="_xlnm.Print_Area" localSheetId="1">作業計画データ!$A$1:$U$14</definedName>
    <definedName name="_xlnm.Print_Area" localSheetId="2">作業計画準備データ!$A$1:$U$14</definedName>
    <definedName name="_xlnm.Print_Area" localSheetId="4">作業指示明細データ!$A$1:$U$14</definedName>
    <definedName name="_xlnm.Print_Area" localSheetId="23">使用資材!$A$1:$U$14</definedName>
    <definedName name="_xlnm.Print_Area" localSheetId="22">資材マスタ!$A$1:$U$14</definedName>
    <definedName name="_xlnm.Print_Area" localSheetId="37">事業所マスタ!$A$1:$U$14</definedName>
    <definedName name="_xlnm.Print_Area" localSheetId="6">実績管理データ!$A$1:$U$14</definedName>
    <definedName name="_xlnm.Print_Area" localSheetId="3">実績数量!$A$1:$U$14</definedName>
    <definedName name="_xlnm.Print_Area" localSheetId="7">実績登録データ!$A$1:$U$14</definedName>
    <definedName name="_xlnm.Print_Area" localSheetId="34">社員マスタ!$A$1:$U$14</definedName>
    <definedName name="_xlnm.Print_Area" localSheetId="25">車種マスタ!$A$1:$U$14</definedName>
    <definedName name="_xlnm.Print_Area" localSheetId="14">受払データ!$A$1:$U$14</definedName>
    <definedName name="_xlnm.Print_Area" localSheetId="15">順列納入指示データ!$A$1:$U$14</definedName>
    <definedName name="_xlnm.Print_Area" localSheetId="20">生産品名マスタ!$A$1:$U$14</definedName>
    <definedName name="_xlnm.Print_Area" localSheetId="24">製品マスタ!$A$1:$U$14</definedName>
    <definedName name="_xlnm.Print_Area" localSheetId="26">設備マスタ!$A$1:$U$14</definedName>
    <definedName name="_xlnm.Print_Area" localSheetId="21">組立品構成マスタ!$A$1:$U$14</definedName>
    <definedName name="_xlnm.Print_Area" localSheetId="30">通過工程間チェック!$A$1:$U$14</definedName>
    <definedName name="_xlnm.Print_Area" localSheetId="5">投入指示データ!$A$1:$U$14</definedName>
    <definedName name="_xlnm.Print_Area" localSheetId="31">投入指示作成!$A$1:$U$14</definedName>
    <definedName name="_xlnm.Print_Area" localSheetId="10">投入順序実績!$A$1:$U$14</definedName>
    <definedName name="_xlnm.Print_Area" localSheetId="42">読込ラベルグループマスタ!$A$1:$U$14</definedName>
    <definedName name="_xlnm.Print_Area" localSheetId="32">判定理由マスタ!$A$1:$U$14</definedName>
    <definedName name="_xlnm.Print_Area" localSheetId="16">非順列納入指示データ!$A$1:$U$14</definedName>
    <definedName name="_xlnm.Print_Area" localSheetId="28">標準通過工程マスタ!$A$1:$U$14</definedName>
    <definedName name="_xlnm.Print_Area" localSheetId="38">品種マスタ!$A$1:$U$14</definedName>
    <definedName name="_xlnm.Print_Area" localSheetId="9">付帯作業データ!$A$1:$U$14</definedName>
    <definedName name="_xlnm.Print_Titles" localSheetId="40">ＩＰアドレス管理マスタ!$13:$13</definedName>
    <definedName name="_xlnm.Print_Titles" localSheetId="33">コードマスタ!$13:$13</definedName>
    <definedName name="_xlnm.Print_Titles" localSheetId="44">サンプル!$13:$13</definedName>
    <definedName name="_xlnm.Print_Titles" localSheetId="18">シミュレーションデータ!$13:$13</definedName>
    <definedName name="_xlnm.Print_Titles" localSheetId="17">シミュレーションヘッダ!$13:$13</definedName>
    <definedName name="_xlnm.Print_Titles" localSheetId="19">シミュレーション組立順序!$13:$13</definedName>
    <definedName name="_xlnm.Print_Titles" localSheetId="0">テーブル一覧!$9:$9</definedName>
    <definedName name="_xlnm.Print_Titles" localSheetId="39">パスワードマスタ!$13:$13</definedName>
    <definedName name="_xlnm.Print_Titles" localSheetId="43">ラベル定義マスタ!$13:$13</definedName>
    <definedName name="_xlnm.Print_Titles" localSheetId="47">一覧原紙!$9:$9</definedName>
    <definedName name="_xlnm.Print_Titles" localSheetId="35">稼働日マスタ!$13:$13</definedName>
    <definedName name="_xlnm.Print_Titles" localSheetId="36">休憩時間マスタ!$13:$13</definedName>
    <definedName name="_xlnm.Print_Titles" localSheetId="29">区分標準通過工程!$13:$13</definedName>
    <definedName name="_xlnm.Print_Titles" localSheetId="46">原紙!$13:$13</definedName>
    <definedName name="_xlnm.Print_Titles" localSheetId="48">原紙_行!$1:$1</definedName>
    <definedName name="_xlnm.Print_Titles" localSheetId="8">個体ＮＯ管理データ!$13:$13</definedName>
    <definedName name="_xlnm.Print_Titles" localSheetId="27">工程マスタ!$13:$13</definedName>
    <definedName name="_xlnm.Print_Titles" localSheetId="11">梱包指示データ!$13:$13</definedName>
    <definedName name="_xlnm.Print_Titles" localSheetId="12">梱包実績データ!$13:$13</definedName>
    <definedName name="_xlnm.Print_Titles" localSheetId="41">採番マスタ!$13:$13</definedName>
    <definedName name="_xlnm.Print_Titles" localSheetId="13">在庫データ!$13:$13</definedName>
    <definedName name="_xlnm.Print_Titles" localSheetId="1">作業計画データ!$13:$13</definedName>
    <definedName name="_xlnm.Print_Titles" localSheetId="2">作業計画準備データ!$13:$13</definedName>
    <definedName name="_xlnm.Print_Titles" localSheetId="4">作業指示明細データ!$13:$13</definedName>
    <definedName name="_xlnm.Print_Titles" localSheetId="23">使用資材!$13:$13</definedName>
    <definedName name="_xlnm.Print_Titles" localSheetId="22">資材マスタ!$13:$13</definedName>
    <definedName name="_xlnm.Print_Titles" localSheetId="37">事業所マスタ!$13:$13</definedName>
    <definedName name="_xlnm.Print_Titles" localSheetId="6">実績管理データ!$13:$13</definedName>
    <definedName name="_xlnm.Print_Titles" localSheetId="3">実績数量!$13:$13</definedName>
    <definedName name="_xlnm.Print_Titles" localSheetId="7">実績登録データ!$13:$13</definedName>
    <definedName name="_xlnm.Print_Titles" localSheetId="34">社員マスタ!$13:$13</definedName>
    <definedName name="_xlnm.Print_Titles" localSheetId="25">車種マスタ!$13:$13</definedName>
    <definedName name="_xlnm.Print_Titles" localSheetId="14">受払データ!$13:$13</definedName>
    <definedName name="_xlnm.Print_Titles" localSheetId="15">順列納入指示データ!$13:$13</definedName>
    <definedName name="_xlnm.Print_Titles" localSheetId="20">生産品名マスタ!$13:$13</definedName>
    <definedName name="_xlnm.Print_Titles" localSheetId="24">製品マスタ!$13:$13</definedName>
    <definedName name="_xlnm.Print_Titles" localSheetId="26">設備マスタ!$13:$13</definedName>
    <definedName name="_xlnm.Print_Titles" localSheetId="21">組立品構成マスタ!$13:$13</definedName>
    <definedName name="_xlnm.Print_Titles" localSheetId="30">通過工程間チェック!$13:$13</definedName>
    <definedName name="_xlnm.Print_Titles" localSheetId="5">投入指示データ!$13:$13</definedName>
    <definedName name="_xlnm.Print_Titles" localSheetId="31">投入指示作成!$13:$13</definedName>
    <definedName name="_xlnm.Print_Titles" localSheetId="10">投入順序実績!$13:$13</definedName>
    <definedName name="_xlnm.Print_Titles" localSheetId="42">読込ラベルグループマスタ!$13:$13</definedName>
    <definedName name="_xlnm.Print_Titles" localSheetId="32">判定理由マスタ!$13:$13</definedName>
    <definedName name="_xlnm.Print_Titles" localSheetId="16">非順列納入指示データ!$13:$13</definedName>
    <definedName name="_xlnm.Print_Titles" localSheetId="28">標準通過工程マスタ!$13:$13</definedName>
    <definedName name="_xlnm.Print_Titles" localSheetId="38">品種マスタ!$13:$13</definedName>
    <definedName name="_xlnm.Print_Titles" localSheetId="9">付帯作業データ!$13:$13</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24" i="56" l="1"/>
  <c r="B24" i="56"/>
  <c r="N23" i="56"/>
  <c r="B23" i="56"/>
  <c r="N22" i="56"/>
  <c r="B22" i="56"/>
  <c r="N21" i="56"/>
  <c r="B21" i="56"/>
  <c r="N20" i="56"/>
  <c r="B20" i="56"/>
  <c r="N19" i="56"/>
  <c r="B19" i="56"/>
  <c r="N18" i="56"/>
  <c r="B18" i="56"/>
  <c r="N17" i="56"/>
  <c r="B17" i="56"/>
  <c r="N16" i="56"/>
  <c r="B16" i="56"/>
  <c r="N15" i="56"/>
  <c r="B15" i="56"/>
  <c r="N14" i="56"/>
  <c r="L9" i="56" s="1"/>
  <c r="L10" i="56" s="1"/>
  <c r="B14" i="56"/>
  <c r="N13" i="56"/>
  <c r="N12" i="56"/>
  <c r="N9" i="56"/>
  <c r="N7" i="56"/>
  <c r="A52" i="13"/>
  <c r="N25" i="55"/>
  <c r="B25" i="55"/>
  <c r="N24" i="55"/>
  <c r="B24" i="55"/>
  <c r="N23" i="55"/>
  <c r="B23" i="55"/>
  <c r="N22" i="55"/>
  <c r="B22" i="55"/>
  <c r="N21" i="55"/>
  <c r="B21" i="55"/>
  <c r="N20" i="55"/>
  <c r="B20" i="55"/>
  <c r="N19" i="55"/>
  <c r="B19" i="55"/>
  <c r="N18" i="55"/>
  <c r="B18" i="55"/>
  <c r="N17" i="55"/>
  <c r="B17" i="55"/>
  <c r="N16" i="55"/>
  <c r="B16" i="55"/>
  <c r="N15" i="55"/>
  <c r="B15" i="55"/>
  <c r="N14" i="55"/>
  <c r="L9" i="55" s="1"/>
  <c r="L10" i="55" s="1"/>
  <c r="B14" i="55"/>
  <c r="N13" i="55"/>
  <c r="N12" i="55"/>
  <c r="N9" i="55"/>
  <c r="N7" i="55"/>
  <c r="A51" i="13"/>
  <c r="N25" i="54"/>
  <c r="B25" i="54"/>
  <c r="N24" i="54"/>
  <c r="B24" i="54"/>
  <c r="N23" i="54"/>
  <c r="B23" i="54"/>
  <c r="N22" i="54"/>
  <c r="B22" i="54"/>
  <c r="N21" i="54"/>
  <c r="B21" i="54"/>
  <c r="N20" i="54"/>
  <c r="B20" i="54"/>
  <c r="N19" i="54"/>
  <c r="B19" i="54"/>
  <c r="N18" i="54"/>
  <c r="B18" i="54"/>
  <c r="N17" i="54"/>
  <c r="B17" i="54"/>
  <c r="N16" i="54"/>
  <c r="B16" i="54"/>
  <c r="N15" i="54"/>
  <c r="B15" i="54"/>
  <c r="N14" i="54"/>
  <c r="L9" i="54" s="1"/>
  <c r="L10" i="54" s="1"/>
  <c r="B14" i="54"/>
  <c r="N13" i="54"/>
  <c r="N12" i="54"/>
  <c r="N9" i="54"/>
  <c r="N7" i="54"/>
  <c r="A50" i="13"/>
  <c r="L9" i="53"/>
  <c r="L10" i="53" s="1"/>
  <c r="N26" i="53"/>
  <c r="B26" i="53"/>
  <c r="N25" i="53"/>
  <c r="B25" i="53"/>
  <c r="N24" i="53"/>
  <c r="B24" i="53"/>
  <c r="N23" i="53"/>
  <c r="B23" i="53"/>
  <c r="N22" i="53"/>
  <c r="B22" i="53"/>
  <c r="N21" i="53"/>
  <c r="B21" i="53"/>
  <c r="N20" i="53"/>
  <c r="B20" i="53"/>
  <c r="N19" i="53"/>
  <c r="B19" i="53"/>
  <c r="N18" i="53"/>
  <c r="B18" i="53"/>
  <c r="N17" i="53"/>
  <c r="B17" i="53"/>
  <c r="N16" i="53"/>
  <c r="B16" i="53"/>
  <c r="N15" i="53"/>
  <c r="B15" i="53"/>
  <c r="N14" i="53"/>
  <c r="B14" i="53"/>
  <c r="N13" i="53"/>
  <c r="N12" i="53"/>
  <c r="N9" i="53"/>
  <c r="N7" i="53"/>
  <c r="A49" i="13"/>
  <c r="N22" i="52"/>
  <c r="B22" i="52"/>
  <c r="N21" i="52"/>
  <c r="B21" i="52"/>
  <c r="N20" i="52"/>
  <c r="B20" i="52"/>
  <c r="N19" i="52"/>
  <c r="B19" i="52"/>
  <c r="N18" i="52"/>
  <c r="B18" i="52"/>
  <c r="N17" i="52"/>
  <c r="B17" i="52"/>
  <c r="N16" i="52"/>
  <c r="B16" i="52"/>
  <c r="N15" i="52"/>
  <c r="B15" i="52"/>
  <c r="N14" i="52"/>
  <c r="L9" i="52" s="1"/>
  <c r="L10" i="52" s="1"/>
  <c r="B14" i="52"/>
  <c r="N13" i="52"/>
  <c r="N12" i="52"/>
  <c r="N9" i="52"/>
  <c r="N7" i="52"/>
  <c r="A48" i="13"/>
  <c r="N23" i="51"/>
  <c r="B23" i="51"/>
  <c r="N22" i="51"/>
  <c r="B22" i="51"/>
  <c r="N21" i="51"/>
  <c r="B21" i="51"/>
  <c r="N20" i="51"/>
  <c r="B20" i="51"/>
  <c r="N19" i="51"/>
  <c r="B19" i="51"/>
  <c r="N18" i="51"/>
  <c r="B18" i="51"/>
  <c r="N17" i="51"/>
  <c r="B17" i="51"/>
  <c r="N16" i="51"/>
  <c r="B16" i="51"/>
  <c r="N15" i="51"/>
  <c r="L9" i="51" s="1"/>
  <c r="L10" i="51" s="1"/>
  <c r="B15" i="51"/>
  <c r="N14" i="51"/>
  <c r="B14" i="51"/>
  <c r="N13" i="51"/>
  <c r="N12" i="51"/>
  <c r="N9" i="51"/>
  <c r="N7" i="51"/>
  <c r="A47" i="13"/>
  <c r="N24" i="50"/>
  <c r="B24" i="50"/>
  <c r="N23" i="50"/>
  <c r="B23" i="50"/>
  <c r="N22" i="50"/>
  <c r="B22" i="50"/>
  <c r="N21" i="50"/>
  <c r="B21" i="50"/>
  <c r="N20" i="50"/>
  <c r="B20" i="50"/>
  <c r="N19" i="50"/>
  <c r="B19" i="50"/>
  <c r="N18" i="50"/>
  <c r="B18" i="50"/>
  <c r="N17" i="50"/>
  <c r="B17" i="50"/>
  <c r="N16" i="50"/>
  <c r="B16" i="50"/>
  <c r="N15" i="50"/>
  <c r="B15" i="50"/>
  <c r="N14" i="50"/>
  <c r="L9" i="50" s="1"/>
  <c r="L10" i="50" s="1"/>
  <c r="B14" i="50"/>
  <c r="N13" i="50"/>
  <c r="N12" i="50"/>
  <c r="N9" i="50"/>
  <c r="N7" i="50"/>
  <c r="A46" i="13"/>
  <c r="N28" i="49"/>
  <c r="B28" i="49"/>
  <c r="N27" i="49"/>
  <c r="B27" i="49"/>
  <c r="N26" i="49"/>
  <c r="B26" i="49"/>
  <c r="N25" i="49"/>
  <c r="B25" i="49"/>
  <c r="N24" i="49"/>
  <c r="B24" i="49"/>
  <c r="N23" i="49"/>
  <c r="B23" i="49"/>
  <c r="N22" i="49"/>
  <c r="B22" i="49"/>
  <c r="N21" i="49"/>
  <c r="B21" i="49"/>
  <c r="N20" i="49"/>
  <c r="B20" i="49"/>
  <c r="N19" i="49"/>
  <c r="B19" i="49"/>
  <c r="N18" i="49"/>
  <c r="B18" i="49"/>
  <c r="N17" i="49"/>
  <c r="B17" i="49"/>
  <c r="N16" i="49"/>
  <c r="B16" i="49"/>
  <c r="N15" i="49"/>
  <c r="B15" i="49"/>
  <c r="N14" i="49"/>
  <c r="L9" i="49" s="1"/>
  <c r="L10" i="49" s="1"/>
  <c r="B14" i="49"/>
  <c r="N13" i="49"/>
  <c r="N12" i="49"/>
  <c r="N9" i="49"/>
  <c r="N7" i="49"/>
  <c r="A45" i="13"/>
  <c r="L9" i="48"/>
  <c r="L10" i="48" s="1"/>
  <c r="N24" i="48"/>
  <c r="B24" i="48"/>
  <c r="N23" i="48"/>
  <c r="B23" i="48"/>
  <c r="N22" i="48"/>
  <c r="B22" i="48"/>
  <c r="N21" i="48"/>
  <c r="B21" i="48"/>
  <c r="N20" i="48"/>
  <c r="B20" i="48"/>
  <c r="N19" i="48"/>
  <c r="B19" i="48"/>
  <c r="N18" i="48"/>
  <c r="B18" i="48"/>
  <c r="N17" i="48"/>
  <c r="B17" i="48"/>
  <c r="N16" i="48"/>
  <c r="B16" i="48"/>
  <c r="N15" i="48"/>
  <c r="B15" i="48"/>
  <c r="N14" i="48"/>
  <c r="B14" i="48"/>
  <c r="N13" i="48"/>
  <c r="N12" i="48"/>
  <c r="N9" i="48"/>
  <c r="N7" i="48"/>
  <c r="A44" i="13"/>
  <c r="N23" i="47"/>
  <c r="B23" i="47"/>
  <c r="N22" i="47"/>
  <c r="B22" i="47"/>
  <c r="N21" i="47"/>
  <c r="B21" i="47"/>
  <c r="N20" i="47"/>
  <c r="B20" i="47"/>
  <c r="N19" i="47"/>
  <c r="B19" i="47"/>
  <c r="N18" i="47"/>
  <c r="B18" i="47"/>
  <c r="N17" i="47"/>
  <c r="B17" i="47"/>
  <c r="N16" i="47"/>
  <c r="B16" i="47"/>
  <c r="N15" i="47"/>
  <c r="B15" i="47"/>
  <c r="N14" i="47"/>
  <c r="L9" i="47" s="1"/>
  <c r="L10" i="47" s="1"/>
  <c r="B14" i="47"/>
  <c r="N13" i="47"/>
  <c r="N12" i="47"/>
  <c r="N9" i="47"/>
  <c r="N7" i="47"/>
  <c r="A43" i="13"/>
  <c r="N31" i="46"/>
  <c r="B31" i="46"/>
  <c r="N30" i="46"/>
  <c r="B30" i="46"/>
  <c r="N29" i="46"/>
  <c r="B29" i="46"/>
  <c r="N28" i="46"/>
  <c r="B28" i="46"/>
  <c r="N27" i="46"/>
  <c r="B27" i="46"/>
  <c r="N26" i="46"/>
  <c r="B26" i="46"/>
  <c r="N25" i="46"/>
  <c r="B25" i="46"/>
  <c r="N24" i="46"/>
  <c r="B24" i="46"/>
  <c r="N23" i="46"/>
  <c r="B23" i="46"/>
  <c r="N22" i="46"/>
  <c r="B22" i="46"/>
  <c r="N21" i="46"/>
  <c r="B21" i="46"/>
  <c r="N20" i="46"/>
  <c r="B20" i="46"/>
  <c r="N19" i="46"/>
  <c r="B19" i="46"/>
  <c r="N18" i="46"/>
  <c r="B18" i="46"/>
  <c r="N17" i="46"/>
  <c r="B17" i="46"/>
  <c r="N16" i="46"/>
  <c r="B16" i="46"/>
  <c r="N15" i="46"/>
  <c r="B15" i="46"/>
  <c r="N14" i="46"/>
  <c r="L9" i="46" s="1"/>
  <c r="L10" i="46" s="1"/>
  <c r="B14" i="46"/>
  <c r="N13" i="46"/>
  <c r="N12" i="46"/>
  <c r="N9" i="46"/>
  <c r="N7" i="46"/>
  <c r="A42" i="13"/>
  <c r="N30" i="45"/>
  <c r="B30" i="45"/>
  <c r="N29" i="45"/>
  <c r="B29" i="45"/>
  <c r="N28" i="45"/>
  <c r="B28" i="45"/>
  <c r="N27" i="45"/>
  <c r="B27" i="45"/>
  <c r="N26" i="45"/>
  <c r="B26" i="45"/>
  <c r="N25" i="45"/>
  <c r="B25" i="45"/>
  <c r="N24" i="45"/>
  <c r="B24" i="45"/>
  <c r="N23" i="45"/>
  <c r="B23" i="45"/>
  <c r="N22" i="45"/>
  <c r="B22" i="45"/>
  <c r="N21" i="45"/>
  <c r="B21" i="45"/>
  <c r="N20" i="45"/>
  <c r="B20" i="45"/>
  <c r="N19" i="45"/>
  <c r="B19" i="45"/>
  <c r="N18" i="45"/>
  <c r="B18" i="45"/>
  <c r="N17" i="45"/>
  <c r="B17" i="45"/>
  <c r="N16" i="45"/>
  <c r="B16" i="45"/>
  <c r="N15" i="45"/>
  <c r="B15" i="45"/>
  <c r="N14" i="45"/>
  <c r="L9" i="45" s="1"/>
  <c r="L10" i="45" s="1"/>
  <c r="B14" i="45"/>
  <c r="N13" i="45"/>
  <c r="N12" i="45"/>
  <c r="N9" i="45"/>
  <c r="N7" i="45"/>
  <c r="A41" i="13"/>
  <c r="L9" i="44"/>
  <c r="L10" i="44" s="1"/>
  <c r="N24" i="44"/>
  <c r="B24" i="44"/>
  <c r="N23" i="44"/>
  <c r="B23" i="44"/>
  <c r="N22" i="44"/>
  <c r="B22" i="44"/>
  <c r="N21" i="44"/>
  <c r="B21" i="44"/>
  <c r="N20" i="44"/>
  <c r="B20" i="44"/>
  <c r="N19" i="44"/>
  <c r="B19" i="44"/>
  <c r="N18" i="44"/>
  <c r="B18" i="44"/>
  <c r="N17" i="44"/>
  <c r="B17" i="44"/>
  <c r="N16" i="44"/>
  <c r="B16" i="44"/>
  <c r="N15" i="44"/>
  <c r="B15" i="44"/>
  <c r="N14" i="44"/>
  <c r="B14" i="44"/>
  <c r="N13" i="44"/>
  <c r="N12" i="44"/>
  <c r="N9" i="44"/>
  <c r="N7" i="44"/>
  <c r="A40" i="13"/>
  <c r="N28" i="43"/>
  <c r="B28" i="43"/>
  <c r="N27" i="43"/>
  <c r="B27" i="43"/>
  <c r="N26" i="43"/>
  <c r="B26" i="43"/>
  <c r="N25" i="43"/>
  <c r="B25" i="43"/>
  <c r="N24" i="43"/>
  <c r="B24" i="43"/>
  <c r="N23" i="43"/>
  <c r="B23" i="43"/>
  <c r="N22" i="43"/>
  <c r="B22" i="43"/>
  <c r="N21" i="43"/>
  <c r="B21" i="43"/>
  <c r="N20" i="43"/>
  <c r="B20" i="43"/>
  <c r="N19" i="43"/>
  <c r="B19" i="43"/>
  <c r="N18" i="43"/>
  <c r="B18" i="43"/>
  <c r="N17" i="43"/>
  <c r="B17" i="43"/>
  <c r="N16" i="43"/>
  <c r="B16" i="43"/>
  <c r="N15" i="43"/>
  <c r="B15" i="43"/>
  <c r="N14" i="43"/>
  <c r="L9" i="43" s="1"/>
  <c r="L10" i="43" s="1"/>
  <c r="B14" i="43"/>
  <c r="N13" i="43"/>
  <c r="N12" i="43"/>
  <c r="N9" i="43"/>
  <c r="N7" i="43"/>
  <c r="A39" i="13"/>
  <c r="L9" i="42"/>
  <c r="L10" i="42" s="1"/>
  <c r="N33" i="42"/>
  <c r="B33" i="42"/>
  <c r="N32" i="42"/>
  <c r="B32" i="42"/>
  <c r="N31" i="42"/>
  <c r="B31" i="42"/>
  <c r="N30" i="42"/>
  <c r="B30" i="42"/>
  <c r="N29" i="42"/>
  <c r="B29" i="42"/>
  <c r="N28" i="42"/>
  <c r="B28" i="42"/>
  <c r="N27" i="42"/>
  <c r="B27" i="42"/>
  <c r="N26" i="42"/>
  <c r="B26" i="42"/>
  <c r="N25" i="42"/>
  <c r="B25" i="42"/>
  <c r="N24" i="42"/>
  <c r="B24" i="42"/>
  <c r="N23" i="42"/>
  <c r="B23" i="42"/>
  <c r="N22" i="42"/>
  <c r="B22" i="42"/>
  <c r="N21" i="42"/>
  <c r="B21" i="42"/>
  <c r="N20" i="42"/>
  <c r="B20" i="42"/>
  <c r="N19" i="42"/>
  <c r="B19" i="42"/>
  <c r="N18" i="42"/>
  <c r="B18" i="42"/>
  <c r="N17" i="42"/>
  <c r="B17" i="42"/>
  <c r="N16" i="42"/>
  <c r="B16" i="42"/>
  <c r="N15" i="42"/>
  <c r="B15" i="42"/>
  <c r="N14" i="42"/>
  <c r="B14" i="42"/>
  <c r="N13" i="42"/>
  <c r="N12" i="42"/>
  <c r="N9" i="42"/>
  <c r="N7" i="42"/>
  <c r="A38" i="13"/>
  <c r="N26" i="41"/>
  <c r="B26" i="41"/>
  <c r="N25" i="41"/>
  <c r="B25" i="41"/>
  <c r="N24" i="41"/>
  <c r="B24" i="41"/>
  <c r="N23" i="41"/>
  <c r="B23" i="41"/>
  <c r="N22" i="41"/>
  <c r="B22" i="41"/>
  <c r="N21" i="41"/>
  <c r="B21" i="41"/>
  <c r="N20" i="41"/>
  <c r="B20" i="41"/>
  <c r="N19" i="41"/>
  <c r="B19" i="41"/>
  <c r="N18" i="41"/>
  <c r="B18" i="41"/>
  <c r="N17" i="41"/>
  <c r="B17" i="41"/>
  <c r="N16" i="41"/>
  <c r="B16" i="41"/>
  <c r="N15" i="41"/>
  <c r="B15" i="41"/>
  <c r="N14" i="41"/>
  <c r="L9" i="41" s="1"/>
  <c r="L10" i="41" s="1"/>
  <c r="B14" i="41"/>
  <c r="N13" i="41"/>
  <c r="N12" i="41"/>
  <c r="N9" i="41"/>
  <c r="N7" i="41"/>
  <c r="A37" i="13"/>
  <c r="N25" i="40"/>
  <c r="B25" i="40"/>
  <c r="N24" i="40"/>
  <c r="B24" i="40"/>
  <c r="N23" i="40"/>
  <c r="B23" i="40"/>
  <c r="N22" i="40"/>
  <c r="B22" i="40"/>
  <c r="N21" i="40"/>
  <c r="B21" i="40"/>
  <c r="N20" i="40"/>
  <c r="B20" i="40"/>
  <c r="N19" i="40"/>
  <c r="B19" i="40"/>
  <c r="N18" i="40"/>
  <c r="B18" i="40"/>
  <c r="N17" i="40"/>
  <c r="B17" i="40"/>
  <c r="N16" i="40"/>
  <c r="B16" i="40"/>
  <c r="N15" i="40"/>
  <c r="L9" i="40" s="1"/>
  <c r="L10" i="40" s="1"/>
  <c r="B15" i="40"/>
  <c r="N14" i="40"/>
  <c r="B14" i="40"/>
  <c r="N13" i="40"/>
  <c r="N12" i="40"/>
  <c r="N9" i="40"/>
  <c r="N7" i="40"/>
  <c r="A36" i="13"/>
  <c r="N29" i="39"/>
  <c r="B29" i="39"/>
  <c r="N28" i="39"/>
  <c r="B28" i="39"/>
  <c r="N27" i="39"/>
  <c r="B27" i="39"/>
  <c r="N26" i="39"/>
  <c r="B26" i="39"/>
  <c r="N25" i="39"/>
  <c r="B25" i="39"/>
  <c r="N24" i="39"/>
  <c r="B24" i="39"/>
  <c r="N23" i="39"/>
  <c r="B23" i="39"/>
  <c r="N22" i="39"/>
  <c r="B22" i="39"/>
  <c r="N21" i="39"/>
  <c r="B21" i="39"/>
  <c r="N20" i="39"/>
  <c r="B20" i="39"/>
  <c r="N19" i="39"/>
  <c r="B19" i="39"/>
  <c r="N18" i="39"/>
  <c r="B18" i="39"/>
  <c r="N17" i="39"/>
  <c r="B17" i="39"/>
  <c r="N16" i="39"/>
  <c r="B16" i="39"/>
  <c r="N15" i="39"/>
  <c r="B15" i="39"/>
  <c r="N14" i="39"/>
  <c r="L9" i="39" s="1"/>
  <c r="L10" i="39" s="1"/>
  <c r="B14" i="39"/>
  <c r="N13" i="39"/>
  <c r="N12" i="39"/>
  <c r="N9" i="39"/>
  <c r="N7" i="39"/>
  <c r="A35" i="13"/>
  <c r="N25" i="38"/>
  <c r="B25" i="38"/>
  <c r="N24" i="38"/>
  <c r="B24" i="38"/>
  <c r="N23" i="38"/>
  <c r="B23" i="38"/>
  <c r="N22" i="38"/>
  <c r="B22" i="38"/>
  <c r="N21" i="38"/>
  <c r="B21" i="38"/>
  <c r="N20" i="38"/>
  <c r="B20" i="38"/>
  <c r="N19" i="38"/>
  <c r="B19" i="38"/>
  <c r="N18" i="38"/>
  <c r="B18" i="38"/>
  <c r="N17" i="38"/>
  <c r="B17" i="38"/>
  <c r="N16" i="38"/>
  <c r="B16" i="38"/>
  <c r="N15" i="38"/>
  <c r="B15" i="38"/>
  <c r="N14" i="38"/>
  <c r="L9" i="38" s="1"/>
  <c r="L10" i="38" s="1"/>
  <c r="B14" i="38"/>
  <c r="N13" i="38"/>
  <c r="N12" i="38"/>
  <c r="N9" i="38"/>
  <c r="N7" i="38"/>
  <c r="A34" i="13"/>
  <c r="N32" i="37"/>
  <c r="B32" i="37"/>
  <c r="N31" i="37"/>
  <c r="B31" i="37"/>
  <c r="N30" i="37"/>
  <c r="B30" i="37"/>
  <c r="N29" i="37"/>
  <c r="B29" i="37"/>
  <c r="N28" i="37"/>
  <c r="B28" i="37"/>
  <c r="N27" i="37"/>
  <c r="B27" i="37"/>
  <c r="N26" i="37"/>
  <c r="B26" i="37"/>
  <c r="N25" i="37"/>
  <c r="B25" i="37"/>
  <c r="N24" i="37"/>
  <c r="B24" i="37"/>
  <c r="N23" i="37"/>
  <c r="B23" i="37"/>
  <c r="N22" i="37"/>
  <c r="B22" i="37"/>
  <c r="N21" i="37"/>
  <c r="B21" i="37"/>
  <c r="N20" i="37"/>
  <c r="B20" i="37"/>
  <c r="N19" i="37"/>
  <c r="B19" i="37"/>
  <c r="N18" i="37"/>
  <c r="B18" i="37"/>
  <c r="N17" i="37"/>
  <c r="B17" i="37"/>
  <c r="N16" i="37"/>
  <c r="B16" i="37"/>
  <c r="N15" i="37"/>
  <c r="B15" i="37"/>
  <c r="N14" i="37"/>
  <c r="L9" i="37" s="1"/>
  <c r="L10" i="37" s="1"/>
  <c r="B14" i="37"/>
  <c r="N13" i="37"/>
  <c r="N12" i="37"/>
  <c r="N9" i="37"/>
  <c r="N7" i="37"/>
  <c r="A33" i="13"/>
  <c r="N25" i="36"/>
  <c r="B25" i="36"/>
  <c r="N24" i="36"/>
  <c r="B24" i="36"/>
  <c r="N23" i="36"/>
  <c r="B23" i="36"/>
  <c r="N22" i="36"/>
  <c r="B22" i="36"/>
  <c r="N21" i="36"/>
  <c r="B21" i="36"/>
  <c r="N20" i="36"/>
  <c r="B20" i="36"/>
  <c r="N19" i="36"/>
  <c r="B19" i="36"/>
  <c r="N18" i="36"/>
  <c r="B18" i="36"/>
  <c r="N17" i="36"/>
  <c r="B17" i="36"/>
  <c r="N16" i="36"/>
  <c r="B16" i="36"/>
  <c r="N15" i="36"/>
  <c r="B15" i="36"/>
  <c r="N14" i="36"/>
  <c r="L9" i="36" s="1"/>
  <c r="L10" i="36" s="1"/>
  <c r="B14" i="36"/>
  <c r="N13" i="36"/>
  <c r="N12" i="36"/>
  <c r="N9" i="36"/>
  <c r="N7" i="36"/>
  <c r="A32" i="13"/>
  <c r="N24" i="35"/>
  <c r="B24" i="35"/>
  <c r="N23" i="35"/>
  <c r="B23" i="35"/>
  <c r="N22" i="35"/>
  <c r="B22" i="35"/>
  <c r="N21" i="35"/>
  <c r="B21" i="35"/>
  <c r="N20" i="35"/>
  <c r="B20" i="35"/>
  <c r="N19" i="35"/>
  <c r="B19" i="35"/>
  <c r="N18" i="35"/>
  <c r="B18" i="35"/>
  <c r="N17" i="35"/>
  <c r="B17" i="35"/>
  <c r="N16" i="35"/>
  <c r="B16" i="35"/>
  <c r="N15" i="35"/>
  <c r="B15" i="35"/>
  <c r="N14" i="35"/>
  <c r="L9" i="35" s="1"/>
  <c r="L10" i="35" s="1"/>
  <c r="B14" i="35"/>
  <c r="N13" i="35"/>
  <c r="N12" i="35"/>
  <c r="N9" i="35"/>
  <c r="N7" i="35"/>
  <c r="A31" i="13"/>
  <c r="N32" i="34"/>
  <c r="B32" i="34"/>
  <c r="N31" i="34"/>
  <c r="B31" i="34"/>
  <c r="N30" i="34"/>
  <c r="B30" i="34"/>
  <c r="N29" i="34"/>
  <c r="B29" i="34"/>
  <c r="N28" i="34"/>
  <c r="B28" i="34"/>
  <c r="N27" i="34"/>
  <c r="B27" i="34"/>
  <c r="N26" i="34"/>
  <c r="B26" i="34"/>
  <c r="N25" i="34"/>
  <c r="B25" i="34"/>
  <c r="N24" i="34"/>
  <c r="B24" i="34"/>
  <c r="N23" i="34"/>
  <c r="B23" i="34"/>
  <c r="N22" i="34"/>
  <c r="B22" i="34"/>
  <c r="N21" i="34"/>
  <c r="B21" i="34"/>
  <c r="N20" i="34"/>
  <c r="B20" i="34"/>
  <c r="N19" i="34"/>
  <c r="B19" i="34"/>
  <c r="N18" i="34"/>
  <c r="B18" i="34"/>
  <c r="N17" i="34"/>
  <c r="B17" i="34"/>
  <c r="N16" i="34"/>
  <c r="B16" i="34"/>
  <c r="N15" i="34"/>
  <c r="B15" i="34"/>
  <c r="N14" i="34"/>
  <c r="L9" i="34" s="1"/>
  <c r="L10" i="34" s="1"/>
  <c r="B14" i="34"/>
  <c r="N13" i="34"/>
  <c r="N12" i="34"/>
  <c r="N9" i="34"/>
  <c r="N7" i="34"/>
  <c r="A30" i="13"/>
  <c r="N82" i="33"/>
  <c r="B82" i="33"/>
  <c r="N81" i="33"/>
  <c r="B81" i="33"/>
  <c r="N80" i="33"/>
  <c r="B80" i="33"/>
  <c r="N79" i="33"/>
  <c r="B79" i="33"/>
  <c r="N78" i="33"/>
  <c r="B78" i="33"/>
  <c r="N77" i="33"/>
  <c r="B77" i="33"/>
  <c r="N76" i="33"/>
  <c r="B76" i="33"/>
  <c r="N75" i="33"/>
  <c r="B75" i="33"/>
  <c r="N74" i="33"/>
  <c r="B74" i="33"/>
  <c r="N73" i="33"/>
  <c r="B73" i="33"/>
  <c r="N72" i="33"/>
  <c r="B72" i="33"/>
  <c r="N71" i="33"/>
  <c r="B71" i="33"/>
  <c r="N70" i="33"/>
  <c r="B70" i="33"/>
  <c r="N69" i="33"/>
  <c r="B69" i="33"/>
  <c r="N68" i="33"/>
  <c r="B68" i="33"/>
  <c r="N67" i="33"/>
  <c r="B67" i="33"/>
  <c r="N66" i="33"/>
  <c r="B66" i="33"/>
  <c r="N65" i="33"/>
  <c r="B65" i="33"/>
  <c r="N64" i="33"/>
  <c r="B64" i="33"/>
  <c r="N63" i="33"/>
  <c r="B63" i="33"/>
  <c r="N62" i="33"/>
  <c r="B62" i="33"/>
  <c r="N61" i="33"/>
  <c r="B61" i="33"/>
  <c r="N60" i="33"/>
  <c r="B60" i="33"/>
  <c r="N59" i="33"/>
  <c r="B59" i="33"/>
  <c r="N58" i="33"/>
  <c r="B58" i="33"/>
  <c r="N57" i="33"/>
  <c r="B57" i="33"/>
  <c r="N56" i="33"/>
  <c r="B56" i="33"/>
  <c r="N55" i="33"/>
  <c r="B55" i="33"/>
  <c r="N54" i="33"/>
  <c r="B54" i="33"/>
  <c r="N53" i="33"/>
  <c r="B53" i="33"/>
  <c r="N52" i="33"/>
  <c r="B52" i="33"/>
  <c r="N51" i="33"/>
  <c r="B51" i="33"/>
  <c r="N50" i="33"/>
  <c r="B50" i="33"/>
  <c r="N49" i="33"/>
  <c r="B49" i="33"/>
  <c r="N48" i="33"/>
  <c r="B48" i="33"/>
  <c r="N47" i="33"/>
  <c r="B47" i="33"/>
  <c r="N46" i="33"/>
  <c r="B46" i="33"/>
  <c r="N45" i="33"/>
  <c r="B45" i="33"/>
  <c r="N44" i="33"/>
  <c r="B44" i="33"/>
  <c r="N43" i="33"/>
  <c r="B43" i="33"/>
  <c r="N42" i="33"/>
  <c r="B42" i="33"/>
  <c r="N41" i="33"/>
  <c r="B41" i="33"/>
  <c r="N40" i="33"/>
  <c r="B40" i="33"/>
  <c r="N39" i="33"/>
  <c r="B39" i="33"/>
  <c r="N38" i="33"/>
  <c r="B38" i="33"/>
  <c r="N37" i="33"/>
  <c r="B37" i="33"/>
  <c r="N36" i="33"/>
  <c r="B36" i="33"/>
  <c r="N35" i="33"/>
  <c r="B35" i="33"/>
  <c r="N34" i="33"/>
  <c r="B34" i="33"/>
  <c r="N33" i="33"/>
  <c r="B33" i="33"/>
  <c r="N32" i="33"/>
  <c r="B32" i="33"/>
  <c r="N31" i="33"/>
  <c r="B31" i="33"/>
  <c r="N30" i="33"/>
  <c r="B30" i="33"/>
  <c r="N29" i="33"/>
  <c r="B29" i="33"/>
  <c r="N28" i="33"/>
  <c r="B28" i="33"/>
  <c r="N27" i="33"/>
  <c r="B27" i="33"/>
  <c r="N26" i="33"/>
  <c r="B26" i="33"/>
  <c r="N25" i="33"/>
  <c r="B25" i="33"/>
  <c r="N24" i="33"/>
  <c r="B24" i="33"/>
  <c r="N23" i="33"/>
  <c r="B23" i="33"/>
  <c r="N22" i="33"/>
  <c r="B22" i="33"/>
  <c r="N21" i="33"/>
  <c r="B21" i="33"/>
  <c r="N20" i="33"/>
  <c r="B20" i="33"/>
  <c r="N19" i="33"/>
  <c r="B19" i="33"/>
  <c r="N18" i="33"/>
  <c r="B18" i="33"/>
  <c r="N17" i="33"/>
  <c r="B17" i="33"/>
  <c r="N16" i="33"/>
  <c r="B16" i="33"/>
  <c r="N15" i="33"/>
  <c r="B15" i="33"/>
  <c r="N14" i="33"/>
  <c r="L9" i="33" s="1"/>
  <c r="L10" i="33" s="1"/>
  <c r="B14" i="33"/>
  <c r="N13" i="33"/>
  <c r="N12" i="33"/>
  <c r="N9" i="33"/>
  <c r="N7" i="33"/>
  <c r="A29" i="13"/>
  <c r="L9" i="32"/>
  <c r="L10" i="32" s="1"/>
  <c r="N29" i="32"/>
  <c r="B29" i="32"/>
  <c r="N28" i="32"/>
  <c r="B28" i="32"/>
  <c r="N27" i="32"/>
  <c r="B27" i="32"/>
  <c r="N26" i="32"/>
  <c r="B26" i="32"/>
  <c r="N25" i="32"/>
  <c r="B25" i="32"/>
  <c r="N24" i="32"/>
  <c r="B24" i="32"/>
  <c r="N23" i="32"/>
  <c r="B23" i="32"/>
  <c r="N22" i="32"/>
  <c r="B22" i="32"/>
  <c r="N21" i="32"/>
  <c r="B21" i="32"/>
  <c r="N20" i="32"/>
  <c r="B20" i="32"/>
  <c r="N19" i="32"/>
  <c r="B19" i="32"/>
  <c r="N18" i="32"/>
  <c r="B18" i="32"/>
  <c r="N17" i="32"/>
  <c r="B17" i="32"/>
  <c r="N16" i="32"/>
  <c r="B16" i="32"/>
  <c r="N15" i="32"/>
  <c r="B15" i="32"/>
  <c r="N14" i="32"/>
  <c r="B14" i="32"/>
  <c r="N13" i="32"/>
  <c r="N12" i="32"/>
  <c r="N9" i="32"/>
  <c r="N7" i="32"/>
  <c r="A28" i="13"/>
  <c r="N36" i="31"/>
  <c r="B36" i="31"/>
  <c r="N35" i="31"/>
  <c r="B35" i="31"/>
  <c r="N34" i="31"/>
  <c r="B34" i="31"/>
  <c r="N33" i="31"/>
  <c r="B33" i="31"/>
  <c r="N32" i="31"/>
  <c r="B32" i="31"/>
  <c r="N31" i="31"/>
  <c r="B31" i="31"/>
  <c r="N30" i="31"/>
  <c r="B30" i="31"/>
  <c r="N29" i="31"/>
  <c r="B29" i="31"/>
  <c r="N28" i="31"/>
  <c r="B28" i="31"/>
  <c r="N27" i="31"/>
  <c r="B27" i="31"/>
  <c r="N26" i="31"/>
  <c r="B26" i="31"/>
  <c r="N25" i="31"/>
  <c r="B25" i="31"/>
  <c r="N24" i="31"/>
  <c r="B24" i="31"/>
  <c r="N23" i="31"/>
  <c r="B23" i="31"/>
  <c r="N22" i="31"/>
  <c r="B22" i="31"/>
  <c r="N21" i="31"/>
  <c r="B21" i="31"/>
  <c r="N20" i="31"/>
  <c r="B20" i="31"/>
  <c r="N19" i="31"/>
  <c r="B19" i="31"/>
  <c r="N18" i="31"/>
  <c r="B18" i="31"/>
  <c r="N17" i="31"/>
  <c r="B17" i="31"/>
  <c r="N16" i="31"/>
  <c r="B16" i="31"/>
  <c r="N15" i="31"/>
  <c r="B15" i="31"/>
  <c r="N14" i="31"/>
  <c r="L9" i="31" s="1"/>
  <c r="L10" i="31" s="1"/>
  <c r="B14" i="31"/>
  <c r="N13" i="31"/>
  <c r="N12" i="31"/>
  <c r="N9" i="31"/>
  <c r="N7" i="31"/>
  <c r="A27" i="13"/>
  <c r="L9" i="30"/>
  <c r="L10" i="30" s="1"/>
  <c r="N28" i="30"/>
  <c r="B28" i="30"/>
  <c r="N27" i="30"/>
  <c r="B27" i="30"/>
  <c r="N26" i="30"/>
  <c r="B26" i="30"/>
  <c r="N25" i="30"/>
  <c r="B25" i="30"/>
  <c r="N24" i="30"/>
  <c r="B24" i="30"/>
  <c r="N23" i="30"/>
  <c r="B23" i="30"/>
  <c r="N22" i="30"/>
  <c r="B22" i="30"/>
  <c r="N21" i="30"/>
  <c r="B21" i="30"/>
  <c r="N20" i="30"/>
  <c r="B20" i="30"/>
  <c r="N19" i="30"/>
  <c r="B19" i="30"/>
  <c r="N18" i="30"/>
  <c r="B18" i="30"/>
  <c r="N17" i="30"/>
  <c r="B17" i="30"/>
  <c r="N16" i="30"/>
  <c r="B16" i="30"/>
  <c r="N15" i="30"/>
  <c r="B15" i="30"/>
  <c r="N14" i="30"/>
  <c r="B14" i="30"/>
  <c r="N13" i="30"/>
  <c r="N12" i="30"/>
  <c r="N9" i="30"/>
  <c r="N7" i="30"/>
  <c r="A26" i="13"/>
  <c r="N42" i="29"/>
  <c r="B42" i="29"/>
  <c r="N41" i="29"/>
  <c r="B41" i="29"/>
  <c r="N40" i="29"/>
  <c r="B40" i="29"/>
  <c r="N39" i="29"/>
  <c r="B39" i="29"/>
  <c r="N38" i="29"/>
  <c r="B38" i="29"/>
  <c r="N37" i="29"/>
  <c r="B37" i="29"/>
  <c r="N36" i="29"/>
  <c r="B36" i="29"/>
  <c r="N35" i="29"/>
  <c r="B35" i="29"/>
  <c r="N34" i="29"/>
  <c r="B34" i="29"/>
  <c r="N33" i="29"/>
  <c r="B33" i="29"/>
  <c r="N32" i="29"/>
  <c r="B32" i="29"/>
  <c r="N31" i="29"/>
  <c r="B31" i="29"/>
  <c r="N30" i="29"/>
  <c r="B30" i="29"/>
  <c r="N29" i="29"/>
  <c r="B29" i="29"/>
  <c r="N28" i="29"/>
  <c r="B28" i="29"/>
  <c r="N27" i="29"/>
  <c r="B27" i="29"/>
  <c r="N26" i="29"/>
  <c r="B26" i="29"/>
  <c r="N25" i="29"/>
  <c r="B25" i="29"/>
  <c r="N24" i="29"/>
  <c r="B24" i="29"/>
  <c r="N23" i="29"/>
  <c r="B23" i="29"/>
  <c r="N22" i="29"/>
  <c r="B22" i="29"/>
  <c r="N21" i="29"/>
  <c r="B21" i="29"/>
  <c r="N20" i="29"/>
  <c r="B20" i="29"/>
  <c r="N19" i="29"/>
  <c r="B19" i="29"/>
  <c r="N18" i="29"/>
  <c r="B18" i="29"/>
  <c r="N17" i="29"/>
  <c r="B17" i="29"/>
  <c r="N16" i="29"/>
  <c r="B16" i="29"/>
  <c r="N15" i="29"/>
  <c r="L9" i="29" s="1"/>
  <c r="L10" i="29" s="1"/>
  <c r="B15" i="29"/>
  <c r="N14" i="29"/>
  <c r="B14" i="29"/>
  <c r="N13" i="29"/>
  <c r="N12" i="29"/>
  <c r="N9" i="29"/>
  <c r="N7" i="29"/>
  <c r="A25" i="13"/>
  <c r="N37" i="28"/>
  <c r="B37" i="28"/>
  <c r="N36" i="28"/>
  <c r="B36" i="28"/>
  <c r="N35" i="28"/>
  <c r="B35" i="28"/>
  <c r="N34" i="28"/>
  <c r="B34" i="28"/>
  <c r="N33" i="28"/>
  <c r="B33" i="28"/>
  <c r="N32" i="28"/>
  <c r="B32" i="28"/>
  <c r="N31" i="28"/>
  <c r="B31" i="28"/>
  <c r="N30" i="28"/>
  <c r="B30" i="28"/>
  <c r="N29" i="28"/>
  <c r="B29" i="28"/>
  <c r="N28" i="28"/>
  <c r="B28" i="28"/>
  <c r="N27" i="28"/>
  <c r="B27" i="28"/>
  <c r="N26" i="28"/>
  <c r="B26" i="28"/>
  <c r="N25" i="28"/>
  <c r="B25" i="28"/>
  <c r="N24" i="28"/>
  <c r="B24" i="28"/>
  <c r="N23" i="28"/>
  <c r="B23" i="28"/>
  <c r="N22" i="28"/>
  <c r="B22" i="28"/>
  <c r="N21" i="28"/>
  <c r="B21" i="28"/>
  <c r="N20" i="28"/>
  <c r="B20" i="28"/>
  <c r="N19" i="28"/>
  <c r="B19" i="28"/>
  <c r="N18" i="28"/>
  <c r="B18" i="28"/>
  <c r="N17" i="28"/>
  <c r="B17" i="28"/>
  <c r="N16" i="28"/>
  <c r="B16" i="28"/>
  <c r="N15" i="28"/>
  <c r="B15" i="28"/>
  <c r="N14" i="28"/>
  <c r="L9" i="28" s="1"/>
  <c r="L10" i="28" s="1"/>
  <c r="B14" i="28"/>
  <c r="N13" i="28"/>
  <c r="N12" i="28"/>
  <c r="N9" i="28"/>
  <c r="N7" i="28"/>
  <c r="A24" i="13"/>
  <c r="N39" i="27"/>
  <c r="B39" i="27"/>
  <c r="N38" i="27"/>
  <c r="B38" i="27"/>
  <c r="N37" i="27"/>
  <c r="B37" i="27"/>
  <c r="N36" i="27"/>
  <c r="B36" i="27"/>
  <c r="N35" i="27"/>
  <c r="B35" i="27"/>
  <c r="N34" i="27"/>
  <c r="B34" i="27"/>
  <c r="N33" i="27"/>
  <c r="B33" i="27"/>
  <c r="N32" i="27"/>
  <c r="B32" i="27"/>
  <c r="N31" i="27"/>
  <c r="B31" i="27"/>
  <c r="N30" i="27"/>
  <c r="B30" i="27"/>
  <c r="N29" i="27"/>
  <c r="B29" i="27"/>
  <c r="N28" i="27"/>
  <c r="B28" i="27"/>
  <c r="N27" i="27"/>
  <c r="B27" i="27"/>
  <c r="N26" i="27"/>
  <c r="B26" i="27"/>
  <c r="N25" i="27"/>
  <c r="B25" i="27"/>
  <c r="N24" i="27"/>
  <c r="B24" i="27"/>
  <c r="N23" i="27"/>
  <c r="B23" i="27"/>
  <c r="N22" i="27"/>
  <c r="B22" i="27"/>
  <c r="N21" i="27"/>
  <c r="B21" i="27"/>
  <c r="N20" i="27"/>
  <c r="B20" i="27"/>
  <c r="N19" i="27"/>
  <c r="B19" i="27"/>
  <c r="N18" i="27"/>
  <c r="B18" i="27"/>
  <c r="N17" i="27"/>
  <c r="B17" i="27"/>
  <c r="N16" i="27"/>
  <c r="B16" i="27"/>
  <c r="N15" i="27"/>
  <c r="B15" i="27"/>
  <c r="N14" i="27"/>
  <c r="L9" i="27" s="1"/>
  <c r="L10" i="27" s="1"/>
  <c r="B14" i="27"/>
  <c r="N13" i="27"/>
  <c r="N12" i="27"/>
  <c r="N9" i="27"/>
  <c r="N7" i="27"/>
  <c r="A23" i="13"/>
  <c r="L9" i="26"/>
  <c r="L10" i="26" s="1"/>
  <c r="N40" i="26"/>
  <c r="B40" i="26"/>
  <c r="N39" i="26"/>
  <c r="B39" i="26"/>
  <c r="N38" i="26"/>
  <c r="B38" i="26"/>
  <c r="N37" i="26"/>
  <c r="B37" i="26"/>
  <c r="N36" i="26"/>
  <c r="B36" i="26"/>
  <c r="N35" i="26"/>
  <c r="B35" i="26"/>
  <c r="N34" i="26"/>
  <c r="B34" i="26"/>
  <c r="N33" i="26"/>
  <c r="B33" i="26"/>
  <c r="N32" i="26"/>
  <c r="B32" i="26"/>
  <c r="N31" i="26"/>
  <c r="B31" i="26"/>
  <c r="N30" i="26"/>
  <c r="B30" i="26"/>
  <c r="N29" i="26"/>
  <c r="B29" i="26"/>
  <c r="N28" i="26"/>
  <c r="B28" i="26"/>
  <c r="N27" i="26"/>
  <c r="B27" i="26"/>
  <c r="N26" i="26"/>
  <c r="B26" i="26"/>
  <c r="N25" i="26"/>
  <c r="B25" i="26"/>
  <c r="N24" i="26"/>
  <c r="B24" i="26"/>
  <c r="N23" i="26"/>
  <c r="B23" i="26"/>
  <c r="N22" i="26"/>
  <c r="B22" i="26"/>
  <c r="N21" i="26"/>
  <c r="B21" i="26"/>
  <c r="N20" i="26"/>
  <c r="B20" i="26"/>
  <c r="N19" i="26"/>
  <c r="B19" i="26"/>
  <c r="N18" i="26"/>
  <c r="B18" i="26"/>
  <c r="N17" i="26"/>
  <c r="B17" i="26"/>
  <c r="N16" i="26"/>
  <c r="B16" i="26"/>
  <c r="N15" i="26"/>
  <c r="B15" i="26"/>
  <c r="N14" i="26"/>
  <c r="B14" i="26"/>
  <c r="N13" i="26"/>
  <c r="N12" i="26"/>
  <c r="N9" i="26"/>
  <c r="N7" i="26"/>
  <c r="A22" i="13"/>
  <c r="N40" i="25"/>
  <c r="B40" i="25"/>
  <c r="N39" i="25"/>
  <c r="B39" i="25"/>
  <c r="N38" i="25"/>
  <c r="B38" i="25"/>
  <c r="N37" i="25"/>
  <c r="B37" i="25"/>
  <c r="N36" i="25"/>
  <c r="B36" i="25"/>
  <c r="N35" i="25"/>
  <c r="B35" i="25"/>
  <c r="N34" i="25"/>
  <c r="B34" i="25"/>
  <c r="N33" i="25"/>
  <c r="B33" i="25"/>
  <c r="N32" i="25"/>
  <c r="B32" i="25"/>
  <c r="N31" i="25"/>
  <c r="B31" i="25"/>
  <c r="N30" i="25"/>
  <c r="B30" i="25"/>
  <c r="N29" i="25"/>
  <c r="B29" i="25"/>
  <c r="N28" i="25"/>
  <c r="B28" i="25"/>
  <c r="N27" i="25"/>
  <c r="B27" i="25"/>
  <c r="N26" i="25"/>
  <c r="B26" i="25"/>
  <c r="N25" i="25"/>
  <c r="B25" i="25"/>
  <c r="N24" i="25"/>
  <c r="B24" i="25"/>
  <c r="N23" i="25"/>
  <c r="B23" i="25"/>
  <c r="N22" i="25"/>
  <c r="B22" i="25"/>
  <c r="N21" i="25"/>
  <c r="B21" i="25"/>
  <c r="N20" i="25"/>
  <c r="B20" i="25"/>
  <c r="N19" i="25"/>
  <c r="B19" i="25"/>
  <c r="N18" i="25"/>
  <c r="B18" i="25"/>
  <c r="N17" i="25"/>
  <c r="B17" i="25"/>
  <c r="N16" i="25"/>
  <c r="B16" i="25"/>
  <c r="N15" i="25"/>
  <c r="B15" i="25"/>
  <c r="N14" i="25"/>
  <c r="L9" i="25" s="1"/>
  <c r="L10" i="25" s="1"/>
  <c r="B14" i="25"/>
  <c r="N13" i="25"/>
  <c r="N12" i="25"/>
  <c r="N9" i="25"/>
  <c r="N7" i="25"/>
  <c r="A21" i="13"/>
  <c r="L9" i="24"/>
  <c r="L10" i="24" s="1"/>
  <c r="N43" i="24"/>
  <c r="B43" i="24"/>
  <c r="N42" i="24"/>
  <c r="B42" i="24"/>
  <c r="N41" i="24"/>
  <c r="B41" i="24"/>
  <c r="N40" i="24"/>
  <c r="B40" i="24"/>
  <c r="N39" i="24"/>
  <c r="B39" i="24"/>
  <c r="N38" i="24"/>
  <c r="B38" i="24"/>
  <c r="N37" i="24"/>
  <c r="B37" i="24"/>
  <c r="N36" i="24"/>
  <c r="B36" i="24"/>
  <c r="N35" i="24"/>
  <c r="B35" i="24"/>
  <c r="N34" i="24"/>
  <c r="B34" i="24"/>
  <c r="N33" i="24"/>
  <c r="B33" i="24"/>
  <c r="N32" i="24"/>
  <c r="B32" i="24"/>
  <c r="N31" i="24"/>
  <c r="B31" i="24"/>
  <c r="N30" i="24"/>
  <c r="B30" i="24"/>
  <c r="N29" i="24"/>
  <c r="B29" i="24"/>
  <c r="N28" i="24"/>
  <c r="B28" i="24"/>
  <c r="N27" i="24"/>
  <c r="B27" i="24"/>
  <c r="N26" i="24"/>
  <c r="B26" i="24"/>
  <c r="N25" i="24"/>
  <c r="B25" i="24"/>
  <c r="N24" i="24"/>
  <c r="B24" i="24"/>
  <c r="N23" i="24"/>
  <c r="B23" i="24"/>
  <c r="N22" i="24"/>
  <c r="B22" i="24"/>
  <c r="N21" i="24"/>
  <c r="B21" i="24"/>
  <c r="N20" i="24"/>
  <c r="B20" i="24"/>
  <c r="N19" i="24"/>
  <c r="B19" i="24"/>
  <c r="N18" i="24"/>
  <c r="B18" i="24"/>
  <c r="N17" i="24"/>
  <c r="B17" i="24"/>
  <c r="N16" i="24"/>
  <c r="B16" i="24"/>
  <c r="N15" i="24"/>
  <c r="B15" i="24"/>
  <c r="N14" i="24"/>
  <c r="B14" i="24"/>
  <c r="N13" i="24"/>
  <c r="N12" i="24"/>
  <c r="N9" i="24"/>
  <c r="N7" i="24"/>
  <c r="A20" i="13"/>
  <c r="N24" i="23"/>
  <c r="B24" i="23"/>
  <c r="N23" i="23"/>
  <c r="B23" i="23"/>
  <c r="N22" i="23"/>
  <c r="B22" i="23"/>
  <c r="N21" i="23"/>
  <c r="B21" i="23"/>
  <c r="N20" i="23"/>
  <c r="B20" i="23"/>
  <c r="N19" i="23"/>
  <c r="B19" i="23"/>
  <c r="N18" i="23"/>
  <c r="B18" i="23"/>
  <c r="N17" i="23"/>
  <c r="B17" i="23"/>
  <c r="N16" i="23"/>
  <c r="B16" i="23"/>
  <c r="N15" i="23"/>
  <c r="B15" i="23"/>
  <c r="N14" i="23"/>
  <c r="L9" i="23" s="1"/>
  <c r="L10" i="23" s="1"/>
  <c r="B14" i="23"/>
  <c r="N13" i="23"/>
  <c r="N12" i="23"/>
  <c r="N9" i="23"/>
  <c r="N7" i="23"/>
  <c r="A19" i="13"/>
  <c r="N42" i="22"/>
  <c r="B42" i="22"/>
  <c r="N41" i="22"/>
  <c r="B41" i="22"/>
  <c r="N40" i="22"/>
  <c r="B40" i="22"/>
  <c r="N39" i="22"/>
  <c r="B39" i="22"/>
  <c r="N38" i="22"/>
  <c r="B38" i="22"/>
  <c r="N37" i="22"/>
  <c r="B37" i="22"/>
  <c r="N36" i="22"/>
  <c r="B36" i="22"/>
  <c r="N35" i="22"/>
  <c r="B35" i="22"/>
  <c r="N34" i="22"/>
  <c r="B34" i="22"/>
  <c r="N33" i="22"/>
  <c r="B33" i="22"/>
  <c r="N32" i="22"/>
  <c r="B32" i="22"/>
  <c r="N31" i="22"/>
  <c r="B31" i="22"/>
  <c r="N30" i="22"/>
  <c r="B30" i="22"/>
  <c r="N29" i="22"/>
  <c r="B29" i="22"/>
  <c r="N28" i="22"/>
  <c r="B28" i="22"/>
  <c r="N27" i="22"/>
  <c r="B27" i="22"/>
  <c r="N26" i="22"/>
  <c r="B26" i="22"/>
  <c r="N25" i="22"/>
  <c r="B25" i="22"/>
  <c r="N24" i="22"/>
  <c r="B24" i="22"/>
  <c r="N23" i="22"/>
  <c r="B23" i="22"/>
  <c r="N22" i="22"/>
  <c r="B22" i="22"/>
  <c r="N21" i="22"/>
  <c r="B21" i="22"/>
  <c r="N20" i="22"/>
  <c r="B20" i="22"/>
  <c r="N19" i="22"/>
  <c r="B19" i="22"/>
  <c r="N18" i="22"/>
  <c r="B18" i="22"/>
  <c r="N17" i="22"/>
  <c r="B17" i="22"/>
  <c r="N16" i="22"/>
  <c r="B16" i="22"/>
  <c r="N15" i="22"/>
  <c r="B15" i="22"/>
  <c r="N14" i="22"/>
  <c r="L9" i="22" s="1"/>
  <c r="L10" i="22" s="1"/>
  <c r="B14" i="22"/>
  <c r="N13" i="22"/>
  <c r="N12" i="22"/>
  <c r="N9" i="22"/>
  <c r="N7" i="22"/>
  <c r="A18" i="13"/>
  <c r="L9" i="21"/>
  <c r="L10" i="21" s="1"/>
  <c r="N25" i="21"/>
  <c r="B25" i="21"/>
  <c r="N24" i="21"/>
  <c r="B24" i="21"/>
  <c r="N23" i="21"/>
  <c r="B23" i="21"/>
  <c r="N22" i="21"/>
  <c r="B22" i="21"/>
  <c r="N21" i="21"/>
  <c r="B21" i="21"/>
  <c r="N20" i="21"/>
  <c r="B20" i="21"/>
  <c r="N19" i="21"/>
  <c r="B19" i="21"/>
  <c r="N18" i="21"/>
  <c r="B18" i="21"/>
  <c r="N17" i="21"/>
  <c r="B17" i="21"/>
  <c r="N16" i="21"/>
  <c r="B16" i="21"/>
  <c r="N15" i="21"/>
  <c r="B15" i="21"/>
  <c r="N14" i="21"/>
  <c r="B14" i="21"/>
  <c r="N13" i="21"/>
  <c r="N12" i="21"/>
  <c r="N9" i="21"/>
  <c r="N7" i="21"/>
  <c r="A17" i="13"/>
  <c r="N39" i="20"/>
  <c r="B39" i="20"/>
  <c r="N38" i="20"/>
  <c r="B38" i="20"/>
  <c r="N37" i="20"/>
  <c r="B37" i="20"/>
  <c r="N36" i="20"/>
  <c r="B36" i="20"/>
  <c r="N35" i="20"/>
  <c r="B35" i="20"/>
  <c r="N34" i="20"/>
  <c r="B34" i="20"/>
  <c r="N33" i="20"/>
  <c r="B33" i="20"/>
  <c r="N32" i="20"/>
  <c r="B32" i="20"/>
  <c r="N31" i="20"/>
  <c r="B31" i="20"/>
  <c r="N30" i="20"/>
  <c r="B30" i="20"/>
  <c r="N29" i="20"/>
  <c r="B29" i="20"/>
  <c r="N28" i="20"/>
  <c r="B28" i="20"/>
  <c r="N27" i="20"/>
  <c r="B27" i="20"/>
  <c r="N26" i="20"/>
  <c r="B26" i="20"/>
  <c r="N25" i="20"/>
  <c r="B25" i="20"/>
  <c r="N24" i="20"/>
  <c r="B24" i="20"/>
  <c r="N23" i="20"/>
  <c r="B23" i="20"/>
  <c r="N22" i="20"/>
  <c r="B22" i="20"/>
  <c r="N21" i="20"/>
  <c r="B21" i="20"/>
  <c r="N20" i="20"/>
  <c r="B20" i="20"/>
  <c r="N19" i="20"/>
  <c r="B19" i="20"/>
  <c r="N18" i="20"/>
  <c r="B18" i="20"/>
  <c r="N17" i="20"/>
  <c r="B17" i="20"/>
  <c r="N16" i="20"/>
  <c r="B16" i="20"/>
  <c r="N15" i="20"/>
  <c r="L9" i="20" s="1"/>
  <c r="L10" i="20" s="1"/>
  <c r="B15" i="20"/>
  <c r="N14" i="20"/>
  <c r="B14" i="20"/>
  <c r="N13" i="20"/>
  <c r="N12" i="20"/>
  <c r="N9" i="20"/>
  <c r="N7" i="20"/>
  <c r="A16" i="13"/>
  <c r="N47" i="19"/>
  <c r="B47" i="19"/>
  <c r="N46" i="19"/>
  <c r="B46" i="19"/>
  <c r="N45" i="19"/>
  <c r="B45" i="19"/>
  <c r="N44" i="19"/>
  <c r="B44" i="19"/>
  <c r="N43" i="19"/>
  <c r="B43" i="19"/>
  <c r="N42" i="19"/>
  <c r="B42" i="19"/>
  <c r="N41" i="19"/>
  <c r="B41" i="19"/>
  <c r="N40" i="19"/>
  <c r="B40" i="19"/>
  <c r="N39" i="19"/>
  <c r="B39" i="19"/>
  <c r="N38" i="19"/>
  <c r="B38" i="19"/>
  <c r="N37" i="19"/>
  <c r="B37" i="19"/>
  <c r="N36" i="19"/>
  <c r="B36" i="19"/>
  <c r="N35" i="19"/>
  <c r="B35" i="19"/>
  <c r="N34" i="19"/>
  <c r="B34" i="19"/>
  <c r="N33" i="19"/>
  <c r="B33" i="19"/>
  <c r="N32" i="19"/>
  <c r="B32" i="19"/>
  <c r="N31" i="19"/>
  <c r="B31" i="19"/>
  <c r="N30" i="19"/>
  <c r="B30" i="19"/>
  <c r="N29" i="19"/>
  <c r="B29" i="19"/>
  <c r="N28" i="19"/>
  <c r="B28" i="19"/>
  <c r="N27" i="19"/>
  <c r="B27" i="19"/>
  <c r="N26" i="19"/>
  <c r="B26" i="19"/>
  <c r="N25" i="19"/>
  <c r="B25" i="19"/>
  <c r="N24" i="19"/>
  <c r="B24" i="19"/>
  <c r="N23" i="19"/>
  <c r="B23" i="19"/>
  <c r="N22" i="19"/>
  <c r="B22" i="19"/>
  <c r="N21" i="19"/>
  <c r="B21" i="19"/>
  <c r="N20" i="19"/>
  <c r="B20" i="19"/>
  <c r="N19" i="19"/>
  <c r="B19" i="19"/>
  <c r="N18" i="19"/>
  <c r="B18" i="19"/>
  <c r="N17" i="19"/>
  <c r="B17" i="19"/>
  <c r="N16" i="19"/>
  <c r="B16" i="19"/>
  <c r="N15" i="19"/>
  <c r="B15" i="19"/>
  <c r="N14" i="19"/>
  <c r="L9" i="19" s="1"/>
  <c r="L10" i="19" s="1"/>
  <c r="B14" i="19"/>
  <c r="N13" i="19"/>
  <c r="N12" i="19"/>
  <c r="N9" i="19"/>
  <c r="N7" i="19"/>
  <c r="A15" i="13"/>
  <c r="N27" i="18"/>
  <c r="B27" i="18"/>
  <c r="N26" i="18"/>
  <c r="B26" i="18"/>
  <c r="N25" i="18"/>
  <c r="B25" i="18"/>
  <c r="N24" i="18"/>
  <c r="B24" i="18"/>
  <c r="N23" i="18"/>
  <c r="B23" i="18"/>
  <c r="N22" i="18"/>
  <c r="B22" i="18"/>
  <c r="N21" i="18"/>
  <c r="B21" i="18"/>
  <c r="N20" i="18"/>
  <c r="B20" i="18"/>
  <c r="N19" i="18"/>
  <c r="B19" i="18"/>
  <c r="N18" i="18"/>
  <c r="B18" i="18"/>
  <c r="N17" i="18"/>
  <c r="B17" i="18"/>
  <c r="N16" i="18"/>
  <c r="B16" i="18"/>
  <c r="N15" i="18"/>
  <c r="B15" i="18"/>
  <c r="N14" i="18"/>
  <c r="L9" i="18" s="1"/>
  <c r="L10" i="18" s="1"/>
  <c r="B14" i="18"/>
  <c r="N13" i="18"/>
  <c r="N12" i="18"/>
  <c r="N9" i="18"/>
  <c r="N7" i="18"/>
  <c r="A14" i="13"/>
  <c r="L9" i="17"/>
  <c r="L10" i="17" s="1"/>
  <c r="N38" i="17"/>
  <c r="B38" i="17"/>
  <c r="N37" i="17"/>
  <c r="B37" i="17"/>
  <c r="N36" i="17"/>
  <c r="B36" i="17"/>
  <c r="N35" i="17"/>
  <c r="B35" i="17"/>
  <c r="N34" i="17"/>
  <c r="B34" i="17"/>
  <c r="N33" i="17"/>
  <c r="B33" i="17"/>
  <c r="N32" i="17"/>
  <c r="B32" i="17"/>
  <c r="N31" i="17"/>
  <c r="B31" i="17"/>
  <c r="N30" i="17"/>
  <c r="B30" i="17"/>
  <c r="N29" i="17"/>
  <c r="B29" i="17"/>
  <c r="N28" i="17"/>
  <c r="B28" i="17"/>
  <c r="N27" i="17"/>
  <c r="B27" i="17"/>
  <c r="N26" i="17"/>
  <c r="B26" i="17"/>
  <c r="N25" i="17"/>
  <c r="B25" i="17"/>
  <c r="N24" i="17"/>
  <c r="B24" i="17"/>
  <c r="N23" i="17"/>
  <c r="B23" i="17"/>
  <c r="N22" i="17"/>
  <c r="B22" i="17"/>
  <c r="N21" i="17"/>
  <c r="B21" i="17"/>
  <c r="N20" i="17"/>
  <c r="B20" i="17"/>
  <c r="N19" i="17"/>
  <c r="B19" i="17"/>
  <c r="N18" i="17"/>
  <c r="B18" i="17"/>
  <c r="N17" i="17"/>
  <c r="B17" i="17"/>
  <c r="N16" i="17"/>
  <c r="B16" i="17"/>
  <c r="N15" i="17"/>
  <c r="B15" i="17"/>
  <c r="N14" i="17"/>
  <c r="B14" i="17"/>
  <c r="N13" i="17"/>
  <c r="N12" i="17"/>
  <c r="N9" i="17"/>
  <c r="N7" i="17"/>
  <c r="A13" i="13"/>
  <c r="N36" i="16"/>
  <c r="B36" i="16"/>
  <c r="N35" i="16"/>
  <c r="B35" i="16"/>
  <c r="N34" i="16"/>
  <c r="B34" i="16"/>
  <c r="N33" i="16"/>
  <c r="B33" i="16"/>
  <c r="N32" i="16"/>
  <c r="B32" i="16"/>
  <c r="N31" i="16"/>
  <c r="B31" i="16"/>
  <c r="N30" i="16"/>
  <c r="B30" i="16"/>
  <c r="N29" i="16"/>
  <c r="B29" i="16"/>
  <c r="N28" i="16"/>
  <c r="B28" i="16"/>
  <c r="N27" i="16"/>
  <c r="B27" i="16"/>
  <c r="N26" i="16"/>
  <c r="B26" i="16"/>
  <c r="N25" i="16"/>
  <c r="B25" i="16"/>
  <c r="N24" i="16"/>
  <c r="B24" i="16"/>
  <c r="N23" i="16"/>
  <c r="B23" i="16"/>
  <c r="N22" i="16"/>
  <c r="B22" i="16"/>
  <c r="N21" i="16"/>
  <c r="B21" i="16"/>
  <c r="N20" i="16"/>
  <c r="B20" i="16"/>
  <c r="N19" i="16"/>
  <c r="B19" i="16"/>
  <c r="N18" i="16"/>
  <c r="B18" i="16"/>
  <c r="N17" i="16"/>
  <c r="B17" i="16"/>
  <c r="N16" i="16"/>
  <c r="B16" i="16"/>
  <c r="N15" i="16"/>
  <c r="L9" i="16" s="1"/>
  <c r="L10" i="16" s="1"/>
  <c r="B15" i="16"/>
  <c r="N14" i="16"/>
  <c r="B14" i="16"/>
  <c r="N13" i="16"/>
  <c r="N12" i="16"/>
  <c r="N9" i="16"/>
  <c r="N7" i="16"/>
  <c r="A12" i="13"/>
  <c r="N46" i="15"/>
  <c r="B46" i="15"/>
  <c r="N45" i="15"/>
  <c r="B45" i="15"/>
  <c r="N44" i="15"/>
  <c r="B44" i="15"/>
  <c r="N43" i="15"/>
  <c r="B43" i="15"/>
  <c r="N42" i="15"/>
  <c r="B42" i="15"/>
  <c r="N41" i="15"/>
  <c r="B41" i="15"/>
  <c r="N40" i="15"/>
  <c r="B40" i="15"/>
  <c r="N39" i="15"/>
  <c r="B39" i="15"/>
  <c r="N38" i="15"/>
  <c r="B38" i="15"/>
  <c r="N37" i="15"/>
  <c r="B37" i="15"/>
  <c r="N36" i="15"/>
  <c r="B36" i="15"/>
  <c r="N35" i="15"/>
  <c r="B35" i="15"/>
  <c r="N34" i="15"/>
  <c r="B34" i="15"/>
  <c r="N33" i="15"/>
  <c r="B33" i="15"/>
  <c r="N32" i="15"/>
  <c r="B32" i="15"/>
  <c r="N31" i="15"/>
  <c r="B31" i="15"/>
  <c r="N30" i="15"/>
  <c r="B30" i="15"/>
  <c r="N29" i="15"/>
  <c r="B29" i="15"/>
  <c r="N28" i="15"/>
  <c r="B28" i="15"/>
  <c r="N27" i="15"/>
  <c r="B27" i="15"/>
  <c r="N26" i="15"/>
  <c r="B26" i="15"/>
  <c r="N25" i="15"/>
  <c r="B25" i="15"/>
  <c r="N24" i="15"/>
  <c r="B24" i="15"/>
  <c r="N23" i="15"/>
  <c r="B23" i="15"/>
  <c r="N22" i="15"/>
  <c r="B22" i="15"/>
  <c r="N21" i="15"/>
  <c r="B21" i="15"/>
  <c r="N20" i="15"/>
  <c r="B20" i="15"/>
  <c r="N19" i="15"/>
  <c r="B19" i="15"/>
  <c r="N18" i="15"/>
  <c r="B18" i="15"/>
  <c r="N17" i="15"/>
  <c r="B17" i="15"/>
  <c r="N16" i="15"/>
  <c r="B16" i="15"/>
  <c r="N15" i="15"/>
  <c r="B15" i="15"/>
  <c r="N14" i="15"/>
  <c r="L9" i="15" s="1"/>
  <c r="L10" i="15" s="1"/>
  <c r="B14" i="15"/>
  <c r="N13" i="15"/>
  <c r="N12" i="15"/>
  <c r="N9" i="15"/>
  <c r="N7" i="15"/>
  <c r="A11" i="13"/>
  <c r="N49" i="14"/>
  <c r="B49" i="14"/>
  <c r="N48" i="14"/>
  <c r="B48" i="14"/>
  <c r="N47" i="14"/>
  <c r="B47" i="14"/>
  <c r="N46" i="14"/>
  <c r="B46" i="14"/>
  <c r="N45" i="14"/>
  <c r="B45" i="14"/>
  <c r="N44" i="14"/>
  <c r="B44" i="14"/>
  <c r="N43" i="14"/>
  <c r="B43" i="14"/>
  <c r="N42" i="14"/>
  <c r="B42" i="14"/>
  <c r="N41" i="14"/>
  <c r="B41" i="14"/>
  <c r="N40" i="14"/>
  <c r="B40" i="14"/>
  <c r="N39" i="14"/>
  <c r="B39" i="14"/>
  <c r="N38" i="14"/>
  <c r="B38" i="14"/>
  <c r="N37" i="14"/>
  <c r="B37" i="14"/>
  <c r="N36" i="14"/>
  <c r="B36" i="14"/>
  <c r="N35" i="14"/>
  <c r="B35" i="14"/>
  <c r="N34" i="14"/>
  <c r="B34" i="14"/>
  <c r="N33" i="14"/>
  <c r="B33" i="14"/>
  <c r="N32" i="14"/>
  <c r="B32" i="14"/>
  <c r="N31" i="14"/>
  <c r="B31" i="14"/>
  <c r="N30" i="14"/>
  <c r="B30" i="14"/>
  <c r="N29" i="14"/>
  <c r="B29" i="14"/>
  <c r="N28" i="14"/>
  <c r="B28" i="14"/>
  <c r="N27" i="14"/>
  <c r="B27" i="14"/>
  <c r="N26" i="14"/>
  <c r="B26" i="14"/>
  <c r="N25" i="14"/>
  <c r="B25" i="14"/>
  <c r="N24" i="14"/>
  <c r="B24" i="14"/>
  <c r="N23" i="14"/>
  <c r="B23" i="14"/>
  <c r="N22" i="14"/>
  <c r="B22" i="14"/>
  <c r="N21" i="14"/>
  <c r="B21" i="14"/>
  <c r="N20" i="14"/>
  <c r="B20" i="14"/>
  <c r="N19" i="14"/>
  <c r="B19" i="14"/>
  <c r="N18" i="14"/>
  <c r="B18" i="14"/>
  <c r="N17" i="14"/>
  <c r="B17" i="14"/>
  <c r="N16" i="14"/>
  <c r="B16" i="14"/>
  <c r="N15" i="14"/>
  <c r="L9" i="14" s="1"/>
  <c r="L10" i="14" s="1"/>
  <c r="B15" i="14"/>
  <c r="N14" i="14"/>
  <c r="B14" i="14"/>
  <c r="N13" i="14"/>
  <c r="N12" i="14"/>
  <c r="N9" i="14"/>
  <c r="N7" i="14"/>
  <c r="A10" i="13"/>
  <c r="A10" i="12" l="1"/>
  <c r="D12" i="2" l="1"/>
  <c r="A11" i="2" l="1"/>
  <c r="N14" i="11" l="1"/>
  <c r="L9" i="11" s="1"/>
  <c r="L10" i="11" s="1"/>
  <c r="B14" i="11"/>
  <c r="N13" i="11"/>
  <c r="N12" i="11"/>
  <c r="N9" i="11"/>
  <c r="N7" i="11"/>
  <c r="N9" i="10"/>
  <c r="B9" i="10"/>
  <c r="N8" i="10"/>
  <c r="B8" i="10"/>
  <c r="N7" i="10"/>
  <c r="B7" i="10"/>
  <c r="N6" i="10"/>
  <c r="B6" i="10"/>
  <c r="N5" i="10"/>
  <c r="B5" i="10"/>
  <c r="N4" i="10"/>
  <c r="B4" i="10"/>
  <c r="N3" i="10"/>
  <c r="B3" i="10"/>
  <c r="N2" i="10"/>
  <c r="B2" i="10"/>
  <c r="N1" i="10"/>
  <c r="A5" i="2" l="1"/>
  <c r="A9" i="2" l="1"/>
  <c r="B15" i="9" l="1"/>
  <c r="B14" i="9"/>
  <c r="N15" i="9"/>
  <c r="N22" i="9"/>
  <c r="B22" i="9"/>
  <c r="N14" i="9"/>
  <c r="N16" i="9"/>
  <c r="N17" i="9"/>
  <c r="N18" i="9"/>
  <c r="N19" i="9"/>
  <c r="N20" i="9"/>
  <c r="N21" i="9"/>
  <c r="A2" i="2"/>
  <c r="A3" i="2"/>
  <c r="A4" i="2"/>
  <c r="A6" i="2"/>
  <c r="A7" i="2"/>
  <c r="A8" i="2"/>
  <c r="A10" i="2"/>
  <c r="B18" i="9"/>
  <c r="B19" i="9"/>
  <c r="B20" i="9"/>
  <c r="B16" i="9"/>
  <c r="B17" i="9"/>
  <c r="B21" i="9"/>
  <c r="N7" i="9"/>
  <c r="N13" i="9"/>
  <c r="N12" i="9"/>
  <c r="N9" i="9"/>
  <c r="L9" i="9" l="1"/>
  <c r="L10" i="9" s="1"/>
</calcChain>
</file>

<file path=xl/comments1.xml><?xml version="1.0" encoding="utf-8"?>
<comments xmlns="http://schemas.openxmlformats.org/spreadsheetml/2006/main">
  <authors>
    <author>日立化成工業株式会社</author>
  </authors>
  <commentList>
    <comment ref="E4" authorId="0" shapeId="0">
      <text>
        <r>
          <rPr>
            <sz val="9"/>
            <color indexed="81"/>
            <rFont val="ＭＳ Ｐゴシック"/>
            <family val="3"/>
            <charset val="128"/>
          </rPr>
          <t xml:space="preserve">作成者
作成日 を必ず入力
</t>
        </r>
      </text>
    </comment>
    <comment ref="G4" authorId="0" shapeId="0">
      <text>
        <r>
          <rPr>
            <sz val="9"/>
            <color indexed="81"/>
            <rFont val="ＭＳ Ｐゴシック"/>
            <family val="3"/>
            <charset val="128"/>
          </rPr>
          <t xml:space="preserve">作成者
作成日 を必ず入力
</t>
        </r>
      </text>
    </comment>
  </commentList>
</comments>
</file>

<file path=xl/comments2.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5.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6.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7.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8.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9.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0.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1.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2.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3.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4.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5.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6.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7.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8.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9.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0.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1.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2.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3.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4.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5.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6.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7.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8.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9.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0.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1.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2.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3.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4.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5.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6.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7.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8.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9.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0.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1.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2.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3.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4.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5.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6.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7.xml><?xml version="1.0" encoding="utf-8"?>
<comments xmlns="http://schemas.openxmlformats.org/spreadsheetml/2006/main">
  <authors>
    <author>日立化成工業株式会社</author>
  </authors>
  <commentList>
    <comment ref="E4" authorId="0" shapeId="0">
      <text>
        <r>
          <rPr>
            <sz val="9"/>
            <color indexed="81"/>
            <rFont val="ＭＳ Ｐゴシック"/>
            <family val="3"/>
            <charset val="128"/>
          </rPr>
          <t xml:space="preserve">作成者
作成日 を必ず入力
</t>
        </r>
      </text>
    </comment>
    <comment ref="G4" authorId="0" shapeId="0">
      <text>
        <r>
          <rPr>
            <sz val="9"/>
            <color indexed="81"/>
            <rFont val="ＭＳ Ｐゴシック"/>
            <family val="3"/>
            <charset val="128"/>
          </rPr>
          <t xml:space="preserve">作成者
作成日 を必ず入力
</t>
        </r>
      </text>
    </comment>
  </commentList>
</comments>
</file>

<file path=xl/sharedStrings.xml><?xml version="1.0" encoding="utf-8"?>
<sst xmlns="http://schemas.openxmlformats.org/spreadsheetml/2006/main" count="5510" uniqueCount="730">
  <si>
    <t>承認者印</t>
  </si>
  <si>
    <t>管理者印</t>
  </si>
  <si>
    <t>作成者印</t>
  </si>
  <si>
    <t>仕　様　書</t>
  </si>
  <si>
    <t>使用システム名称</t>
  </si>
  <si>
    <t>DUMMY</t>
  </si>
  <si>
    <t>テーブル名称(論理名)</t>
  </si>
  <si>
    <t>テーブル名称(物理名)</t>
  </si>
  <si>
    <t>作成ユーザＩＤ</t>
  </si>
  <si>
    <r>
      <t>レコード長</t>
    </r>
    <r>
      <rPr>
        <sz val="8"/>
        <rFont val="Times New Roman"/>
        <family val="1"/>
      </rPr>
      <t>(Byte)</t>
    </r>
  </si>
  <si>
    <t>作成パスワード</t>
  </si>
  <si>
    <r>
      <t>テーブル容量</t>
    </r>
    <r>
      <rPr>
        <sz val="8"/>
        <rFont val="Times New Roman"/>
        <family val="1"/>
      </rPr>
      <t>(KB)</t>
    </r>
  </si>
  <si>
    <r>
      <t>ｲﾝﾃﾞｯｸｽ容量</t>
    </r>
    <r>
      <rPr>
        <sz val="8"/>
        <rFont val="Times New Roman"/>
        <family val="1"/>
      </rPr>
      <t>(KB)</t>
    </r>
  </si>
  <si>
    <t>桁数</t>
  </si>
  <si>
    <t>No</t>
  </si>
  <si>
    <t>項　目　名</t>
  </si>
  <si>
    <t>定　義　名</t>
  </si>
  <si>
    <t>データタイプ</t>
  </si>
  <si>
    <t>全体</t>
  </si>
  <si>
    <t>小数</t>
  </si>
  <si>
    <t>INDEX</t>
  </si>
  <si>
    <t>□</t>
  </si>
  <si>
    <t>NO</t>
  </si>
  <si>
    <t>DATA TYPE</t>
  </si>
  <si>
    <t>DATE</t>
  </si>
  <si>
    <t>ﾃﾞｰﾀﾀｲﾌﾟﾘｽﾄﾎﾞｯｸｽ</t>
  </si>
  <si>
    <r>
      <t>表領域名称(</t>
    </r>
    <r>
      <rPr>
        <sz val="8"/>
        <rFont val="Times New Roman"/>
        <family val="1"/>
      </rPr>
      <t>TBL</t>
    </r>
    <r>
      <rPr>
        <sz val="10"/>
        <rFont val="ＭＳ ゴシック"/>
        <family val="3"/>
        <charset val="128"/>
      </rPr>
      <t>用)</t>
    </r>
    <phoneticPr fontId="17"/>
  </si>
  <si>
    <t>テ　　　ー　　　ブ　　　ル　　　概　　　要</t>
  </si>
  <si>
    <t>領域名称(INDEX用)</t>
  </si>
  <si>
    <t>最大データ件数</t>
  </si>
  <si>
    <t>Not Null</t>
  </si>
  <si>
    <t>DEFAULT</t>
  </si>
  <si>
    <t>項　　　　　目　　　　　概　　　　　要</t>
  </si>
  <si>
    <t>USERDATA</t>
    <phoneticPr fontId="16"/>
  </si>
  <si>
    <t>USERINDX</t>
    <phoneticPr fontId="16"/>
  </si>
  <si>
    <t>□</t>
    <phoneticPr fontId="16"/>
  </si>
  <si>
    <t>登録画面ID</t>
  </si>
  <si>
    <t>登録者</t>
  </si>
  <si>
    <t>登録日</t>
  </si>
  <si>
    <t>更新画面ID</t>
  </si>
  <si>
    <t>更新者</t>
  </si>
  <si>
    <t>更新日</t>
  </si>
  <si>
    <t>PK</t>
    <phoneticPr fontId="16"/>
  </si>
  <si>
    <t>ENTRYNAME</t>
    <phoneticPr fontId="16"/>
  </si>
  <si>
    <t>UPDATENAME</t>
    <phoneticPr fontId="16"/>
  </si>
  <si>
    <t>□</t>
    <phoneticPr fontId="16"/>
  </si>
  <si>
    <t>排他キー</t>
    <phoneticPr fontId="16"/>
  </si>
  <si>
    <t>υ</t>
    <phoneticPr fontId="16"/>
  </si>
  <si>
    <t>楽観排他用のキー</t>
    <phoneticPr fontId="16"/>
  </si>
  <si>
    <t>NCHAR</t>
  </si>
  <si>
    <t>NCHAR</t>
    <phoneticPr fontId="17"/>
  </si>
  <si>
    <t>NVARCHAR</t>
  </si>
  <si>
    <t>NVARCHAR</t>
    <phoneticPr fontId="17"/>
  </si>
  <si>
    <t>DATE</t>
    <phoneticPr fontId="17"/>
  </si>
  <si>
    <t>TIME</t>
  </si>
  <si>
    <t>TIME</t>
    <phoneticPr fontId="17"/>
  </si>
  <si>
    <t>DECIMAL</t>
  </si>
  <si>
    <t>DECIMAL</t>
    <phoneticPr fontId="17"/>
  </si>
  <si>
    <t>BIT</t>
  </si>
  <si>
    <t>BIT</t>
    <phoneticPr fontId="17"/>
  </si>
  <si>
    <t>BINARY</t>
  </si>
  <si>
    <t>BINARY</t>
    <phoneticPr fontId="17"/>
  </si>
  <si>
    <t>ROWVERSION</t>
  </si>
  <si>
    <t>ROWVERSION</t>
    <phoneticPr fontId="17"/>
  </si>
  <si>
    <t>Ｄ／Ｂ　テーブル(表)</t>
    <phoneticPr fontId="16"/>
  </si>
  <si>
    <t>バックドア生産管理システム</t>
    <rPh sb="5" eb="7">
      <t>セイサン</t>
    </rPh>
    <rPh sb="7" eb="9">
      <t>カンリ</t>
    </rPh>
    <phoneticPr fontId="16"/>
  </si>
  <si>
    <t>車種マスタ</t>
    <rPh sb="0" eb="2">
      <t>シャシュ</t>
    </rPh>
    <phoneticPr fontId="16"/>
  </si>
  <si>
    <t>CAR_MODEL_MASTER</t>
    <phoneticPr fontId="16"/>
  </si>
  <si>
    <t>dbo</t>
    <phoneticPr fontId="16"/>
  </si>
  <si>
    <t>車種コード</t>
    <rPh sb="0" eb="2">
      <t>シャシュ</t>
    </rPh>
    <phoneticPr fontId="1"/>
  </si>
  <si>
    <t>車種名</t>
    <rPh sb="0" eb="2">
      <t>シャシュ</t>
    </rPh>
    <rPh sb="2" eb="3">
      <t>メイ</t>
    </rPh>
    <phoneticPr fontId="1"/>
  </si>
  <si>
    <t>EXCLUSIVE_KEY</t>
    <phoneticPr fontId="16"/>
  </si>
  <si>
    <t>CAR_MODEL_CODE</t>
    <phoneticPr fontId="16"/>
  </si>
  <si>
    <t>CAR_MODEL_NAME</t>
    <phoneticPr fontId="16"/>
  </si>
  <si>
    <t>DATETIME</t>
    <phoneticPr fontId="17"/>
  </si>
  <si>
    <t>DATETIME</t>
    <phoneticPr fontId="16"/>
  </si>
  <si>
    <t>NVARCHAR</t>
    <phoneticPr fontId="16"/>
  </si>
  <si>
    <t>NCHAR</t>
    <phoneticPr fontId="16"/>
  </si>
  <si>
    <t>ENTRYSCREENID</t>
    <phoneticPr fontId="16"/>
  </si>
  <si>
    <t>UPDATESCREENID</t>
    <phoneticPr fontId="16"/>
  </si>
  <si>
    <t>ENTRYDATE</t>
    <phoneticPr fontId="16"/>
  </si>
  <si>
    <t>UPDATEDATE</t>
    <phoneticPr fontId="16"/>
  </si>
  <si>
    <t>ROWVERSION</t>
    <phoneticPr fontId="16"/>
  </si>
  <si>
    <t>車種コードを管理するマスタ</t>
    <rPh sb="0" eb="2">
      <t>シャシュ</t>
    </rPh>
    <rPh sb="6" eb="8">
      <t>カンリ</t>
    </rPh>
    <phoneticPr fontId="16"/>
  </si>
  <si>
    <t>--</t>
    <phoneticPr fontId="1"/>
  </si>
  <si>
    <t>--</t>
    <phoneticPr fontId="16"/>
  </si>
  <si>
    <t>DATETIME</t>
  </si>
  <si>
    <t>ＤＢ設計書パス</t>
    <rPh sb="2" eb="5">
      <t>セッケイショ</t>
    </rPh>
    <phoneticPr fontId="17"/>
  </si>
  <si>
    <t>作業計画準備データ</t>
    <phoneticPr fontId="17"/>
  </si>
  <si>
    <t>○</t>
    <phoneticPr fontId="17"/>
  </si>
  <si>
    <t>INT</t>
    <phoneticPr fontId="17"/>
  </si>
  <si>
    <t>INT</t>
    <phoneticPr fontId="17"/>
  </si>
  <si>
    <t>実績登録データ</t>
    <phoneticPr fontId="17"/>
  </si>
  <si>
    <t>車種マスタ</t>
    <phoneticPr fontId="17"/>
  </si>
  <si>
    <t>工程マスタ</t>
    <phoneticPr fontId="17"/>
  </si>
  <si>
    <t>○</t>
    <phoneticPr fontId="17"/>
  </si>
  <si>
    <t>□</t>
    <phoneticPr fontId="16"/>
  </si>
  <si>
    <t>テーブルID</t>
    <phoneticPr fontId="25"/>
  </si>
  <si>
    <t>テーブル名</t>
    <rPh sb="4" eb="5">
      <t>メイ</t>
    </rPh>
    <phoneticPr fontId="25"/>
  </si>
  <si>
    <t>分類</t>
    <rPh sb="0" eb="2">
      <t>ブンルイ</t>
    </rPh>
    <phoneticPr fontId="25"/>
  </si>
  <si>
    <t>スキーマ</t>
    <phoneticPr fontId="25"/>
  </si>
  <si>
    <t>Ｄ／Ｂ　テーブル一覧</t>
    <rPh sb="8" eb="10">
      <t>イチラン</t>
    </rPh>
    <phoneticPr fontId="16"/>
  </si>
  <si>
    <t>No</t>
    <phoneticPr fontId="25"/>
  </si>
  <si>
    <t>概　　　　　要</t>
    <phoneticPr fontId="25"/>
  </si>
  <si>
    <t>C:\Users\np-tabataniwa\Desktop\テーブル設計書コンバート\08_テーブル定義書_統合版_20191009.xlsx</t>
    <phoneticPr fontId="17"/>
  </si>
  <si>
    <t>作業計画データ</t>
  </si>
  <si>
    <t>作業計画データ</t>
    <phoneticPr fontId="17"/>
  </si>
  <si>
    <t>作業計画準備データ</t>
  </si>
  <si>
    <t>実績数量</t>
  </si>
  <si>
    <t>実績数量</t>
    <phoneticPr fontId="17"/>
  </si>
  <si>
    <t>作業指示明細データ</t>
  </si>
  <si>
    <t>作業指示明細データ</t>
    <phoneticPr fontId="17"/>
  </si>
  <si>
    <t>投入指示データ</t>
  </si>
  <si>
    <t>投入指示データ</t>
    <phoneticPr fontId="17"/>
  </si>
  <si>
    <t>実績管理データ</t>
  </si>
  <si>
    <t>実績管理データ</t>
    <phoneticPr fontId="17"/>
  </si>
  <si>
    <t>実績登録データ</t>
  </si>
  <si>
    <t>個体ＮＯ管理データ</t>
  </si>
  <si>
    <t>個体ＮＯ管理データ</t>
    <phoneticPr fontId="17"/>
  </si>
  <si>
    <t>付帯作業データ</t>
  </si>
  <si>
    <t>付帯作業データ</t>
    <phoneticPr fontId="17"/>
  </si>
  <si>
    <t>投入順序実績</t>
  </si>
  <si>
    <t>投入順序実績</t>
    <phoneticPr fontId="17"/>
  </si>
  <si>
    <t>梱包指示データ</t>
  </si>
  <si>
    <t>梱包指示データ</t>
    <phoneticPr fontId="17"/>
  </si>
  <si>
    <t>梱包実績データ</t>
  </si>
  <si>
    <t>梱包実績データ</t>
    <phoneticPr fontId="17"/>
  </si>
  <si>
    <t>在庫データ</t>
  </si>
  <si>
    <t>在庫データ</t>
    <phoneticPr fontId="17"/>
  </si>
  <si>
    <t>受払データ</t>
  </si>
  <si>
    <t>受払データ</t>
    <phoneticPr fontId="17"/>
  </si>
  <si>
    <t>順列納入指示データ</t>
  </si>
  <si>
    <t>順列納入指示データ</t>
    <phoneticPr fontId="17"/>
  </si>
  <si>
    <t>非順列納入指示データ</t>
  </si>
  <si>
    <t>非順列納入指示データ</t>
    <phoneticPr fontId="17"/>
  </si>
  <si>
    <t>シミュレーションヘッダ</t>
  </si>
  <si>
    <t>シミュレーションヘッダ</t>
    <phoneticPr fontId="17"/>
  </si>
  <si>
    <t>シミュレーションデータ</t>
  </si>
  <si>
    <t>シミュレーションデータ</t>
    <phoneticPr fontId="17"/>
  </si>
  <si>
    <t>シミュレーション組立順序</t>
  </si>
  <si>
    <t>シミュレーション組立順序</t>
    <phoneticPr fontId="17"/>
  </si>
  <si>
    <t>生産品名マスタ</t>
  </si>
  <si>
    <t>生産品名マスタ</t>
    <phoneticPr fontId="17"/>
  </si>
  <si>
    <t>原価品名マスタ</t>
    <phoneticPr fontId="17"/>
  </si>
  <si>
    <t>組立品構成マスタ</t>
  </si>
  <si>
    <t>組立品構成マスタ</t>
    <phoneticPr fontId="17"/>
  </si>
  <si>
    <t>資材マスタ</t>
  </si>
  <si>
    <t>資材マスタ</t>
    <phoneticPr fontId="17"/>
  </si>
  <si>
    <t>使用資材</t>
  </si>
  <si>
    <t>使用資材</t>
    <phoneticPr fontId="17"/>
  </si>
  <si>
    <t>製品マスタ</t>
  </si>
  <si>
    <t>製品マスタ</t>
    <phoneticPr fontId="17"/>
  </si>
  <si>
    <t>車種マスタ</t>
  </si>
  <si>
    <t>設備マスタ</t>
  </si>
  <si>
    <t>設備マスタ</t>
    <phoneticPr fontId="17"/>
  </si>
  <si>
    <t>工程マスタ</t>
  </si>
  <si>
    <t>後続工程</t>
    <phoneticPr fontId="17"/>
  </si>
  <si>
    <t>標準通過工程マスタ</t>
  </si>
  <si>
    <t>標準通過工程マスタ</t>
    <phoneticPr fontId="17"/>
  </si>
  <si>
    <t>区分標準通過工程</t>
  </si>
  <si>
    <t>区分標準通過工程</t>
    <phoneticPr fontId="17"/>
  </si>
  <si>
    <t>通過工程間チェック</t>
  </si>
  <si>
    <t>通過工程間チェック</t>
    <phoneticPr fontId="17"/>
  </si>
  <si>
    <t>投入指示作成</t>
  </si>
  <si>
    <t>投入指示作成</t>
    <phoneticPr fontId="17"/>
  </si>
  <si>
    <t>判定理由マスタ</t>
  </si>
  <si>
    <t>判定理由マスタ</t>
    <phoneticPr fontId="17"/>
  </si>
  <si>
    <t>コードマスタ</t>
  </si>
  <si>
    <t>コードマスタ</t>
    <phoneticPr fontId="17"/>
  </si>
  <si>
    <t>社員マスタ</t>
  </si>
  <si>
    <t>社員マスタ</t>
    <phoneticPr fontId="17"/>
  </si>
  <si>
    <t>稼働日マスタ</t>
  </si>
  <si>
    <t>稼働日マスタ</t>
    <phoneticPr fontId="17"/>
  </si>
  <si>
    <t>休憩時間マスタ</t>
  </si>
  <si>
    <t>休憩時間マスタ</t>
    <phoneticPr fontId="17"/>
  </si>
  <si>
    <t>事業所マスタ</t>
  </si>
  <si>
    <t>品種マスタ</t>
  </si>
  <si>
    <t>パスワードマスタ</t>
  </si>
  <si>
    <t>ＩＰアドレス管理マスタ</t>
  </si>
  <si>
    <t>採番マスタ</t>
  </si>
  <si>
    <t>読込ラベルグループマスタ</t>
  </si>
  <si>
    <t>ラベル定義マスタ</t>
  </si>
  <si>
    <t>○</t>
  </si>
  <si>
    <t>T_WORKPLAN</t>
  </si>
  <si>
    <t>T_WORKPLAN</t>
    <phoneticPr fontId="1"/>
  </si>
  <si>
    <t>作業計画データ</t>
    <phoneticPr fontId="16"/>
  </si>
  <si>
    <t>作業計画</t>
  </si>
  <si>
    <t>作業計画情報を保持する</t>
  </si>
  <si>
    <t>事業所コード</t>
    <phoneticPr fontId="1"/>
  </si>
  <si>
    <t>OFFICE_CD</t>
    <phoneticPr fontId="16"/>
  </si>
  <si>
    <t>υ</t>
  </si>
  <si>
    <t>PK</t>
  </si>
  <si>
    <t>作番</t>
    <phoneticPr fontId="1"/>
  </si>
  <si>
    <t>WORK_NO</t>
    <phoneticPr fontId="16"/>
  </si>
  <si>
    <t>工程コード</t>
    <phoneticPr fontId="1"/>
  </si>
  <si>
    <t>PROC_CD</t>
    <phoneticPr fontId="16"/>
  </si>
  <si>
    <t>品名コード</t>
    <phoneticPr fontId="1"/>
  </si>
  <si>
    <t>PART_CD</t>
    <phoneticPr fontId="16"/>
  </si>
  <si>
    <t>パック品名略称</t>
    <phoneticPr fontId="1"/>
  </si>
  <si>
    <t>PART_NAME</t>
    <phoneticPr fontId="16"/>
  </si>
  <si>
    <t>納入先コード</t>
    <phoneticPr fontId="1"/>
  </si>
  <si>
    <t>DEST_CD</t>
    <phoneticPr fontId="16"/>
  </si>
  <si>
    <t>コードマスタに定義</t>
  </si>
  <si>
    <t>納入区分</t>
    <phoneticPr fontId="1"/>
  </si>
  <si>
    <t>DEST_KIND</t>
    <phoneticPr fontId="16"/>
  </si>
  <si>
    <t>空欄：組立品以外
O：順列
L：ライン品
S：SP
K：KD
T：試作品</t>
  </si>
  <si>
    <t>作業指示数量</t>
    <phoneticPr fontId="1"/>
  </si>
  <si>
    <t>PLAN_QTY</t>
    <phoneticPr fontId="16"/>
  </si>
  <si>
    <t>INT</t>
  </si>
  <si>
    <t>設備NO</t>
    <phoneticPr fontId="1"/>
  </si>
  <si>
    <t>FACILITY_NO</t>
    <phoneticPr fontId="16"/>
  </si>
  <si>
    <t>成形工程、塗装工程で設定
設備マスタ</t>
  </si>
  <si>
    <t>製造ライン</t>
    <phoneticPr fontId="1"/>
  </si>
  <si>
    <t>ASSY_LINE</t>
    <phoneticPr fontId="16"/>
  </si>
  <si>
    <t>作業年月日</t>
    <phoneticPr fontId="1"/>
  </si>
  <si>
    <t>WORK_DATE</t>
    <phoneticPr fontId="16"/>
  </si>
  <si>
    <t>作業直区分</t>
    <phoneticPr fontId="1"/>
  </si>
  <si>
    <t>SHIFT</t>
    <phoneticPr fontId="16"/>
  </si>
  <si>
    <t>１：１直
２：２直
３：３直</t>
  </si>
  <si>
    <t>作業順序</t>
    <phoneticPr fontId="1"/>
  </si>
  <si>
    <t>WORK_ORDER</t>
    <phoneticPr fontId="16"/>
  </si>
  <si>
    <t>確定状態</t>
    <phoneticPr fontId="1"/>
  </si>
  <si>
    <t>FIX_STAT</t>
    <phoneticPr fontId="16"/>
  </si>
  <si>
    <t>１：未確定
２：仮確定
３：確定済</t>
  </si>
  <si>
    <t>取消フラグ</t>
    <phoneticPr fontId="1"/>
  </si>
  <si>
    <t>CANCEL_FLAG</t>
    <phoneticPr fontId="16"/>
  </si>
  <si>
    <t>０：有効
１：取消</t>
  </si>
  <si>
    <t>再塗装フラグ</t>
    <phoneticPr fontId="1"/>
  </si>
  <si>
    <t>REPAINT_FLAG</t>
    <phoneticPr fontId="16"/>
  </si>
  <si>
    <t>塗装工程のみ設定
０：生地
１：再塗装</t>
  </si>
  <si>
    <t>着手区分</t>
    <phoneticPr fontId="1"/>
  </si>
  <si>
    <t>PROGRESS_STAT</t>
    <phoneticPr fontId="16"/>
  </si>
  <si>
    <t>１：未着手
２：作業中
３：完了
４：保留
５：手直し
９：中断</t>
  </si>
  <si>
    <t>セット品フラグ</t>
    <phoneticPr fontId="1"/>
  </si>
  <si>
    <t>SET_FLAG</t>
    <phoneticPr fontId="16"/>
  </si>
  <si>
    <t>０：非セット品
１：セット品</t>
  </si>
  <si>
    <t>金型番号</t>
    <phoneticPr fontId="1"/>
  </si>
  <si>
    <t>MOLD_NO</t>
    <phoneticPr fontId="16"/>
  </si>
  <si>
    <t>計画台車NO</t>
    <phoneticPr fontId="1"/>
  </si>
  <si>
    <t>PLAN_DOLLY_NO</t>
    <phoneticPr fontId="16"/>
  </si>
  <si>
    <t>計画同期一貫ＮＯ</t>
    <phoneticPr fontId="1"/>
  </si>
  <si>
    <t>PLAN_SYNC_NO</t>
    <phoneticPr fontId="16"/>
  </si>
  <si>
    <t>計画台車ＳＥＱＮＯ</t>
    <phoneticPr fontId="1"/>
  </si>
  <si>
    <t>PLAN_DOLLY_SEQNO</t>
    <phoneticPr fontId="16"/>
  </si>
  <si>
    <t>計画コンテナＮＯ</t>
    <phoneticPr fontId="1"/>
  </si>
  <si>
    <t>PLAN_CONTAINER_NO</t>
    <phoneticPr fontId="16"/>
  </si>
  <si>
    <t>計画梱包年月日</t>
    <phoneticPr fontId="1"/>
  </si>
  <si>
    <t>PLAN_PACK_DATE</t>
    <phoneticPr fontId="16"/>
  </si>
  <si>
    <t>計画納入年月日</t>
    <phoneticPr fontId="1"/>
  </si>
  <si>
    <t>PLAN_DELV_DATE</t>
    <phoneticPr fontId="16"/>
  </si>
  <si>
    <t>計画納入時間</t>
    <phoneticPr fontId="1"/>
  </si>
  <si>
    <t>PLAN_DELV_TIME</t>
    <phoneticPr fontId="16"/>
  </si>
  <si>
    <t>計画要求元ライン</t>
    <phoneticPr fontId="1"/>
  </si>
  <si>
    <t>PLAN_CUST_LINE</t>
    <phoneticPr fontId="16"/>
  </si>
  <si>
    <t>計画時発行ＮＯ</t>
    <phoneticPr fontId="1"/>
  </si>
  <si>
    <t>PLAN_WNO</t>
    <phoneticPr fontId="16"/>
  </si>
  <si>
    <t>計画準備作番</t>
    <phoneticPr fontId="1"/>
  </si>
  <si>
    <t>PLAN_PREP_WNO</t>
    <phoneticPr fontId="16"/>
  </si>
  <si>
    <t>順列納入指示データの場合はNULL</t>
  </si>
  <si>
    <t>作業計画準備データ</t>
    <phoneticPr fontId="16"/>
  </si>
  <si>
    <t>作業計画データを作成するためのワークデータを保持する</t>
  </si>
  <si>
    <t>事業所コード</t>
    <phoneticPr fontId="1"/>
  </si>
  <si>
    <t>データ作成区分</t>
    <phoneticPr fontId="1"/>
  </si>
  <si>
    <t>１：納入指示データ（KD/SP）
２：生産手配データ
３：作業指示保留データ</t>
  </si>
  <si>
    <t>O：順列
L：ライン品
S：SP
K：KD
T：試作品</t>
  </si>
  <si>
    <t>作業順序</t>
    <phoneticPr fontId="1"/>
  </si>
  <si>
    <t>納入年月日</t>
    <phoneticPr fontId="1"/>
  </si>
  <si>
    <t>納入時間</t>
    <phoneticPr fontId="1"/>
  </si>
  <si>
    <t>納入場所</t>
    <phoneticPr fontId="1"/>
  </si>
  <si>
    <t>梱包年月日</t>
    <phoneticPr fontId="1"/>
  </si>
  <si>
    <t>梱包直区分</t>
    <phoneticPr fontId="1"/>
  </si>
  <si>
    <t>台車NO</t>
    <phoneticPr fontId="1"/>
  </si>
  <si>
    <t>同期一貫ＮＯ</t>
    <phoneticPr fontId="1"/>
  </si>
  <si>
    <t>台車ＳＥＱＮＯ</t>
    <phoneticPr fontId="1"/>
  </si>
  <si>
    <t>コンテナＮＯ</t>
    <phoneticPr fontId="1"/>
  </si>
  <si>
    <t>段ＮＯ</t>
    <phoneticPr fontId="1"/>
  </si>
  <si>
    <t>要求元ライン</t>
    <phoneticPr fontId="1"/>
  </si>
  <si>
    <t>備考</t>
    <phoneticPr fontId="1"/>
  </si>
  <si>
    <t>試作品の用メモ欄</t>
  </si>
  <si>
    <t>○</t>
    <phoneticPr fontId="17"/>
  </si>
  <si>
    <t>実績数量</t>
    <phoneticPr fontId="16"/>
  </si>
  <si>
    <t>作業計画に紐づくロット処理する実施数などを保持する</t>
  </si>
  <si>
    <t>作番</t>
    <phoneticPr fontId="1"/>
  </si>
  <si>
    <t>着手数</t>
    <phoneticPr fontId="1"/>
  </si>
  <si>
    <t>完成数</t>
    <phoneticPr fontId="1"/>
  </si>
  <si>
    <t>不良数</t>
    <phoneticPr fontId="1"/>
  </si>
  <si>
    <t>再塗装数</t>
    <phoneticPr fontId="1"/>
  </si>
  <si>
    <t>指示残</t>
    <phoneticPr fontId="1"/>
  </si>
  <si>
    <t>リペア数</t>
    <phoneticPr fontId="1"/>
  </si>
  <si>
    <t>調整数</t>
    <phoneticPr fontId="1"/>
  </si>
  <si>
    <t>引当数</t>
    <phoneticPr fontId="1"/>
  </si>
  <si>
    <t>誤塗装</t>
    <phoneticPr fontId="1"/>
  </si>
  <si>
    <t>スポイラ実績数量</t>
    <phoneticPr fontId="1"/>
  </si>
  <si>
    <t>スポイラ・カバー用
スポイラ・カバーには個体NOが無いので、作成数量を作業計画データに保存する。</t>
  </si>
  <si>
    <t>作業指示明細データ</t>
    <phoneticPr fontId="16"/>
  </si>
  <si>
    <t>ライン作業で使用する作業指示</t>
  </si>
  <si>
    <t>個体ＮＯ</t>
    <phoneticPr fontId="1"/>
  </si>
  <si>
    <t>組立個体ＮＯ</t>
  </si>
  <si>
    <t>作番</t>
    <phoneticPr fontId="1"/>
  </si>
  <si>
    <t>O：順列
L：ライン品
S：SP
K：KD
T：試作</t>
  </si>
  <si>
    <t>作業時間</t>
    <phoneticPr fontId="1"/>
  </si>
  <si>
    <t>直区分</t>
    <phoneticPr fontId="1"/>
  </si>
  <si>
    <t>ラベル発行フラグ</t>
    <phoneticPr fontId="1"/>
  </si>
  <si>
    <t>０：未発行
１：ラベル発行済</t>
  </si>
  <si>
    <t>着手実績フラグ</t>
    <phoneticPr fontId="1"/>
  </si>
  <si>
    <t>0：未着手
1：着手</t>
  </si>
  <si>
    <t>スポイラ組立投入フラグ</t>
    <phoneticPr fontId="1"/>
  </si>
  <si>
    <t>０：未投入
１：投入</t>
  </si>
  <si>
    <t>代替投入フラグ</t>
    <phoneticPr fontId="1"/>
  </si>
  <si>
    <t>０：通常投入
１：代替投入（再）</t>
  </si>
  <si>
    <t>連番</t>
    <phoneticPr fontId="1"/>
  </si>
  <si>
    <t>自動採番（IDENTITY)</t>
  </si>
  <si>
    <t>無効フラグ</t>
    <phoneticPr fontId="1"/>
  </si>
  <si>
    <t>０：有効
１：無効</t>
  </si>
  <si>
    <t>投入指示データ</t>
    <phoneticPr fontId="16"/>
  </si>
  <si>
    <t>インナ、小物、ガラスなどの投入指示データ</t>
  </si>
  <si>
    <t>組立個体ＮＯ</t>
    <phoneticPr fontId="1"/>
  </si>
  <si>
    <t>成形個体NO</t>
    <phoneticPr fontId="1"/>
  </si>
  <si>
    <t>構成要素区分</t>
    <phoneticPr fontId="1"/>
  </si>
  <si>
    <t>コードマスタに定義　インナ、ガラス、小物</t>
  </si>
  <si>
    <t>着手実績</t>
    <phoneticPr fontId="1"/>
  </si>
  <si>
    <t>１：未投入
２：投入</t>
  </si>
  <si>
    <t>実績管理データ</t>
    <phoneticPr fontId="16"/>
  </si>
  <si>
    <t>実績関連</t>
  </si>
  <si>
    <t>各ロットＮＯごとの最新状態を保持する</t>
  </si>
  <si>
    <t>区分個体ＮＯ</t>
    <phoneticPr fontId="1"/>
  </si>
  <si>
    <t>組立個体NO</t>
    <phoneticPr fontId="1"/>
  </si>
  <si>
    <t>塗装カウント</t>
    <phoneticPr fontId="1"/>
  </si>
  <si>
    <t>０、１、２（３回以上の塗装は無い）</t>
  </si>
  <si>
    <t>標準通過工程コード</t>
    <phoneticPr fontId="1"/>
  </si>
  <si>
    <t>成形ラベル発行回数</t>
    <phoneticPr fontId="1"/>
  </si>
  <si>
    <t>塗装ラベル発行回数</t>
    <phoneticPr fontId="1"/>
  </si>
  <si>
    <t>判定結果</t>
    <phoneticPr fontId="1"/>
  </si>
  <si>
    <t>１：待機
２：完了
３：合格
４：不良
５：保留
６：投入
７：再塗装
８：リペア
９：投入キャンセル
A：手直し
B：手直し完了
Z：廃棄</t>
  </si>
  <si>
    <t>理由コード</t>
    <phoneticPr fontId="1"/>
  </si>
  <si>
    <t>塗装工程状態</t>
    <phoneticPr fontId="1"/>
  </si>
  <si>
    <t>0：該当せず
1：判定待ち
2：直行合格
3：リペア判定
4：リペア合格
5：不良判定
6：成形不良
7：仕上不良
8：再塗装判定
9：再塗装完了
10：再塗装合格
11：再塗装リペア判定
12：再塗装リペア合格
13：再塗装不良判定
14：再塗装成形不良
15：再塗装仕上不良</t>
  </si>
  <si>
    <t>不良区分</t>
    <phoneticPr fontId="1"/>
  </si>
  <si>
    <t>１：不良判定
２：成形不良
３：仕上不良</t>
  </si>
  <si>
    <t>保管区分</t>
    <phoneticPr fontId="1"/>
  </si>
  <si>
    <t>０：未投入
１：設備　→　設備コード
２：保管場所　→　保管場所コード＆コンテナNO
３：組付け済み</t>
  </si>
  <si>
    <t>保管場所</t>
    <phoneticPr fontId="1"/>
  </si>
  <si>
    <t>コードマスタに登録（最初は未使用）</t>
  </si>
  <si>
    <t>梱包NO</t>
    <phoneticPr fontId="1"/>
  </si>
  <si>
    <t>設備NO</t>
    <phoneticPr fontId="1"/>
  </si>
  <si>
    <t>コンテナNO</t>
    <phoneticPr fontId="1"/>
  </si>
  <si>
    <t>コードマスタで定義</t>
  </si>
  <si>
    <t>投入NO</t>
    <phoneticPr fontId="1"/>
  </si>
  <si>
    <t>ラインごとのその日の投入連番</t>
  </si>
  <si>
    <t>実績登録データ</t>
    <phoneticPr fontId="16"/>
  </si>
  <si>
    <t>設備、H/Tから送信された実績データを登録するテーブル</t>
  </si>
  <si>
    <t>自動採番（IDENTITY）</t>
  </si>
  <si>
    <t>区分個体NO</t>
    <phoneticPr fontId="1"/>
  </si>
  <si>
    <t>設備ＮＯ</t>
    <phoneticPr fontId="1"/>
  </si>
  <si>
    <t>塗装工程実績種別</t>
    <phoneticPr fontId="1"/>
  </si>
  <si>
    <t>0：未塗装
A1	塗装実績
B1	合格判定
B2	リペア合格判定
C1	リペア判定
D1	不良判定
D2	成形不良
D3	仕上不良
F1	再塗装判定
A2	再塗装実績
G1	再塗装合格
G2	再塗装リペア合格判定
H1	再塗装リペア判定
I1	再塗装不良判定
I2	再塗装成形不良
I3	再塗装仕上不良
X1	再塗装判定取消
X2	リペア取消
X3	再塗装リペア取消
Y1	不良判定取消
Y2	成形不良取消
Y3	仕上不良取消
Z1	再塗装不良判定取消
Z2	再塗装成形不良取消
Z3	再塗装仕上不良取消</t>
  </si>
  <si>
    <t>前工程不良発生フラグ</t>
    <phoneticPr fontId="1"/>
  </si>
  <si>
    <t>0：自工程発生
１：前工程発生</t>
  </si>
  <si>
    <t>氏名コード</t>
  </si>
  <si>
    <t>氏名コード</t>
    <phoneticPr fontId="1"/>
  </si>
  <si>
    <t>個体ＮＯ管理データ</t>
    <phoneticPr fontId="16"/>
  </si>
  <si>
    <t>ロットＮＯの前後関係を保持する</t>
  </si>
  <si>
    <t>個体ＮＯ</t>
    <phoneticPr fontId="1"/>
  </si>
  <si>
    <t>取得個体NO</t>
  </si>
  <si>
    <t>個体ＮＯ変換種別</t>
    <phoneticPr fontId="1"/>
  </si>
  <si>
    <t>１：区分
２：組立
３：組付品</t>
  </si>
  <si>
    <t>実績管理データの区分個体NO</t>
  </si>
  <si>
    <t>コードマスタ
アウタ、インナ、スポイラ、組立品など</t>
  </si>
  <si>
    <t>付帯作業データ</t>
    <phoneticPr fontId="16"/>
  </si>
  <si>
    <t>あんどんに表示する作業予定データ</t>
  </si>
  <si>
    <t>工程コード</t>
    <phoneticPr fontId="1"/>
  </si>
  <si>
    <t>付帯作業ＮＯ</t>
    <phoneticPr fontId="1"/>
  </si>
  <si>
    <t>作業区分</t>
    <phoneticPr fontId="1"/>
  </si>
  <si>
    <t>色コード</t>
    <phoneticPr fontId="1"/>
  </si>
  <si>
    <t>開始時間</t>
    <phoneticPr fontId="1"/>
  </si>
  <si>
    <t>終了時間</t>
    <phoneticPr fontId="1"/>
  </si>
  <si>
    <t>開始年月日</t>
    <phoneticPr fontId="1"/>
  </si>
  <si>
    <t>終了年月日</t>
    <phoneticPr fontId="1"/>
  </si>
  <si>
    <t>経過時間</t>
    <phoneticPr fontId="1"/>
  </si>
  <si>
    <t>登録日時</t>
    <phoneticPr fontId="1"/>
  </si>
  <si>
    <t>SYSDATE</t>
  </si>
  <si>
    <t>更新日時</t>
    <phoneticPr fontId="1"/>
  </si>
  <si>
    <t>対象年月日</t>
    <phoneticPr fontId="1"/>
  </si>
  <si>
    <t>付帯データ</t>
    <phoneticPr fontId="1"/>
  </si>
  <si>
    <t>発行フラグ</t>
    <phoneticPr fontId="1"/>
  </si>
  <si>
    <t>０：未発行
１：発行済</t>
  </si>
  <si>
    <t>数量</t>
    <phoneticPr fontId="1"/>
  </si>
  <si>
    <t>数値１</t>
    <phoneticPr fontId="1"/>
  </si>
  <si>
    <t>投入順序実績</t>
    <phoneticPr fontId="16"/>
  </si>
  <si>
    <t>組立工程のラインごとの投入順序の実績を保持する</t>
  </si>
  <si>
    <t>車種コード</t>
    <phoneticPr fontId="1"/>
  </si>
  <si>
    <t>投入台数</t>
    <phoneticPr fontId="1"/>
  </si>
  <si>
    <t>梱包指示データ</t>
    <phoneticPr fontId="16"/>
  </si>
  <si>
    <t>梱包</t>
  </si>
  <si>
    <t>受注データから作成する完成品梱包指示</t>
  </si>
  <si>
    <t>梱包ＮＯ</t>
    <phoneticPr fontId="1"/>
  </si>
  <si>
    <t>梱包指示数</t>
    <phoneticPr fontId="1"/>
  </si>
  <si>
    <t>梱包時間</t>
    <phoneticPr fontId="1"/>
  </si>
  <si>
    <t>１，２，３</t>
  </si>
  <si>
    <t>台車ＮＯ</t>
    <phoneticPr fontId="1"/>
  </si>
  <si>
    <t>順列ＳＥＱＮＯ</t>
    <phoneticPr fontId="1"/>
  </si>
  <si>
    <t>納入場所</t>
    <phoneticPr fontId="1"/>
  </si>
  <si>
    <t>段ＮＯ</t>
    <phoneticPr fontId="1"/>
  </si>
  <si>
    <t>コンテナラベル発行フラグ</t>
    <phoneticPr fontId="1"/>
  </si>
  <si>
    <t>０：未発行
1：ラベル発行済</t>
  </si>
  <si>
    <t>梱包実績データ</t>
    <phoneticPr fontId="16"/>
  </si>
  <si>
    <t>完成品梱包実績</t>
  </si>
  <si>
    <t>梱包実績数</t>
    <phoneticPr fontId="1"/>
  </si>
  <si>
    <t>登録日</t>
    <phoneticPr fontId="1"/>
  </si>
  <si>
    <t>登録ユーザー</t>
    <phoneticPr fontId="1"/>
  </si>
  <si>
    <t>更新日</t>
    <phoneticPr fontId="1"/>
  </si>
  <si>
    <t>更新ユーザー</t>
    <phoneticPr fontId="1"/>
  </si>
  <si>
    <t>プログラムID</t>
    <phoneticPr fontId="1"/>
  </si>
  <si>
    <t>画面ID</t>
    <phoneticPr fontId="1"/>
  </si>
  <si>
    <t>在庫データ</t>
    <phoneticPr fontId="16"/>
  </si>
  <si>
    <t>在庫</t>
  </si>
  <si>
    <t>事業所・品名コードごとに在庫数、引当可能数を保持</t>
  </si>
  <si>
    <t>品名事業所コード</t>
    <phoneticPr fontId="1"/>
  </si>
  <si>
    <t>製品半製品区分</t>
    <phoneticPr fontId="1"/>
  </si>
  <si>
    <t>１：製品
２：半製品</t>
  </si>
  <si>
    <t>前月残</t>
    <phoneticPr fontId="1"/>
  </si>
  <si>
    <t>当月受入数量</t>
    <phoneticPr fontId="1"/>
  </si>
  <si>
    <t>当月払出数量</t>
    <phoneticPr fontId="1"/>
  </si>
  <si>
    <t>在庫数</t>
    <phoneticPr fontId="1"/>
  </si>
  <si>
    <t>引当可能数量</t>
    <phoneticPr fontId="1"/>
  </si>
  <si>
    <t>負数あり</t>
  </si>
  <si>
    <t>再塗装数量</t>
    <phoneticPr fontId="1"/>
  </si>
  <si>
    <t>受払データ</t>
    <phoneticPr fontId="16"/>
  </si>
  <si>
    <t>受払の詳細レコードを保持する</t>
  </si>
  <si>
    <t>シーケンス</t>
    <phoneticPr fontId="1"/>
  </si>
  <si>
    <t>IDENTITY</t>
  </si>
  <si>
    <t>個体NO</t>
    <phoneticPr fontId="1"/>
  </si>
  <si>
    <t>受払年月日</t>
    <phoneticPr fontId="1"/>
  </si>
  <si>
    <t>受払区分</t>
    <phoneticPr fontId="1"/>
  </si>
  <si>
    <t>01：受入
02：払出
03：受入移動
04：払出移動
05：受入（再塗装）
06：払出（再塗装）</t>
  </si>
  <si>
    <t>振替区分</t>
    <phoneticPr fontId="1"/>
  </si>
  <si>
    <t>その他払出画面の振替区分</t>
  </si>
  <si>
    <t>その他払出画面の備考</t>
  </si>
  <si>
    <t>順列納入指示データ</t>
    <phoneticPr fontId="16"/>
  </si>
  <si>
    <t>受注</t>
  </si>
  <si>
    <t>順列納入指示に相当するデータ</t>
  </si>
  <si>
    <t>要元</t>
    <phoneticPr fontId="1"/>
  </si>
  <si>
    <t>メーカー</t>
    <phoneticPr fontId="1"/>
  </si>
  <si>
    <t>デポコード</t>
    <phoneticPr fontId="1"/>
  </si>
  <si>
    <t>品名コード</t>
    <phoneticPr fontId="1"/>
  </si>
  <si>
    <t>部品番号</t>
    <phoneticPr fontId="1"/>
  </si>
  <si>
    <t>客先部品番号</t>
  </si>
  <si>
    <t>納入指示数</t>
    <phoneticPr fontId="1"/>
  </si>
  <si>
    <t>非順列納入指示データ</t>
    <phoneticPr fontId="16"/>
  </si>
  <si>
    <t>KD・SP・試作・在庫品納入指示データ</t>
  </si>
  <si>
    <t>ラインの場合、'T'
KDの場合、'E'
SPの場合、'F'</t>
  </si>
  <si>
    <t>発行ＮＯ</t>
    <phoneticPr fontId="1"/>
  </si>
  <si>
    <t>納入指示時間</t>
    <phoneticPr fontId="1"/>
  </si>
  <si>
    <t>荷卸単位</t>
    <phoneticPr fontId="1"/>
  </si>
  <si>
    <t>客先部品番号</t>
    <phoneticPr fontId="1"/>
  </si>
  <si>
    <t>納入指示数量</t>
    <phoneticPr fontId="1"/>
  </si>
  <si>
    <t>納入指示端数</t>
    <phoneticPr fontId="1"/>
  </si>
  <si>
    <t>化成注略</t>
    <phoneticPr fontId="1"/>
  </si>
  <si>
    <t>最終顧客コード</t>
    <phoneticPr fontId="1"/>
  </si>
  <si>
    <t>原価部門コード</t>
    <phoneticPr fontId="1"/>
  </si>
  <si>
    <t>売上品種コード</t>
    <phoneticPr fontId="1"/>
  </si>
  <si>
    <t>納入指示端数区分</t>
    <phoneticPr fontId="1"/>
  </si>
  <si>
    <t>'0'</t>
  </si>
  <si>
    <t>これは？</t>
  </si>
  <si>
    <t>日産組立ライン
コードマスタで定義</t>
  </si>
  <si>
    <t>SIMHEAD</t>
  </si>
  <si>
    <t>SIMHEAD</t>
    <phoneticPr fontId="1"/>
  </si>
  <si>
    <t>シミュレーションヘッダ</t>
    <phoneticPr fontId="16"/>
  </si>
  <si>
    <t>シミュレーション</t>
  </si>
  <si>
    <t>データ更新の日時と開始番号、終了番号</t>
  </si>
  <si>
    <t>種別</t>
    <phoneticPr fontId="1"/>
  </si>
  <si>
    <t>１：初期データ
２：実行データ</t>
  </si>
  <si>
    <t>作成年月日</t>
    <phoneticPr fontId="1"/>
  </si>
  <si>
    <t>作成時間</t>
    <phoneticPr fontId="1"/>
  </si>
  <si>
    <t>開始</t>
    <phoneticPr fontId="1"/>
  </si>
  <si>
    <t>終了</t>
    <phoneticPr fontId="1"/>
  </si>
  <si>
    <t>SIMDATA</t>
  </si>
  <si>
    <t>SIMDATA</t>
    <phoneticPr fontId="1"/>
  </si>
  <si>
    <t>シミュレーションデータ</t>
    <phoneticPr fontId="16"/>
  </si>
  <si>
    <t>納入指示数、在庫数、作業指示数</t>
  </si>
  <si>
    <t>順列生産数</t>
    <phoneticPr fontId="1"/>
  </si>
  <si>
    <t>その他生産数</t>
    <phoneticPr fontId="1"/>
  </si>
  <si>
    <t>計画数１</t>
    <phoneticPr fontId="1"/>
  </si>
  <si>
    <t>計画数２</t>
    <phoneticPr fontId="1"/>
  </si>
  <si>
    <t>計画数３</t>
    <phoneticPr fontId="1"/>
  </si>
  <si>
    <t>計画数４</t>
    <phoneticPr fontId="1"/>
  </si>
  <si>
    <t>計画数５</t>
    <phoneticPr fontId="1"/>
  </si>
  <si>
    <t>SIMORDR</t>
  </si>
  <si>
    <t>SIMORDR</t>
    <phoneticPr fontId="1"/>
  </si>
  <si>
    <t>シミュレーション組立順序</t>
    <phoneticPr fontId="16"/>
  </si>
  <si>
    <t>シミュレーション用の組立順序</t>
  </si>
  <si>
    <t>組立順序</t>
    <phoneticPr fontId="1"/>
  </si>
  <si>
    <t>生産品名マスタ</t>
    <phoneticPr fontId="16"/>
  </si>
  <si>
    <t>マスタ</t>
  </si>
  <si>
    <t>品名コードに紐づく情報を定義するマスタ</t>
  </si>
  <si>
    <t>新基幹システムに送る品名略称</t>
  </si>
  <si>
    <t>空欄：該当せず
O：順列
L：ライン品
S：SP
K：KD
T：試作品</t>
  </si>
  <si>
    <t>品名略称</t>
    <phoneticPr fontId="1"/>
  </si>
  <si>
    <t>表示用品名略称</t>
  </si>
  <si>
    <t>塗装フラグ</t>
    <phoneticPr fontId="1"/>
  </si>
  <si>
    <t>０：非塗装品
１：塗装品</t>
  </si>
  <si>
    <t>セット親品名コード</t>
    <phoneticPr fontId="1"/>
  </si>
  <si>
    <t>セットで成形する親成形品名コード</t>
  </si>
  <si>
    <t>セット親パック品名略称</t>
    <phoneticPr fontId="1"/>
  </si>
  <si>
    <t>セット親納入先コード</t>
    <phoneticPr fontId="1"/>
  </si>
  <si>
    <t>セット親納入区分</t>
    <phoneticPr fontId="1"/>
  </si>
  <si>
    <t>取数</t>
    <phoneticPr fontId="1"/>
  </si>
  <si>
    <t>有効フラグ</t>
    <phoneticPr fontId="1"/>
  </si>
  <si>
    <t>０：無効
１：有効</t>
  </si>
  <si>
    <t>単位</t>
    <phoneticPr fontId="1"/>
  </si>
  <si>
    <t>音源ファイルパス</t>
    <phoneticPr fontId="1"/>
  </si>
  <si>
    <t>塗布機表示NO</t>
    <phoneticPr fontId="1"/>
  </si>
  <si>
    <t>塗布機ハーネス品名</t>
    <phoneticPr fontId="1"/>
  </si>
  <si>
    <t>ガラス接合区分</t>
    <phoneticPr fontId="1"/>
  </si>
  <si>
    <t>ガラス品名</t>
    <phoneticPr fontId="1"/>
  </si>
  <si>
    <t>インナ指示略称</t>
    <phoneticPr fontId="1"/>
  </si>
  <si>
    <t>インナ品種</t>
    <phoneticPr fontId="1"/>
  </si>
  <si>
    <t>仕様</t>
    <phoneticPr fontId="1"/>
  </si>
  <si>
    <t>ヒンジボルト</t>
    <phoneticPr fontId="1"/>
  </si>
  <si>
    <t>オープナーSW</t>
    <phoneticPr fontId="1"/>
  </si>
  <si>
    <t>アウタ生地仕様</t>
    <phoneticPr fontId="1"/>
  </si>
  <si>
    <t>車種</t>
    <phoneticPr fontId="1"/>
  </si>
  <si>
    <t>塗装車種</t>
    <phoneticPr fontId="1"/>
  </si>
  <si>
    <t>生地名</t>
    <phoneticPr fontId="1"/>
  </si>
  <si>
    <t>元はアウタ生地</t>
  </si>
  <si>
    <t>アウタ穴仕様</t>
    <phoneticPr fontId="1"/>
  </si>
  <si>
    <t>コンビランプ</t>
    <phoneticPr fontId="1"/>
  </si>
  <si>
    <t>成形品名コード</t>
    <phoneticPr fontId="1"/>
  </si>
  <si>
    <t>仕向地</t>
    <phoneticPr fontId="1"/>
  </si>
  <si>
    <t>カメラ</t>
    <phoneticPr fontId="1"/>
  </si>
  <si>
    <t>カメラ建付装置用</t>
    <phoneticPr fontId="1"/>
  </si>
  <si>
    <t>クリヤー</t>
    <phoneticPr fontId="1"/>
  </si>
  <si>
    <t>プライマー</t>
    <phoneticPr fontId="1"/>
  </si>
  <si>
    <t>塗装色</t>
    <phoneticPr fontId="1"/>
  </si>
  <si>
    <t>穴明仕様コード</t>
    <phoneticPr fontId="1"/>
  </si>
  <si>
    <t>チェックシート区分</t>
    <phoneticPr fontId="1"/>
  </si>
  <si>
    <t>基準車系</t>
    <phoneticPr fontId="1"/>
  </si>
  <si>
    <t>ロック品種</t>
    <phoneticPr fontId="1"/>
  </si>
  <si>
    <t>ボックス品種</t>
    <phoneticPr fontId="1"/>
  </si>
  <si>
    <t>SUBASSY名称</t>
    <phoneticPr fontId="1"/>
  </si>
  <si>
    <t>棚ＮＯ</t>
    <phoneticPr fontId="1"/>
  </si>
  <si>
    <t>DVD名称</t>
    <phoneticPr fontId="1"/>
  </si>
  <si>
    <t>発注用部品</t>
    <phoneticPr fontId="1"/>
  </si>
  <si>
    <t>ハーネス</t>
    <phoneticPr fontId="1"/>
  </si>
  <si>
    <t>AV-CONT数量</t>
    <phoneticPr fontId="1"/>
  </si>
  <si>
    <t>チェック表部品表示</t>
    <phoneticPr fontId="1"/>
  </si>
  <si>
    <t>Ｏ/Ｆフラグ</t>
    <phoneticPr fontId="1"/>
  </si>
  <si>
    <t>設定コード名２</t>
    <phoneticPr fontId="1"/>
  </si>
  <si>
    <t>分割区分</t>
    <phoneticPr fontId="1"/>
  </si>
  <si>
    <t>キャップB/D</t>
    <phoneticPr fontId="1"/>
  </si>
  <si>
    <t>非接触センサー</t>
    <phoneticPr fontId="1"/>
  </si>
  <si>
    <t>同色の変更可能な品名コード</t>
    <phoneticPr fontId="1"/>
  </si>
  <si>
    <t>ナンバープレート</t>
    <phoneticPr fontId="1"/>
  </si>
  <si>
    <t>成形モジュール</t>
    <phoneticPr fontId="1"/>
  </si>
  <si>
    <t>分類</t>
    <phoneticPr fontId="1"/>
  </si>
  <si>
    <t>成形・塗装作業指示確定及び発行画面
塗装工程作業指示一覧の表示カラム</t>
  </si>
  <si>
    <t>備考</t>
    <phoneticPr fontId="1"/>
  </si>
  <si>
    <t>REMARKS</t>
    <phoneticPr fontId="16"/>
  </si>
  <si>
    <t>組立品構成マスタ</t>
    <phoneticPr fontId="16"/>
  </si>
  <si>
    <t>組立品を構成する品名を定義するマスタ</t>
  </si>
  <si>
    <t>親の品名略称
コードマスタに定義</t>
  </si>
  <si>
    <t>親の納入先コード
コードマスタに定義</t>
  </si>
  <si>
    <t>親の納入区分
コードマスタに定義</t>
  </si>
  <si>
    <t>構成区分</t>
    <phoneticPr fontId="1"/>
  </si>
  <si>
    <t>１：構成品（アウタ、インナ等）
２：組付け品</t>
  </si>
  <si>
    <t>子事業所コード</t>
    <phoneticPr fontId="1"/>
  </si>
  <si>
    <t>子パック品名略称</t>
    <phoneticPr fontId="1"/>
  </si>
  <si>
    <t>子納入先コード</t>
    <phoneticPr fontId="1"/>
  </si>
  <si>
    <t>子納入区分</t>
    <phoneticPr fontId="1"/>
  </si>
  <si>
    <t>使用数量</t>
    <phoneticPr fontId="1"/>
  </si>
  <si>
    <t>組付け標準通過工程コード</t>
    <phoneticPr fontId="1"/>
  </si>
  <si>
    <t>組付け作業を行う通過工程
標準通過工程マスタ</t>
  </si>
  <si>
    <t>資材マスタ</t>
    <phoneticPr fontId="16"/>
  </si>
  <si>
    <t>資材を停止するマスタ</t>
  </si>
  <si>
    <t>資材コード</t>
    <phoneticPr fontId="1"/>
  </si>
  <si>
    <t>資材名</t>
    <phoneticPr fontId="1"/>
  </si>
  <si>
    <t>コードマスタ参照</t>
  </si>
  <si>
    <t>使用資材</t>
    <phoneticPr fontId="16"/>
  </si>
  <si>
    <t>品名ごと、工程ごとの使用資材を定義するマスタ</t>
  </si>
  <si>
    <t>資材品名コード</t>
    <phoneticPr fontId="1"/>
  </si>
  <si>
    <t>資材品名略称</t>
    <phoneticPr fontId="1"/>
  </si>
  <si>
    <t>資材を組付け作業を行う通過工程
標準通過工程マスタ</t>
  </si>
  <si>
    <t>製品マスタ</t>
    <phoneticPr fontId="16"/>
  </si>
  <si>
    <t>製品情報を定義するマスタ</t>
  </si>
  <si>
    <t>品種コード</t>
    <phoneticPr fontId="1"/>
  </si>
  <si>
    <t>取付け指示コード</t>
    <phoneticPr fontId="1"/>
  </si>
  <si>
    <t>製品出荷ＳＮＰ</t>
    <phoneticPr fontId="1"/>
  </si>
  <si>
    <t>オプション項目</t>
    <phoneticPr fontId="1"/>
  </si>
  <si>
    <t>車種マスタ</t>
    <phoneticPr fontId="16"/>
  </si>
  <si>
    <t>車種名を定義するマスタ</t>
  </si>
  <si>
    <t>車種コード</t>
    <phoneticPr fontId="1"/>
  </si>
  <si>
    <t>車種名</t>
    <phoneticPr fontId="1"/>
  </si>
  <si>
    <t>表示順序</t>
    <phoneticPr fontId="1"/>
  </si>
  <si>
    <t>表示フラグ</t>
    <phoneticPr fontId="1"/>
  </si>
  <si>
    <t>0：表示しない
1：表示する</t>
  </si>
  <si>
    <t>設備マスタ</t>
    <phoneticPr fontId="16"/>
  </si>
  <si>
    <t>設備を定義するマスタ</t>
  </si>
  <si>
    <t>設備略称</t>
    <phoneticPr fontId="1"/>
  </si>
  <si>
    <t>ラインコード</t>
    <phoneticPr fontId="1"/>
  </si>
  <si>
    <t>自動ラベルフラグ</t>
    <phoneticPr fontId="1"/>
  </si>
  <si>
    <t>０：手動ラベル
１：自動ラベル</t>
  </si>
  <si>
    <t>工程マスタ</t>
    <phoneticPr fontId="16"/>
  </si>
  <si>
    <t>大工程を定義するマスタ</t>
  </si>
  <si>
    <t>工程略称</t>
    <phoneticPr fontId="1"/>
  </si>
  <si>
    <t>ラインロット区分</t>
    <phoneticPr fontId="1"/>
  </si>
  <si>
    <t>１：ライン工程（組立工程）
２：ロット工程（成形・塗装工程計画画面で選択できる工程）</t>
  </si>
  <si>
    <t>後工程コード</t>
    <phoneticPr fontId="1"/>
  </si>
  <si>
    <t>工程間のつながりを設定する</t>
  </si>
  <si>
    <t>標準通過工程マスタ</t>
    <phoneticPr fontId="16"/>
  </si>
  <si>
    <t>実績登録する単位の通過工程を定義するマスタ</t>
  </si>
  <si>
    <t>標準通過工程コード</t>
    <phoneticPr fontId="1"/>
  </si>
  <si>
    <t>標準通過工程略称</t>
    <phoneticPr fontId="1"/>
  </si>
  <si>
    <t>工程マスタを参照。各標準通過工程がどの大工程に所属するかを指定する</t>
  </si>
  <si>
    <t>組立以外の工程では共通のコードを設定する</t>
  </si>
  <si>
    <t>表示順</t>
    <phoneticPr fontId="1"/>
  </si>
  <si>
    <t>マスタ設定時の表示順を設定する</t>
  </si>
  <si>
    <t>区分標準通過工程</t>
    <phoneticPr fontId="16"/>
  </si>
  <si>
    <t>標準通過工程の先行/後続関係とチェック項目を定義するマスタ</t>
  </si>
  <si>
    <t>品名マスタ主キー</t>
  </si>
  <si>
    <t>標準通過工程</t>
  </si>
  <si>
    <t>後続標準通過工程コード</t>
    <phoneticPr fontId="1"/>
  </si>
  <si>
    <t>工程順位</t>
    <phoneticPr fontId="1"/>
  </si>
  <si>
    <t>AB　BC　など　新基幹への連携仕様要確認</t>
  </si>
  <si>
    <t>前通過工程チェックフラグ</t>
    <phoneticPr fontId="1"/>
  </si>
  <si>
    <t>後続工程での前工程の実行チェック
０：チェックしない
１：チェックする</t>
  </si>
  <si>
    <t>投入チェックフラグ</t>
    <phoneticPr fontId="1"/>
  </si>
  <si>
    <t>投入された個体NOの合格チェック
０：チェックしない
１：チェックする</t>
  </si>
  <si>
    <t>滞留時間チェックフラグ</t>
    <phoneticPr fontId="1"/>
  </si>
  <si>
    <t>通過工程間テーブルのチェック
０：チェックしない
１：チェックする</t>
  </si>
  <si>
    <t>投入指示フラグ</t>
    <phoneticPr fontId="1"/>
  </si>
  <si>
    <t>投入指示テーブルの処理
０：実行しない
１：実行する</t>
  </si>
  <si>
    <t>読込ラベルグループコード</t>
    <phoneticPr fontId="1"/>
  </si>
  <si>
    <t>H/Tでの読み込みラベルを定義
※定義がある場合のみ有効</t>
  </si>
  <si>
    <t>通過工程間チェック</t>
    <phoneticPr fontId="16"/>
  </si>
  <si>
    <t>各標準通過工程の実績登録時に行うチェック内容を定義するマスタ</t>
  </si>
  <si>
    <t>先行通過工程コード</t>
    <phoneticPr fontId="1"/>
  </si>
  <si>
    <t>先行構成要素区分</t>
    <phoneticPr fontId="1"/>
  </si>
  <si>
    <t>チェック区分</t>
    <phoneticPr fontId="1"/>
  </si>
  <si>
    <t>１：先行工程実施（経過時間は不問）
２：YY分以内に
３：XX分後以降に
４：XX分以降、YY分以内に
他に必要であれば区分を増やす想定</t>
  </si>
  <si>
    <t>基準経過時間（以降）</t>
    <phoneticPr fontId="1"/>
  </si>
  <si>
    <t>XX分</t>
  </si>
  <si>
    <t>基準経過時間（以内）</t>
    <phoneticPr fontId="1"/>
  </si>
  <si>
    <t>YY分</t>
  </si>
  <si>
    <t>REMARKS</t>
    <phoneticPr fontId="16"/>
  </si>
  <si>
    <t>投入指示作成</t>
    <phoneticPr fontId="16"/>
  </si>
  <si>
    <t>各標準通過工程で作成する投入指示データの定義をするマスタ</t>
  </si>
  <si>
    <t>投入標準通過工程コード</t>
    <phoneticPr fontId="1"/>
  </si>
  <si>
    <t>投入指示を作成する標準通過工程
標準通過工程マスタ</t>
  </si>
  <si>
    <t>判定理由マスタ</t>
    <phoneticPr fontId="16"/>
  </si>
  <si>
    <t>実績の判定結果の理由を定義するマスタ</t>
  </si>
  <si>
    <t>工程コードマスタ</t>
  </si>
  <si>
    <t>理由区分</t>
    <phoneticPr fontId="1"/>
  </si>
  <si>
    <t>１：不良
２：保留
３：再塗装
４：リペア
５：手直し</t>
  </si>
  <si>
    <t>判定理由</t>
    <phoneticPr fontId="1"/>
  </si>
  <si>
    <t>塗装不良区分</t>
    <phoneticPr fontId="1"/>
  </si>
  <si>
    <t>空欄：該当せず
１：不良
２：成形不良
３：仕上不良</t>
  </si>
  <si>
    <t>表示区分</t>
    <phoneticPr fontId="1"/>
  </si>
  <si>
    <t>０：表示
１：非表示</t>
  </si>
  <si>
    <t>ボタン表示</t>
    <phoneticPr fontId="1"/>
  </si>
  <si>
    <t>ボタン表示順序</t>
    <phoneticPr fontId="1"/>
  </si>
  <si>
    <t>コードマスタ</t>
    <phoneticPr fontId="16"/>
  </si>
  <si>
    <t>各種コードと表示値を保持するマスタ</t>
  </si>
  <si>
    <t>コード区分</t>
    <phoneticPr fontId="1"/>
  </si>
  <si>
    <t>コード</t>
    <phoneticPr fontId="1"/>
  </si>
  <si>
    <t>コード名称</t>
    <phoneticPr fontId="1"/>
  </si>
  <si>
    <t>コード名称（英語）</t>
    <phoneticPr fontId="1"/>
  </si>
  <si>
    <t>項目１</t>
    <phoneticPr fontId="1"/>
  </si>
  <si>
    <t>項目２</t>
    <phoneticPr fontId="1"/>
  </si>
  <si>
    <t>項目３</t>
    <phoneticPr fontId="1"/>
  </si>
  <si>
    <t>項目４</t>
    <phoneticPr fontId="1"/>
  </si>
  <si>
    <t>項目５</t>
    <phoneticPr fontId="1"/>
  </si>
  <si>
    <t>社員マスタ</t>
    <phoneticPr fontId="16"/>
  </si>
  <si>
    <t>社員情報を定義するマスタ</t>
  </si>
  <si>
    <t>氏名コード</t>
    <phoneticPr fontId="1"/>
  </si>
  <si>
    <t>氏名</t>
    <phoneticPr fontId="1"/>
  </si>
  <si>
    <t>稼働日マスタ</t>
    <phoneticPr fontId="16"/>
  </si>
  <si>
    <t>稼働日情報を定義するマスタ</t>
  </si>
  <si>
    <t>稼働年月日</t>
    <phoneticPr fontId="1"/>
  </si>
  <si>
    <t>直区分</t>
    <phoneticPr fontId="1"/>
  </si>
  <si>
    <t>稼働区分</t>
    <phoneticPr fontId="1"/>
  </si>
  <si>
    <t>０：非稼働
１：稼働</t>
  </si>
  <si>
    <t>休憩時間マスタ</t>
    <phoneticPr fontId="16"/>
  </si>
  <si>
    <t>休憩時間を定義するマスタ</t>
  </si>
  <si>
    <t>１，２，３・・・</t>
  </si>
  <si>
    <t>休憩開始時間</t>
    <phoneticPr fontId="1"/>
  </si>
  <si>
    <t>HH:MM　　時間は２４H</t>
  </si>
  <si>
    <t>休憩終了時間</t>
    <phoneticPr fontId="1"/>
  </si>
  <si>
    <t>休憩時間</t>
    <phoneticPr fontId="1"/>
  </si>
  <si>
    <t>日付変更区分</t>
    <phoneticPr fontId="1"/>
  </si>
  <si>
    <t>事業所マスタ</t>
    <phoneticPr fontId="16"/>
  </si>
  <si>
    <t>事業所情報を定義するマスタ</t>
  </si>
  <si>
    <t>Q：九州、D：五所宮、F：下館、C：HCAT</t>
  </si>
  <si>
    <t>事業所名称</t>
    <phoneticPr fontId="1"/>
  </si>
  <si>
    <t>事業所正式名</t>
    <phoneticPr fontId="1"/>
  </si>
  <si>
    <t>品種マスタ</t>
    <phoneticPr fontId="16"/>
  </si>
  <si>
    <t>品種情報を定義するマスタ</t>
  </si>
  <si>
    <t>品種コード</t>
    <phoneticPr fontId="1"/>
  </si>
  <si>
    <t>品種名</t>
    <phoneticPr fontId="1"/>
  </si>
  <si>
    <t>パスワードマスタ</t>
    <phoneticPr fontId="16"/>
  </si>
  <si>
    <t>パスワードを保持するマスタ</t>
  </si>
  <si>
    <t>パスワード種別</t>
    <phoneticPr fontId="1"/>
  </si>
  <si>
    <t>パスワード</t>
    <phoneticPr fontId="1"/>
  </si>
  <si>
    <t>ＩＰアドレス管理マスタ</t>
    <phoneticPr fontId="16"/>
  </si>
  <si>
    <t>IPアドレスを保持するマスタ</t>
  </si>
  <si>
    <t>ＩＰアドレス</t>
    <phoneticPr fontId="1"/>
  </si>
  <si>
    <t>設備コード</t>
    <phoneticPr fontId="1"/>
  </si>
  <si>
    <t>稼動区分</t>
    <phoneticPr fontId="1"/>
  </si>
  <si>
    <t>用途区分</t>
    <phoneticPr fontId="1"/>
  </si>
  <si>
    <t>機種</t>
    <phoneticPr fontId="1"/>
  </si>
  <si>
    <t>採番マスタ</t>
    <phoneticPr fontId="16"/>
  </si>
  <si>
    <t>採番管理をするマスタ</t>
  </si>
  <si>
    <t>管理ＮＯ種別</t>
    <phoneticPr fontId="1"/>
  </si>
  <si>
    <t>固定部</t>
    <phoneticPr fontId="1"/>
  </si>
  <si>
    <t>変動データ部</t>
    <phoneticPr fontId="1"/>
  </si>
  <si>
    <t>番号</t>
    <phoneticPr fontId="1"/>
  </si>
  <si>
    <t>読込ラベルグループマスタ</t>
    <phoneticPr fontId="16"/>
  </si>
  <si>
    <t>H/T画面で複数ラベル読込を行うグループを定義するマスタ</t>
  </si>
  <si>
    <t>読込ラベルグループコード</t>
    <phoneticPr fontId="1"/>
  </si>
  <si>
    <t>構成要素区分</t>
    <phoneticPr fontId="1"/>
  </si>
  <si>
    <t>資材品名コード</t>
    <phoneticPr fontId="1"/>
  </si>
  <si>
    <t>組付部品の資材品名コード</t>
  </si>
  <si>
    <t>ポカヨケフラグ</t>
    <phoneticPr fontId="1"/>
  </si>
  <si>
    <t>０：チェックしない
１：チェックする</t>
  </si>
  <si>
    <t>ラベル定義マスタ</t>
    <phoneticPr fontId="16"/>
  </si>
  <si>
    <t>H/T画面で読み込む組付部品バーコードの部品番号部分を定義するマスタ</t>
  </si>
  <si>
    <t>ポカヨケ対象となる使用資材マスタの資材品名コード</t>
  </si>
  <si>
    <t>読込開始位置</t>
    <phoneticPr fontId="1"/>
  </si>
  <si>
    <t>資材バーコードの部品番号開始位置</t>
  </si>
  <si>
    <t>読込桁数</t>
    <phoneticPr fontId="1"/>
  </si>
  <si>
    <t>資材バーコードの部品番号桁数</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</si>
</sst>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件&quot;"/>
  </numFmts>
  <fonts count="26">
    <font>
      <sz val="11"/>
      <name val="明朝"/>
      <family val="1"/>
      <charset val="128"/>
    </font>
    <font>
      <sz val="11"/>
      <name val="明朝"/>
      <family val="1"/>
      <charset val="128"/>
    </font>
    <font>
      <sz val="11"/>
      <name val="ＭＳ ゴシック"/>
      <family val="3"/>
      <charset val="128"/>
    </font>
    <font>
      <b/>
      <sz val="11"/>
      <color indexed="8"/>
      <name val="ＭＳ ゴシック"/>
      <family val="3"/>
      <charset val="128"/>
    </font>
    <font>
      <sz val="10"/>
      <color indexed="9"/>
      <name val="ＭＳ ゴシック"/>
      <family val="3"/>
      <charset val="128"/>
    </font>
    <font>
      <sz val="10"/>
      <name val="ＭＳ ゴシック"/>
      <family val="3"/>
      <charset val="128"/>
    </font>
    <font>
      <b/>
      <sz val="10"/>
      <name val="ＭＳ ゴシック"/>
      <family val="3"/>
      <charset val="128"/>
    </font>
    <font>
      <b/>
      <sz val="8"/>
      <name val="Times New Roman"/>
      <family val="1"/>
    </font>
    <font>
      <sz val="10"/>
      <name val="Times New Roman"/>
      <family val="1"/>
    </font>
    <font>
      <sz val="12"/>
      <name val="Times New Roman"/>
      <family val="1"/>
    </font>
    <font>
      <sz val="11"/>
      <name val="Times New Roman"/>
      <family val="1"/>
    </font>
    <font>
      <sz val="8"/>
      <name val="Times New Roman"/>
      <family val="1"/>
    </font>
    <font>
      <sz val="8"/>
      <color indexed="9"/>
      <name val="Times New Roman"/>
      <family val="1"/>
    </font>
    <font>
      <b/>
      <sz val="8"/>
      <color indexed="8"/>
      <name val="Times New Roman"/>
      <family val="1"/>
    </font>
    <font>
      <sz val="10"/>
      <name val="ＭＳ 明朝"/>
      <family val="1"/>
      <charset val="128"/>
    </font>
    <font>
      <sz val="10"/>
      <name val="ＭＳ Ｐ明朝"/>
      <family val="1"/>
      <charset val="128"/>
    </font>
    <font>
      <sz val="8"/>
      <name val="ＭＳ Ｐ明朝"/>
      <family val="1"/>
      <charset val="128"/>
    </font>
    <font>
      <sz val="6"/>
      <name val="ＭＳ Ｐ明朝"/>
      <family val="1"/>
      <charset val="128"/>
    </font>
    <font>
      <sz val="12"/>
      <name val="ＭＳ ゴシック"/>
      <family val="3"/>
      <charset val="128"/>
    </font>
    <font>
      <sz val="9"/>
      <color indexed="81"/>
      <name val="ＭＳ Ｐゴシック"/>
      <family val="3"/>
      <charset val="128"/>
    </font>
    <font>
      <sz val="11"/>
      <name val="メイリオ"/>
      <family val="3"/>
      <charset val="128"/>
    </font>
    <font>
      <sz val="8"/>
      <color rgb="FF000000"/>
      <name val="Times New Roman"/>
      <family val="1"/>
    </font>
    <font>
      <sz val="8"/>
      <color rgb="FF000000"/>
      <name val="ＭＳ 明朝"/>
      <family val="1"/>
      <charset val="128"/>
    </font>
    <font>
      <sz val="10"/>
      <color rgb="FF008000"/>
      <name val="ＭＳ Ｐゴシック"/>
      <family val="3"/>
      <charset val="128"/>
    </font>
    <font>
      <sz val="10"/>
      <color rgb="FFFF0000"/>
      <name val="ＭＳ Ｐゴシック"/>
      <family val="3"/>
      <charset val="128"/>
    </font>
    <font>
      <sz val="6"/>
      <name val="明朝"/>
      <family val="1"/>
      <charset val="128"/>
    </font>
  </fonts>
  <fills count="6">
    <fill>
      <patternFill patternType="none"/>
    </fill>
    <fill>
      <patternFill patternType="gray125"/>
    </fill>
    <fill>
      <patternFill patternType="solid">
        <fgColor indexed="13"/>
        <bgColor indexed="64"/>
      </patternFill>
    </fill>
    <fill>
      <patternFill patternType="lightTrellis">
        <fgColor indexed="55"/>
      </patternFill>
    </fill>
    <fill>
      <patternFill patternType="solid">
        <fgColor indexed="22"/>
        <bgColor indexed="64"/>
      </patternFill>
    </fill>
    <fill>
      <patternFill patternType="solid">
        <fgColor indexed="26"/>
        <bgColor indexed="64"/>
      </patternFill>
    </fill>
  </fills>
  <borders count="4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dashed">
        <color indexed="64"/>
      </top>
      <bottom/>
      <diagonal/>
    </border>
    <border>
      <left/>
      <right/>
      <top style="dashed">
        <color indexed="64"/>
      </top>
      <bottom/>
      <diagonal/>
    </border>
    <border>
      <left/>
      <right style="medium">
        <color indexed="64"/>
      </right>
      <top style="dashed">
        <color indexed="64"/>
      </top>
      <bottom/>
      <diagonal/>
    </border>
    <border>
      <left style="medium">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s>
  <cellStyleXfs count="2">
    <xf numFmtId="0" fontId="0" fillId="0" borderId="0"/>
    <xf numFmtId="38" fontId="1" fillId="0" borderId="0" applyFont="0" applyFill="0" applyBorder="0" applyAlignment="0" applyProtection="0"/>
  </cellStyleXfs>
  <cellXfs count="253">
    <xf numFmtId="0" fontId="0" fillId="0" borderId="0" xfId="0"/>
    <xf numFmtId="0" fontId="4" fillId="3" borderId="10" xfId="0" applyFont="1" applyFill="1" applyBorder="1" applyAlignment="1"/>
    <xf numFmtId="0" fontId="5" fillId="3" borderId="10" xfId="0" quotePrefix="1" applyFont="1" applyFill="1" applyBorder="1" applyAlignment="1"/>
    <xf numFmtId="0" fontId="5" fillId="3" borderId="2" xfId="0" quotePrefix="1" applyFont="1" applyFill="1" applyBorder="1" applyAlignment="1">
      <alignment horizontal="left"/>
    </xf>
    <xf numFmtId="0" fontId="5" fillId="0" borderId="0" xfId="0" applyFont="1"/>
    <xf numFmtId="0" fontId="4" fillId="3" borderId="0" xfId="0" applyFont="1" applyFill="1" applyBorder="1" applyAlignment="1">
      <alignment horizontal="centerContinuous"/>
    </xf>
    <xf numFmtId="0" fontId="5" fillId="3" borderId="0" xfId="0" applyFont="1" applyFill="1" applyBorder="1" applyAlignment="1">
      <alignment horizontal="centerContinuous"/>
    </xf>
    <xf numFmtId="0" fontId="5" fillId="3" borderId="4" xfId="0" applyFont="1" applyFill="1" applyBorder="1" applyAlignment="1">
      <alignment horizontal="centerContinuous"/>
    </xf>
    <xf numFmtId="0" fontId="5" fillId="0" borderId="11" xfId="0" applyFont="1" applyBorder="1" applyAlignment="1"/>
    <xf numFmtId="0" fontId="5" fillId="3" borderId="0" xfId="0" applyFont="1" applyFill="1" applyBorder="1" applyAlignment="1"/>
    <xf numFmtId="0" fontId="5" fillId="3" borderId="4" xfId="0" applyFont="1" applyFill="1" applyBorder="1" applyAlignment="1"/>
    <xf numFmtId="0" fontId="4" fillId="3" borderId="12" xfId="0" applyFont="1" applyFill="1" applyBorder="1" applyAlignment="1"/>
    <xf numFmtId="0" fontId="5" fillId="3" borderId="12" xfId="0" applyFont="1" applyFill="1" applyBorder="1" applyAlignment="1"/>
    <xf numFmtId="0" fontId="5" fillId="3" borderId="6" xfId="0" applyFont="1" applyFill="1" applyBorder="1" applyAlignment="1"/>
    <xf numFmtId="0" fontId="5" fillId="0" borderId="13" xfId="0" applyFont="1" applyBorder="1" applyAlignment="1"/>
    <xf numFmtId="0" fontId="5" fillId="0" borderId="5" xfId="0" applyFont="1" applyBorder="1" applyAlignment="1"/>
    <xf numFmtId="0" fontId="5" fillId="0" borderId="0" xfId="0" applyFont="1" applyAlignment="1">
      <alignment horizontal="right"/>
    </xf>
    <xf numFmtId="0" fontId="8" fillId="0" borderId="14" xfId="0" applyFont="1" applyBorder="1" applyProtection="1">
      <protection locked="0"/>
    </xf>
    <xf numFmtId="0" fontId="8" fillId="0" borderId="15" xfId="0" applyFont="1" applyBorder="1" applyAlignment="1" applyProtection="1">
      <alignment horizontal="centerContinuous"/>
      <protection locked="0"/>
    </xf>
    <xf numFmtId="0" fontId="9" fillId="0" borderId="14" xfId="0" applyFont="1" applyBorder="1" applyAlignment="1" applyProtection="1">
      <alignment horizontal="center"/>
      <protection locked="0"/>
    </xf>
    <xf numFmtId="0" fontId="5" fillId="4" borderId="16" xfId="0" applyFont="1" applyFill="1" applyBorder="1" applyAlignment="1">
      <alignment horizontal="centerContinuous"/>
    </xf>
    <xf numFmtId="0" fontId="5" fillId="4" borderId="17" xfId="0" applyFont="1" applyFill="1" applyBorder="1" applyAlignment="1">
      <alignment horizontal="centerContinuous"/>
    </xf>
    <xf numFmtId="0" fontId="5" fillId="4" borderId="15" xfId="0" applyFont="1" applyFill="1" applyBorder="1" applyAlignment="1">
      <alignment horizontal="centerContinuous"/>
    </xf>
    <xf numFmtId="0" fontId="5" fillId="4" borderId="14" xfId="0" applyFont="1" applyFill="1" applyBorder="1" applyAlignment="1">
      <alignment horizontal="centerContinuous"/>
    </xf>
    <xf numFmtId="0" fontId="5" fillId="4" borderId="12" xfId="0" applyFont="1" applyFill="1" applyBorder="1" applyAlignment="1">
      <alignment horizontal="centerContinuous"/>
    </xf>
    <xf numFmtId="0" fontId="5" fillId="4" borderId="6" xfId="0" applyFont="1" applyFill="1" applyBorder="1" applyAlignment="1">
      <alignment horizontal="centerContinuous"/>
    </xf>
    <xf numFmtId="0" fontId="6" fillId="4" borderId="17" xfId="0" applyFont="1" applyFill="1" applyBorder="1" applyAlignment="1">
      <alignment horizontal="centerContinuous"/>
    </xf>
    <xf numFmtId="0" fontId="6" fillId="4" borderId="14" xfId="0" applyFont="1" applyFill="1" applyBorder="1" applyAlignment="1">
      <alignment horizontal="centerContinuous"/>
    </xf>
    <xf numFmtId="0" fontId="5" fillId="4" borderId="0" xfId="0" applyFont="1" applyFill="1" applyBorder="1"/>
    <xf numFmtId="0" fontId="5" fillId="4" borderId="4" xfId="0" applyFont="1" applyFill="1" applyBorder="1"/>
    <xf numFmtId="0" fontId="5" fillId="4" borderId="0" xfId="0" applyFont="1" applyFill="1" applyBorder="1" applyAlignment="1">
      <alignment horizontal="centerContinuous"/>
    </xf>
    <xf numFmtId="0" fontId="5" fillId="4" borderId="4" xfId="0" applyFont="1" applyFill="1" applyBorder="1" applyAlignment="1">
      <alignment horizontal="centerContinuous"/>
    </xf>
    <xf numFmtId="0" fontId="5" fillId="4" borderId="0" xfId="0" applyFont="1" applyFill="1" applyBorder="1" applyAlignment="1"/>
    <xf numFmtId="0" fontId="5" fillId="4" borderId="18" xfId="0" applyFont="1" applyFill="1" applyBorder="1" applyAlignment="1">
      <alignment horizontal="center"/>
    </xf>
    <xf numFmtId="0" fontId="5" fillId="4" borderId="7" xfId="0" quotePrefix="1" applyFont="1" applyFill="1" applyBorder="1" applyAlignment="1">
      <alignment horizontal="centerContinuous"/>
    </xf>
    <xf numFmtId="0" fontId="4" fillId="3" borderId="0" xfId="0" quotePrefix="1" applyFont="1" applyFill="1" applyBorder="1" applyAlignment="1">
      <alignment horizontal="centerContinuous"/>
    </xf>
    <xf numFmtId="0" fontId="3" fillId="3" borderId="0" xfId="0" applyFont="1" applyFill="1" applyBorder="1" applyAlignment="1">
      <alignment horizontal="centerContinuous"/>
    </xf>
    <xf numFmtId="0" fontId="10" fillId="0" borderId="14" xfId="0" applyFont="1" applyFill="1" applyBorder="1"/>
    <xf numFmtId="0" fontId="12" fillId="3" borderId="1" xfId="0" applyFont="1" applyFill="1" applyBorder="1" applyAlignment="1"/>
    <xf numFmtId="0" fontId="13" fillId="3" borderId="3" xfId="0" quotePrefix="1" applyFont="1" applyFill="1" applyBorder="1" applyAlignment="1">
      <alignment horizontal="centerContinuous"/>
    </xf>
    <xf numFmtId="0" fontId="12" fillId="3" borderId="3" xfId="0" quotePrefix="1" applyFont="1" applyFill="1" applyBorder="1" applyAlignment="1">
      <alignment horizontal="centerContinuous"/>
    </xf>
    <xf numFmtId="0" fontId="13" fillId="3" borderId="3" xfId="0" applyFont="1" applyFill="1" applyBorder="1" applyAlignment="1">
      <alignment horizontal="centerContinuous"/>
    </xf>
    <xf numFmtId="0" fontId="12" fillId="3" borderId="5" xfId="0" applyFont="1" applyFill="1" applyBorder="1" applyAlignment="1"/>
    <xf numFmtId="0" fontId="7" fillId="4" borderId="19" xfId="0" quotePrefix="1" applyFont="1" applyFill="1" applyBorder="1" applyAlignment="1">
      <alignment horizontal="centerContinuous"/>
    </xf>
    <xf numFmtId="0" fontId="7" fillId="4" borderId="20" xfId="0" quotePrefix="1" applyFont="1" applyFill="1" applyBorder="1" applyAlignment="1">
      <alignment horizontal="centerContinuous"/>
    </xf>
    <xf numFmtId="0" fontId="7" fillId="4" borderId="20" xfId="0" applyFont="1" applyFill="1" applyBorder="1" applyAlignment="1">
      <alignment horizontal="centerContinuous"/>
    </xf>
    <xf numFmtId="0" fontId="7" fillId="4" borderId="5" xfId="0" applyFont="1" applyFill="1" applyBorder="1" applyAlignment="1">
      <alignment horizontal="centerContinuous"/>
    </xf>
    <xf numFmtId="0" fontId="11" fillId="0" borderId="0" xfId="0" applyFont="1"/>
    <xf numFmtId="0" fontId="8" fillId="4" borderId="4" xfId="0" applyFont="1" applyFill="1" applyBorder="1"/>
    <xf numFmtId="0" fontId="5" fillId="4" borderId="9" xfId="0" quotePrefix="1" applyFont="1" applyFill="1" applyBorder="1" applyAlignment="1">
      <alignment horizontal="centerContinuous"/>
    </xf>
    <xf numFmtId="0" fontId="5" fillId="0" borderId="14" xfId="0" applyFont="1" applyBorder="1" applyAlignment="1" applyProtection="1">
      <alignment horizontal="center"/>
      <protection locked="0"/>
    </xf>
    <xf numFmtId="0" fontId="5" fillId="4" borderId="7" xfId="0" quotePrefix="1" applyFont="1" applyFill="1" applyBorder="1" applyAlignment="1" applyProtection="1">
      <alignment horizontal="right"/>
    </xf>
    <xf numFmtId="0" fontId="5" fillId="0" borderId="0" xfId="0" applyFont="1" applyBorder="1" applyAlignment="1" applyProtection="1">
      <alignment horizontal="right"/>
    </xf>
    <xf numFmtId="0" fontId="5" fillId="0" borderId="12" xfId="0" applyFont="1" applyBorder="1" applyAlignment="1" applyProtection="1">
      <alignment horizontal="right"/>
    </xf>
    <xf numFmtId="0" fontId="5" fillId="0" borderId="14" xfId="0" applyFont="1" applyBorder="1" applyAlignment="1" applyProtection="1">
      <alignment horizontal="right"/>
    </xf>
    <xf numFmtId="0" fontId="5" fillId="5" borderId="14" xfId="0" applyFont="1" applyFill="1" applyBorder="1" applyAlignment="1" applyProtection="1">
      <alignment horizontal="right"/>
    </xf>
    <xf numFmtId="0" fontId="5" fillId="5" borderId="6" xfId="0" applyFont="1" applyFill="1" applyBorder="1" applyAlignment="1" applyProtection="1">
      <alignment horizontal="right"/>
    </xf>
    <xf numFmtId="0" fontId="5" fillId="4" borderId="4" xfId="0" applyFont="1" applyFill="1" applyBorder="1" applyAlignment="1" applyProtection="1">
      <alignment horizontal="right"/>
    </xf>
    <xf numFmtId="0" fontId="5" fillId="0" borderId="0" xfId="0" applyFont="1" applyAlignment="1" applyProtection="1">
      <alignment horizontal="right"/>
    </xf>
    <xf numFmtId="0" fontId="8" fillId="0" borderId="14" xfId="0" applyFont="1" applyBorder="1" applyAlignment="1" applyProtection="1">
      <alignment horizontal="centerContinuous"/>
      <protection locked="0"/>
    </xf>
    <xf numFmtId="0" fontId="5" fillId="4" borderId="19" xfId="0" applyFont="1" applyFill="1" applyBorder="1" applyAlignment="1">
      <alignment horizontal="centerContinuous"/>
    </xf>
    <xf numFmtId="0" fontId="5" fillId="4" borderId="20" xfId="0" applyFont="1" applyFill="1" applyBorder="1" applyAlignment="1">
      <alignment horizontal="centerContinuous"/>
    </xf>
    <xf numFmtId="0" fontId="8" fillId="4" borderId="20" xfId="0" applyFont="1" applyFill="1" applyBorder="1" applyAlignment="1">
      <alignment horizontal="centerContinuous"/>
    </xf>
    <xf numFmtId="0" fontId="5" fillId="4" borderId="9" xfId="0" applyFont="1" applyFill="1" applyBorder="1" applyAlignment="1">
      <alignment horizontal="center"/>
    </xf>
    <xf numFmtId="0" fontId="11" fillId="4" borderId="3" xfId="0" applyFont="1" applyFill="1" applyBorder="1" applyAlignment="1">
      <alignment horizontal="centerContinuous"/>
    </xf>
    <xf numFmtId="0" fontId="10" fillId="4" borderId="4" xfId="0" applyFont="1" applyFill="1" applyBorder="1" applyAlignment="1">
      <alignment horizontal="centerContinuous"/>
    </xf>
    <xf numFmtId="0" fontId="8" fillId="4" borderId="4" xfId="0" applyFont="1" applyFill="1" applyBorder="1" applyAlignment="1">
      <alignment horizontal="center"/>
    </xf>
    <xf numFmtId="0" fontId="8" fillId="0" borderId="0" xfId="0" applyFont="1"/>
    <xf numFmtId="0" fontId="8" fillId="0" borderId="0" xfId="0" applyFont="1" applyAlignment="1">
      <alignment horizontal="right"/>
    </xf>
    <xf numFmtId="0" fontId="11" fillId="0" borderId="0" xfId="0" applyFont="1" applyBorder="1" applyAlignment="1" applyProtection="1">
      <alignment vertical="top"/>
      <protection locked="0"/>
    </xf>
    <xf numFmtId="0" fontId="10" fillId="0" borderId="0" xfId="0" applyFont="1" applyBorder="1"/>
    <xf numFmtId="0" fontId="5" fillId="4" borderId="9" xfId="0" applyFont="1" applyFill="1" applyBorder="1" applyAlignment="1">
      <alignment horizontal="centerContinuous"/>
    </xf>
    <xf numFmtId="0" fontId="5" fillId="4" borderId="8" xfId="0" applyFont="1" applyFill="1" applyBorder="1" applyAlignment="1">
      <alignment horizontal="centerContinuous"/>
    </xf>
    <xf numFmtId="0" fontId="5" fillId="0" borderId="21" xfId="0" applyFont="1" applyBorder="1" applyAlignment="1" applyProtection="1">
      <alignment horizontal="center"/>
      <protection locked="0"/>
    </xf>
    <xf numFmtId="0" fontId="5" fillId="0" borderId="0" xfId="0" applyFont="1" applyBorder="1" applyProtection="1">
      <protection locked="0"/>
    </xf>
    <xf numFmtId="0" fontId="8" fillId="0" borderId="0" xfId="0" applyFont="1" applyBorder="1" applyProtection="1">
      <protection locked="0"/>
    </xf>
    <xf numFmtId="0" fontId="8" fillId="0" borderId="0" xfId="0" applyFont="1" applyBorder="1" applyAlignment="1" applyProtection="1">
      <alignment horizontal="centerContinuous"/>
      <protection locked="0"/>
    </xf>
    <xf numFmtId="0" fontId="9" fillId="0" borderId="0" xfId="0" applyFont="1" applyBorder="1" applyAlignment="1" applyProtection="1">
      <alignment horizontal="center"/>
      <protection locked="0"/>
    </xf>
    <xf numFmtId="0" fontId="5" fillId="0" borderId="0" xfId="0" applyFont="1" applyBorder="1" applyAlignment="1" applyProtection="1">
      <alignment horizontal="center"/>
      <protection locked="0"/>
    </xf>
    <xf numFmtId="0" fontId="2" fillId="0" borderId="0" xfId="0" applyFont="1" applyBorder="1" applyAlignment="1" applyProtection="1">
      <alignment horizontal="center"/>
      <protection locked="0"/>
    </xf>
    <xf numFmtId="0" fontId="14" fillId="0" borderId="15" xfId="0" applyFont="1" applyBorder="1" applyProtection="1">
      <protection locked="0"/>
    </xf>
    <xf numFmtId="0" fontId="14" fillId="0" borderId="14" xfId="0" applyFont="1" applyBorder="1" applyProtection="1">
      <protection locked="0"/>
    </xf>
    <xf numFmtId="0" fontId="0" fillId="5" borderId="14" xfId="0" applyFill="1" applyBorder="1" applyAlignment="1">
      <alignment horizontal="centerContinuous"/>
    </xf>
    <xf numFmtId="0" fontId="0" fillId="5" borderId="6" xfId="0" applyFill="1" applyBorder="1" applyAlignment="1">
      <alignment horizontal="centerContinuous"/>
    </xf>
    <xf numFmtId="0" fontId="15" fillId="0" borderId="15" xfId="0" applyFont="1" applyBorder="1" applyProtection="1">
      <protection locked="0"/>
    </xf>
    <xf numFmtId="0" fontId="16" fillId="0" borderId="20" xfId="0" applyFont="1" applyFill="1" applyBorder="1" applyAlignment="1" applyProtection="1">
      <alignment vertical="top"/>
      <protection locked="0"/>
    </xf>
    <xf numFmtId="0" fontId="18" fillId="5" borderId="15" xfId="0" applyFont="1" applyFill="1" applyBorder="1" applyAlignment="1">
      <alignment horizontal="right"/>
    </xf>
    <xf numFmtId="0" fontId="18" fillId="5" borderId="12" xfId="0" applyFont="1" applyFill="1" applyBorder="1" applyAlignment="1">
      <alignment horizontal="right"/>
    </xf>
    <xf numFmtId="3" fontId="9" fillId="5" borderId="15" xfId="0" applyNumberFormat="1" applyFont="1" applyFill="1" applyBorder="1" applyAlignment="1">
      <alignment horizontal="right"/>
    </xf>
    <xf numFmtId="3" fontId="9" fillId="5" borderId="15" xfId="0" applyNumberFormat="1" applyFont="1" applyFill="1" applyBorder="1" applyAlignment="1"/>
    <xf numFmtId="3" fontId="9" fillId="5" borderId="12" xfId="0" applyNumberFormat="1" applyFont="1" applyFill="1" applyBorder="1" applyAlignment="1">
      <alignment horizontal="right"/>
    </xf>
    <xf numFmtId="0" fontId="8" fillId="0" borderId="16" xfId="0" applyFont="1" applyBorder="1" applyAlignment="1" applyProtection="1">
      <alignment horizontal="right"/>
    </xf>
    <xf numFmtId="0" fontId="5" fillId="0" borderId="15" xfId="0" applyFont="1" applyBorder="1" applyAlignment="1" applyProtection="1">
      <alignment horizontal="right"/>
    </xf>
    <xf numFmtId="0" fontId="5" fillId="5" borderId="15" xfId="0" applyFont="1" applyFill="1" applyBorder="1" applyAlignment="1" applyProtection="1">
      <alignment horizontal="right"/>
    </xf>
    <xf numFmtId="0" fontId="10" fillId="4" borderId="9" xfId="0" applyFont="1" applyFill="1" applyBorder="1" applyAlignment="1">
      <alignment horizontal="centerContinuous"/>
    </xf>
    <xf numFmtId="0" fontId="5" fillId="4" borderId="8" xfId="0" quotePrefix="1" applyFont="1" applyFill="1" applyBorder="1" applyAlignment="1">
      <alignment horizontal="centerContinuous"/>
    </xf>
    <xf numFmtId="0" fontId="5" fillId="4" borderId="7" xfId="0" applyFont="1" applyFill="1" applyBorder="1" applyAlignment="1">
      <alignment horizontal="center"/>
    </xf>
    <xf numFmtId="0" fontId="5" fillId="0" borderId="22" xfId="0" applyFont="1" applyBorder="1" applyAlignment="1" applyProtection="1">
      <alignment horizontal="center"/>
      <protection locked="0"/>
    </xf>
    <xf numFmtId="0" fontId="8" fillId="4" borderId="9" xfId="0" applyFont="1" applyFill="1" applyBorder="1" applyAlignment="1">
      <alignment horizontal="center" wrapText="1"/>
    </xf>
    <xf numFmtId="0" fontId="8" fillId="4" borderId="9" xfId="0" applyFont="1" applyFill="1" applyBorder="1" applyAlignment="1">
      <alignment horizontal="center"/>
    </xf>
    <xf numFmtId="0" fontId="3" fillId="3" borderId="0" xfId="0" quotePrefix="1" applyFont="1" applyFill="1" applyBorder="1" applyAlignment="1">
      <alignment horizontal="centerContinuous"/>
    </xf>
    <xf numFmtId="0" fontId="5" fillId="4" borderId="16" xfId="0" quotePrefix="1" applyFont="1" applyFill="1" applyBorder="1" applyAlignment="1">
      <alignment horizontal="centerContinuous"/>
    </xf>
    <xf numFmtId="0" fontId="5" fillId="4" borderId="15" xfId="0" quotePrefix="1" applyFont="1" applyFill="1" applyBorder="1" applyAlignment="1">
      <alignment horizontal="centerContinuous"/>
    </xf>
    <xf numFmtId="0" fontId="5" fillId="4" borderId="5" xfId="0" applyFont="1" applyFill="1" applyBorder="1" applyAlignment="1">
      <alignment horizontal="centerContinuous"/>
    </xf>
    <xf numFmtId="0" fontId="6" fillId="4" borderId="6" xfId="0" applyFont="1" applyFill="1" applyBorder="1" applyAlignment="1">
      <alignment horizontal="centerContinuous"/>
    </xf>
    <xf numFmtId="0" fontId="10" fillId="4" borderId="7" xfId="0" applyFont="1" applyFill="1" applyBorder="1" applyAlignment="1">
      <alignment horizontal="centerContinuous"/>
    </xf>
    <xf numFmtId="0" fontId="5" fillId="4" borderId="9" xfId="0" applyFont="1" applyFill="1" applyBorder="1" applyAlignment="1" applyProtection="1">
      <alignment horizontal="right"/>
    </xf>
    <xf numFmtId="0" fontId="14" fillId="0" borderId="15" xfId="0" applyFont="1" applyFill="1" applyBorder="1" applyProtection="1">
      <protection locked="0"/>
    </xf>
    <xf numFmtId="0" fontId="14" fillId="0" borderId="14" xfId="0" applyFont="1" applyFill="1" applyBorder="1" applyProtection="1">
      <protection locked="0"/>
    </xf>
    <xf numFmtId="0" fontId="15" fillId="0" borderId="15" xfId="0" applyFont="1" applyFill="1" applyBorder="1" applyProtection="1">
      <protection locked="0"/>
    </xf>
    <xf numFmtId="0" fontId="8" fillId="0" borderId="14" xfId="0" applyFont="1" applyFill="1" applyBorder="1" applyProtection="1">
      <protection locked="0"/>
    </xf>
    <xf numFmtId="0" fontId="8" fillId="0" borderId="15" xfId="0" applyFont="1" applyFill="1" applyBorder="1" applyAlignment="1" applyProtection="1">
      <alignment horizontal="centerContinuous"/>
      <protection locked="0"/>
    </xf>
    <xf numFmtId="0" fontId="8" fillId="0" borderId="14" xfId="0" applyFont="1" applyFill="1" applyBorder="1" applyAlignment="1" applyProtection="1">
      <alignment horizontal="centerContinuous"/>
      <protection locked="0"/>
    </xf>
    <xf numFmtId="0" fontId="9" fillId="0" borderId="14" xfId="0" applyFont="1" applyFill="1" applyBorder="1" applyAlignment="1" applyProtection="1">
      <alignment horizontal="center"/>
      <protection locked="0"/>
    </xf>
    <xf numFmtId="0" fontId="5" fillId="0" borderId="14" xfId="0" applyFont="1" applyFill="1" applyBorder="1" applyAlignment="1" applyProtection="1">
      <alignment horizontal="center"/>
      <protection locked="0"/>
    </xf>
    <xf numFmtId="0" fontId="5" fillId="0" borderId="21" xfId="0" applyFont="1" applyFill="1" applyBorder="1" applyAlignment="1" applyProtection="1">
      <alignment horizontal="center"/>
      <protection locked="0"/>
    </xf>
    <xf numFmtId="0" fontId="5" fillId="0" borderId="14" xfId="0" applyFont="1" applyFill="1" applyBorder="1" applyAlignment="1" applyProtection="1">
      <alignment horizontal="right"/>
    </xf>
    <xf numFmtId="0" fontId="5" fillId="0" borderId="22" xfId="0" applyFont="1" applyFill="1" applyBorder="1" applyAlignment="1" applyProtection="1">
      <alignment horizontal="center"/>
      <protection locked="0"/>
    </xf>
    <xf numFmtId="0" fontId="11" fillId="0" borderId="5" xfId="0" applyFont="1" applyFill="1" applyBorder="1" applyAlignment="1" applyProtection="1">
      <alignment vertical="top"/>
      <protection locked="0"/>
    </xf>
    <xf numFmtId="0" fontId="10" fillId="0" borderId="6" xfId="0" applyFont="1" applyFill="1" applyBorder="1"/>
    <xf numFmtId="0" fontId="14" fillId="0" borderId="12" xfId="0" applyFont="1" applyFill="1" applyBorder="1" applyProtection="1">
      <protection locked="0"/>
    </xf>
    <xf numFmtId="0" fontId="14" fillId="0" borderId="6" xfId="0" applyFont="1" applyFill="1" applyBorder="1" applyProtection="1">
      <protection locked="0"/>
    </xf>
    <xf numFmtId="0" fontId="8" fillId="0" borderId="6" xfId="0" applyFont="1" applyFill="1" applyBorder="1" applyProtection="1">
      <protection locked="0"/>
    </xf>
    <xf numFmtId="0" fontId="8" fillId="0" borderId="12" xfId="0" applyFont="1" applyFill="1" applyBorder="1" applyAlignment="1" applyProtection="1">
      <alignment horizontal="centerContinuous"/>
      <protection locked="0"/>
    </xf>
    <xf numFmtId="0" fontId="8" fillId="0" borderId="6" xfId="0" applyFont="1" applyFill="1" applyBorder="1" applyAlignment="1" applyProtection="1">
      <alignment horizontal="centerContinuous"/>
      <protection locked="0"/>
    </xf>
    <xf numFmtId="0" fontId="9" fillId="0" borderId="6" xfId="0" applyFont="1" applyFill="1" applyBorder="1" applyAlignment="1" applyProtection="1">
      <alignment horizontal="center"/>
      <protection locked="0"/>
    </xf>
    <xf numFmtId="0" fontId="5" fillId="0" borderId="6" xfId="0" applyFont="1" applyFill="1" applyBorder="1" applyAlignment="1" applyProtection="1">
      <alignment horizontal="center"/>
      <protection locked="0"/>
    </xf>
    <xf numFmtId="0" fontId="5" fillId="0" borderId="6" xfId="0" applyFont="1" applyFill="1" applyBorder="1" applyAlignment="1" applyProtection="1">
      <alignment horizontal="right"/>
    </xf>
    <xf numFmtId="0" fontId="5" fillId="0" borderId="23" xfId="0" applyFont="1" applyFill="1" applyBorder="1" applyAlignment="1" applyProtection="1">
      <alignment horizontal="center"/>
      <protection locked="0"/>
    </xf>
    <xf numFmtId="0" fontId="15" fillId="0" borderId="24" xfId="0" applyFont="1" applyFill="1" applyBorder="1" applyProtection="1">
      <protection locked="0"/>
    </xf>
    <xf numFmtId="0" fontId="5" fillId="0" borderId="3" xfId="0" applyFont="1" applyFill="1" applyBorder="1" applyAlignment="1"/>
    <xf numFmtId="0" fontId="5" fillId="4" borderId="7" xfId="0" applyFont="1" applyFill="1" applyBorder="1" applyAlignment="1">
      <alignment horizontal="center"/>
    </xf>
    <xf numFmtId="0" fontId="5" fillId="4" borderId="9" xfId="0" applyFont="1" applyFill="1" applyBorder="1" applyAlignment="1">
      <alignment horizontal="center"/>
    </xf>
    <xf numFmtId="0" fontId="20" fillId="0" borderId="0" xfId="0" applyFont="1"/>
    <xf numFmtId="0" fontId="20" fillId="2" borderId="1" xfId="0" applyFont="1" applyFill="1" applyBorder="1"/>
    <xf numFmtId="0" fontId="20" fillId="2" borderId="2" xfId="0" applyFont="1" applyFill="1" applyBorder="1"/>
    <xf numFmtId="0" fontId="20" fillId="2" borderId="3" xfId="0" applyFont="1" applyFill="1" applyBorder="1"/>
    <xf numFmtId="0" fontId="20" fillId="2" borderId="4" xfId="0" applyFont="1" applyFill="1" applyBorder="1"/>
    <xf numFmtId="0" fontId="20" fillId="2" borderId="5" xfId="0" applyFont="1" applyFill="1" applyBorder="1"/>
    <xf numFmtId="0" fontId="20" fillId="2" borderId="6" xfId="0" applyFont="1" applyFill="1" applyBorder="1"/>
    <xf numFmtId="0" fontId="20" fillId="2" borderId="7" xfId="0" applyFont="1" applyFill="1" applyBorder="1"/>
    <xf numFmtId="0" fontId="20" fillId="2" borderId="8" xfId="0" applyFont="1" applyFill="1" applyBorder="1"/>
    <xf numFmtId="0" fontId="20" fillId="2" borderId="9" xfId="0" applyFont="1" applyFill="1" applyBorder="1"/>
    <xf numFmtId="0" fontId="5" fillId="0" borderId="11" xfId="0" applyFont="1" applyFill="1" applyBorder="1" applyAlignment="1" applyProtection="1">
      <alignment horizontal="centerContinuous"/>
      <protection locked="0"/>
    </xf>
    <xf numFmtId="14" fontId="5" fillId="0" borderId="11" xfId="0" applyNumberFormat="1" applyFont="1" applyFill="1" applyBorder="1" applyAlignment="1" applyProtection="1">
      <alignment horizontal="centerContinuous"/>
      <protection locked="0"/>
    </xf>
    <xf numFmtId="0" fontId="14" fillId="0" borderId="15" xfId="0" quotePrefix="1" applyFont="1" applyBorder="1" applyProtection="1">
      <protection locked="0"/>
    </xf>
    <xf numFmtId="0" fontId="15" fillId="0" borderId="15" xfId="0" quotePrefix="1" applyFont="1" applyBorder="1" applyProtection="1">
      <protection locked="0"/>
    </xf>
    <xf numFmtId="0" fontId="8" fillId="0" borderId="24" xfId="0" applyFont="1" applyBorder="1" applyAlignment="1" applyProtection="1">
      <alignment horizontal="centerContinuous"/>
      <protection locked="0"/>
    </xf>
    <xf numFmtId="0" fontId="8" fillId="0" borderId="37" xfId="0" applyFont="1" applyBorder="1" applyAlignment="1" applyProtection="1">
      <alignment horizontal="centerContinuous"/>
      <protection locked="0"/>
    </xf>
    <xf numFmtId="0" fontId="20" fillId="0" borderId="38" xfId="0" applyFont="1" applyBorder="1"/>
    <xf numFmtId="0" fontId="15" fillId="0" borderId="20" xfId="0" quotePrefix="1" applyFont="1" applyBorder="1" applyProtection="1">
      <protection locked="0"/>
    </xf>
    <xf numFmtId="0" fontId="5" fillId="0" borderId="0" xfId="0" applyFont="1" applyBorder="1" applyAlignment="1" applyProtection="1">
      <alignment horizontal="left"/>
      <protection locked="0"/>
    </xf>
    <xf numFmtId="0" fontId="5" fillId="0" borderId="1" xfId="0" applyFont="1" applyBorder="1" applyAlignment="1"/>
    <xf numFmtId="0" fontId="4" fillId="3" borderId="0" xfId="0" applyFont="1" applyFill="1" applyBorder="1" applyAlignment="1"/>
    <xf numFmtId="0" fontId="5" fillId="4" borderId="8" xfId="0" quotePrefix="1" applyFont="1" applyFill="1" applyBorder="1" applyAlignment="1" applyProtection="1">
      <alignment horizontal="right"/>
    </xf>
    <xf numFmtId="0" fontId="5" fillId="4" borderId="18" xfId="0" quotePrefix="1" applyFont="1" applyFill="1" applyBorder="1" applyAlignment="1">
      <alignment horizontal="centerContinuous"/>
    </xf>
    <xf numFmtId="0" fontId="5" fillId="0" borderId="44" xfId="0" applyFont="1" applyBorder="1" applyAlignment="1"/>
    <xf numFmtId="0" fontId="5" fillId="0" borderId="11" xfId="0" applyFont="1" applyFill="1" applyBorder="1" applyAlignment="1" applyProtection="1">
      <protection locked="0"/>
    </xf>
    <xf numFmtId="14" fontId="5" fillId="0" borderId="11" xfId="0" applyNumberFormat="1" applyFont="1" applyFill="1" applyBorder="1" applyAlignment="1" applyProtection="1">
      <protection locked="0"/>
    </xf>
    <xf numFmtId="20" fontId="5" fillId="0" borderId="13" xfId="0" applyNumberFormat="1" applyFont="1" applyBorder="1" applyAlignment="1" applyProtection="1">
      <protection locked="0"/>
    </xf>
    <xf numFmtId="0" fontId="5" fillId="4" borderId="19" xfId="0" quotePrefix="1" applyFont="1" applyFill="1" applyBorder="1" applyAlignment="1">
      <alignment horizontal="centerContinuous"/>
    </xf>
    <xf numFmtId="0" fontId="5" fillId="4" borderId="5" xfId="0" quotePrefix="1" applyFont="1" applyFill="1" applyBorder="1" applyAlignment="1">
      <alignment horizontal="centerContinuous"/>
    </xf>
    <xf numFmtId="0" fontId="10" fillId="0" borderId="45" xfId="0" applyFont="1" applyFill="1" applyBorder="1"/>
    <xf numFmtId="0" fontId="10" fillId="4" borderId="39" xfId="0" applyFont="1" applyFill="1" applyBorder="1" applyAlignment="1">
      <alignment horizontal="centerContinuous"/>
    </xf>
    <xf numFmtId="0" fontId="5" fillId="4" borderId="7" xfId="0" applyFont="1" applyFill="1" applyBorder="1" applyAlignment="1">
      <alignment horizontal="center"/>
    </xf>
    <xf numFmtId="0" fontId="5" fillId="4" borderId="9" xfId="0" applyFont="1" applyFill="1" applyBorder="1" applyAlignment="1">
      <alignment horizontal="center"/>
    </xf>
    <xf numFmtId="0" fontId="5" fillId="0" borderId="1" xfId="0" applyFont="1" applyBorder="1" applyAlignment="1"/>
    <xf numFmtId="0" fontId="5" fillId="0" borderId="3" xfId="0" applyFont="1" applyFill="1" applyBorder="1" applyAlignment="1"/>
    <xf numFmtId="0" fontId="5" fillId="0" borderId="5" xfId="0" applyFont="1" applyBorder="1" applyAlignment="1"/>
    <xf numFmtId="0" fontId="8" fillId="0" borderId="20" xfId="0" applyFont="1" applyBorder="1" applyAlignment="1" applyProtection="1">
      <alignment horizontal="centerContinuous" shrinkToFit="1"/>
      <protection locked="0"/>
    </xf>
    <xf numFmtId="0" fontId="5" fillId="0" borderId="22" xfId="0" applyNumberFormat="1" applyFont="1" applyBorder="1" applyAlignment="1" applyProtection="1">
      <alignment horizontal="center"/>
      <protection locked="0"/>
    </xf>
    <xf numFmtId="0" fontId="5" fillId="0" borderId="22" xfId="0" applyNumberFormat="1" applyFont="1" applyFill="1" applyBorder="1" applyAlignment="1" applyProtection="1">
      <alignment horizontal="center"/>
      <protection locked="0"/>
    </xf>
    <xf numFmtId="0" fontId="5" fillId="0" borderId="23" xfId="0" applyNumberFormat="1" applyFont="1" applyFill="1" applyBorder="1" applyAlignment="1" applyProtection="1">
      <alignment horizontal="center"/>
      <protection locked="0"/>
    </xf>
    <xf numFmtId="14" fontId="5" fillId="0" borderId="3" xfId="0" applyNumberFormat="1" applyFont="1" applyFill="1" applyBorder="1" applyAlignment="1" applyProtection="1">
      <protection locked="0"/>
    </xf>
    <xf numFmtId="14" fontId="5" fillId="0" borderId="4" xfId="0" applyNumberFormat="1" applyFont="1" applyFill="1" applyBorder="1" applyAlignment="1" applyProtection="1">
      <protection locked="0"/>
    </xf>
    <xf numFmtId="0" fontId="5" fillId="0" borderId="3" xfId="0" applyFont="1" applyFill="1" applyBorder="1" applyAlignment="1" applyProtection="1">
      <protection locked="0"/>
    </xf>
    <xf numFmtId="0" fontId="5" fillId="0" borderId="4" xfId="0" applyFont="1" applyFill="1" applyBorder="1" applyAlignment="1" applyProtection="1">
      <protection locked="0"/>
    </xf>
    <xf numFmtId="0" fontId="5" fillId="0" borderId="1" xfId="0" applyFont="1" applyBorder="1" applyAlignment="1"/>
    <xf numFmtId="0" fontId="5" fillId="0" borderId="2" xfId="0" applyFont="1" applyBorder="1" applyAlignment="1"/>
    <xf numFmtId="20" fontId="5" fillId="0" borderId="5" xfId="0" applyNumberFormat="1" applyFont="1" applyBorder="1" applyAlignment="1" applyProtection="1">
      <protection locked="0"/>
    </xf>
    <xf numFmtId="20" fontId="5" fillId="0" borderId="6" xfId="0" applyNumberFormat="1" applyFont="1" applyBorder="1" applyAlignment="1" applyProtection="1">
      <protection locked="0"/>
    </xf>
    <xf numFmtId="0" fontId="5" fillId="0" borderId="3" xfId="0" applyFont="1" applyFill="1" applyBorder="1" applyAlignment="1"/>
    <xf numFmtId="0" fontId="5" fillId="0" borderId="4" xfId="0" applyFont="1" applyFill="1" applyBorder="1" applyAlignment="1"/>
    <xf numFmtId="0" fontId="5" fillId="0" borderId="5" xfId="0" applyFont="1" applyBorder="1" applyAlignment="1"/>
    <xf numFmtId="0" fontId="5" fillId="0" borderId="6" xfId="0" applyFont="1" applyBorder="1" applyAlignment="1"/>
    <xf numFmtId="176" fontId="18" fillId="0" borderId="24" xfId="1" applyNumberFormat="1" applyFont="1" applyBorder="1" applyAlignment="1" applyProtection="1">
      <alignment horizontal="center"/>
      <protection locked="0"/>
    </xf>
    <xf numFmtId="176" fontId="18" fillId="0" borderId="36" xfId="1" applyNumberFormat="1" applyFont="1" applyBorder="1" applyAlignment="1" applyProtection="1">
      <alignment horizontal="center"/>
      <protection locked="0"/>
    </xf>
    <xf numFmtId="176" fontId="18" fillId="0" borderId="37" xfId="1" applyNumberFormat="1" applyFont="1" applyBorder="1" applyAlignment="1" applyProtection="1">
      <alignment horizontal="center"/>
      <protection locked="0"/>
    </xf>
    <xf numFmtId="0" fontId="5" fillId="0" borderId="30" xfId="0" applyFont="1" applyBorder="1" applyAlignment="1" applyProtection="1">
      <alignment horizontal="left"/>
      <protection locked="0"/>
    </xf>
    <xf numFmtId="0" fontId="5" fillId="0" borderId="31" xfId="0" applyFont="1" applyBorder="1" applyAlignment="1" applyProtection="1">
      <alignment horizontal="left"/>
      <protection locked="0"/>
    </xf>
    <xf numFmtId="0" fontId="5" fillId="0" borderId="32" xfId="0" applyFont="1" applyBorder="1" applyAlignment="1" applyProtection="1">
      <alignment horizontal="left"/>
      <protection locked="0"/>
    </xf>
    <xf numFmtId="0" fontId="5" fillId="0" borderId="25" xfId="0" applyFont="1" applyBorder="1" applyProtection="1">
      <protection locked="0"/>
    </xf>
    <xf numFmtId="0" fontId="5" fillId="0" borderId="26" xfId="0" applyFont="1" applyBorder="1" applyProtection="1">
      <protection locked="0"/>
    </xf>
    <xf numFmtId="0" fontId="5" fillId="0" borderId="21" xfId="0" applyFont="1" applyBorder="1" applyProtection="1">
      <protection locked="0"/>
    </xf>
    <xf numFmtId="0" fontId="5" fillId="0" borderId="24" xfId="0" applyFont="1" applyFill="1" applyBorder="1" applyProtection="1">
      <protection locked="0"/>
    </xf>
    <xf numFmtId="0" fontId="5" fillId="0" borderId="36" xfId="0" applyFont="1" applyFill="1" applyBorder="1" applyProtection="1">
      <protection locked="0"/>
    </xf>
    <xf numFmtId="0" fontId="5" fillId="0" borderId="37" xfId="0" applyFont="1" applyFill="1" applyBorder="1" applyProtection="1">
      <protection locked="0"/>
    </xf>
    <xf numFmtId="0" fontId="5" fillId="0" borderId="25" xfId="0" applyFont="1" applyFill="1" applyBorder="1" applyProtection="1">
      <protection locked="0"/>
    </xf>
    <xf numFmtId="0" fontId="5" fillId="0" borderId="26" xfId="0" applyFont="1" applyFill="1" applyBorder="1" applyProtection="1">
      <protection locked="0"/>
    </xf>
    <xf numFmtId="0" fontId="5" fillId="0" borderId="21" xfId="0" applyFont="1" applyFill="1" applyBorder="1" applyProtection="1">
      <protection locked="0"/>
    </xf>
    <xf numFmtId="0" fontId="5" fillId="4" borderId="7" xfId="0" applyFont="1" applyFill="1" applyBorder="1" applyAlignment="1">
      <alignment horizontal="center"/>
    </xf>
    <xf numFmtId="0" fontId="5" fillId="4" borderId="8" xfId="0" applyFont="1" applyFill="1" applyBorder="1" applyAlignment="1">
      <alignment horizontal="center"/>
    </xf>
    <xf numFmtId="0" fontId="5" fillId="4" borderId="9" xfId="0" applyFont="1" applyFill="1" applyBorder="1" applyAlignment="1">
      <alignment horizontal="center"/>
    </xf>
    <xf numFmtId="0" fontId="5" fillId="0" borderId="27" xfId="0" applyFont="1" applyBorder="1" applyAlignment="1" applyProtection="1">
      <alignment horizontal="left"/>
      <protection locked="0"/>
    </xf>
    <xf numFmtId="0" fontId="5" fillId="0" borderId="28" xfId="0" applyFont="1" applyBorder="1" applyAlignment="1" applyProtection="1">
      <alignment horizontal="left"/>
      <protection locked="0"/>
    </xf>
    <xf numFmtId="0" fontId="5" fillId="0" borderId="29" xfId="0" applyFont="1" applyBorder="1" applyAlignment="1" applyProtection="1">
      <alignment horizontal="left"/>
      <protection locked="0"/>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xf numFmtId="0" fontId="5" fillId="0" borderId="33" xfId="0" applyFont="1" applyFill="1" applyBorder="1" applyAlignment="1" applyProtection="1">
      <alignment horizontal="left"/>
      <protection locked="0"/>
    </xf>
    <xf numFmtId="0" fontId="5" fillId="0" borderId="34" xfId="0" applyFont="1" applyFill="1" applyBorder="1" applyAlignment="1" applyProtection="1">
      <alignment horizontal="left"/>
      <protection locked="0"/>
    </xf>
    <xf numFmtId="0" fontId="5" fillId="0" borderId="35" xfId="0" applyFont="1" applyFill="1" applyBorder="1" applyAlignment="1" applyProtection="1">
      <alignment horizontal="left"/>
      <protection locked="0"/>
    </xf>
    <xf numFmtId="0" fontId="5" fillId="0" borderId="30" xfId="0" applyFont="1" applyFill="1" applyBorder="1" applyAlignment="1" applyProtection="1">
      <alignment horizontal="left"/>
      <protection locked="0"/>
    </xf>
    <xf numFmtId="0" fontId="5" fillId="0" borderId="31" xfId="0" applyFont="1" applyFill="1" applyBorder="1" applyAlignment="1" applyProtection="1">
      <alignment horizontal="left"/>
      <protection locked="0"/>
    </xf>
    <xf numFmtId="0" fontId="5" fillId="0" borderId="32" xfId="0" applyFont="1" applyFill="1" applyBorder="1" applyAlignment="1" applyProtection="1">
      <alignment horizontal="left"/>
      <protection locked="0"/>
    </xf>
    <xf numFmtId="14" fontId="5" fillId="0" borderId="30" xfId="0" applyNumberFormat="1" applyFont="1" applyBorder="1" applyAlignment="1" applyProtection="1">
      <alignment horizontal="left"/>
      <protection locked="0"/>
    </xf>
    <xf numFmtId="0" fontId="2" fillId="0" borderId="25" xfId="0" applyFont="1" applyBorder="1" applyAlignment="1" applyProtection="1">
      <alignment horizontal="left"/>
      <protection locked="0"/>
    </xf>
    <xf numFmtId="0" fontId="2" fillId="0" borderId="26" xfId="0" applyFont="1" applyBorder="1" applyAlignment="1" applyProtection="1">
      <alignment horizontal="left"/>
      <protection locked="0"/>
    </xf>
    <xf numFmtId="0" fontId="2" fillId="0" borderId="21" xfId="0" applyFont="1" applyBorder="1" applyAlignment="1" applyProtection="1">
      <alignment horizontal="left"/>
      <protection locked="0"/>
    </xf>
    <xf numFmtId="0" fontId="5" fillId="0" borderId="25" xfId="0" applyFont="1" applyBorder="1" applyAlignment="1" applyProtection="1">
      <alignment horizontal="left"/>
      <protection locked="0"/>
    </xf>
    <xf numFmtId="0" fontId="5" fillId="0" borderId="26" xfId="0" applyFont="1" applyBorder="1" applyAlignment="1" applyProtection="1">
      <alignment horizontal="left"/>
      <protection locked="0"/>
    </xf>
    <xf numFmtId="0" fontId="5" fillId="0" borderId="21" xfId="0" applyFont="1" applyBorder="1" applyAlignment="1" applyProtection="1">
      <alignment horizontal="left"/>
      <protection locked="0"/>
    </xf>
    <xf numFmtId="49" fontId="5" fillId="0" borderId="25" xfId="0" applyNumberFormat="1" applyFont="1" applyBorder="1" applyAlignment="1" applyProtection="1">
      <alignment horizontal="left"/>
      <protection locked="0"/>
    </xf>
    <xf numFmtId="49" fontId="5" fillId="0" borderId="26" xfId="0" applyNumberFormat="1" applyFont="1" applyBorder="1" applyAlignment="1" applyProtection="1">
      <alignment horizontal="left"/>
      <protection locked="0"/>
    </xf>
    <xf numFmtId="49" fontId="5" fillId="0" borderId="21" xfId="0" applyNumberFormat="1" applyFont="1" applyBorder="1" applyAlignment="1" applyProtection="1">
      <alignment horizontal="left"/>
      <protection locked="0"/>
    </xf>
    <xf numFmtId="3" fontId="9" fillId="0" borderId="25" xfId="0" applyNumberFormat="1" applyFont="1" applyBorder="1" applyAlignment="1" applyProtection="1">
      <alignment horizontal="right"/>
      <protection locked="0"/>
    </xf>
    <xf numFmtId="3" fontId="9" fillId="0" borderId="26" xfId="0" applyNumberFormat="1" applyFont="1" applyBorder="1" applyAlignment="1" applyProtection="1">
      <alignment horizontal="right"/>
      <protection locked="0"/>
    </xf>
    <xf numFmtId="3" fontId="9" fillId="0" borderId="21" xfId="0" applyNumberFormat="1" applyFont="1" applyBorder="1" applyAlignment="1" applyProtection="1">
      <alignment horizontal="right"/>
      <protection locked="0"/>
    </xf>
    <xf numFmtId="0" fontId="2" fillId="0" borderId="19" xfId="0" applyFont="1" applyBorder="1" applyAlignment="1" applyProtection="1">
      <alignment horizontal="left"/>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5" fillId="0" borderId="19" xfId="0" applyFont="1" applyBorder="1" applyAlignment="1" applyProtection="1">
      <alignment horizontal="left"/>
    </xf>
    <xf numFmtId="0" fontId="5" fillId="0" borderId="16" xfId="0" applyFont="1" applyBorder="1" applyAlignment="1" applyProtection="1">
      <alignment horizontal="left"/>
    </xf>
    <xf numFmtId="0" fontId="5" fillId="0" borderId="17" xfId="0" applyFont="1" applyBorder="1" applyAlignment="1" applyProtection="1">
      <alignment horizontal="left"/>
    </xf>
    <xf numFmtId="0" fontId="5" fillId="0" borderId="25" xfId="0" applyNumberFormat="1" applyFont="1" applyBorder="1" applyAlignment="1">
      <alignment horizontal="left"/>
    </xf>
    <xf numFmtId="0" fontId="5" fillId="0" borderId="26" xfId="0" applyNumberFormat="1" applyFont="1" applyBorder="1" applyAlignment="1">
      <alignment horizontal="left"/>
    </xf>
    <xf numFmtId="0" fontId="5" fillId="0" borderId="21" xfId="0" applyNumberFormat="1" applyFont="1" applyBorder="1" applyAlignment="1">
      <alignment horizontal="left"/>
    </xf>
    <xf numFmtId="0" fontId="5" fillId="0" borderId="25" xfId="0" applyFont="1" applyBorder="1" applyAlignment="1" applyProtection="1">
      <protection locked="0"/>
    </xf>
    <xf numFmtId="0" fontId="5" fillId="0" borderId="26" xfId="0" applyFont="1" applyBorder="1" applyAlignment="1" applyProtection="1">
      <protection locked="0"/>
    </xf>
    <xf numFmtId="0" fontId="5" fillId="0" borderId="21" xfId="0" applyFont="1" applyBorder="1" applyAlignment="1" applyProtection="1">
      <protection locked="0"/>
    </xf>
    <xf numFmtId="0" fontId="2" fillId="0" borderId="40" xfId="0" applyFont="1" applyBorder="1" applyAlignment="1" applyProtection="1">
      <alignment horizontal="center"/>
      <protection locked="0"/>
    </xf>
    <xf numFmtId="0" fontId="2" fillId="0" borderId="41" xfId="0" applyFont="1" applyBorder="1" applyAlignment="1" applyProtection="1">
      <alignment horizontal="center"/>
      <protection locked="0"/>
    </xf>
    <xf numFmtId="0" fontId="2" fillId="0" borderId="42" xfId="0" applyFont="1" applyBorder="1" applyAlignment="1" applyProtection="1">
      <alignment horizontal="center"/>
      <protection locked="0"/>
    </xf>
    <xf numFmtId="0" fontId="2" fillId="0" borderId="43" xfId="0" applyFont="1" applyBorder="1" applyAlignment="1" applyProtection="1">
      <alignment horizontal="center"/>
      <protection locked="0"/>
    </xf>
    <xf numFmtId="0" fontId="3" fillId="3" borderId="0" xfId="0" quotePrefix="1" applyFont="1" applyFill="1" applyBorder="1" applyAlignment="1">
      <alignment horizontal="center"/>
    </xf>
    <xf numFmtId="0" fontId="3" fillId="3" borderId="4" xfId="0" quotePrefix="1" applyFont="1" applyFill="1" applyBorder="1" applyAlignment="1">
      <alignment horizontal="center"/>
    </xf>
    <xf numFmtId="0" fontId="3" fillId="3" borderId="0" xfId="0" applyFont="1" applyFill="1" applyBorder="1" applyAlignment="1">
      <alignment horizontal="center"/>
    </xf>
    <xf numFmtId="0" fontId="3" fillId="3" borderId="4" xfId="0" applyFont="1" applyFill="1" applyBorder="1" applyAlignment="1">
      <alignment horizontal="center"/>
    </xf>
    <xf numFmtId="0" fontId="5" fillId="4" borderId="19" xfId="0" applyFont="1" applyFill="1" applyBorder="1" applyAlignment="1">
      <alignment horizontal="center"/>
    </xf>
    <xf numFmtId="0" fontId="5" fillId="4" borderId="16" xfId="0" applyFont="1" applyFill="1" applyBorder="1" applyAlignment="1">
      <alignment horizontal="center"/>
    </xf>
    <xf numFmtId="0" fontId="5" fillId="4" borderId="17" xfId="0" applyFont="1" applyFill="1" applyBorder="1" applyAlignment="1">
      <alignment horizontal="center"/>
    </xf>
    <xf numFmtId="0" fontId="5" fillId="0" borderId="25" xfId="0" applyFont="1" applyBorder="1" applyAlignment="1" applyProtection="1">
      <alignment wrapText="1"/>
      <protection locked="0"/>
    </xf>
    <xf numFmtId="0" fontId="5" fillId="0" borderId="22" xfId="0" quotePrefix="1" applyNumberFormat="1" applyFont="1" applyBorder="1" applyAlignment="1" applyProtection="1">
      <alignment horizontal="center"/>
      <protection locked="0"/>
    </xf>
  </cellXfs>
  <cellStyles count="2">
    <cellStyle name="桁区切り" xfId="1" builtinId="6"/>
    <cellStyle name="標準" xfId="0" builtinId="0"/>
  </cellStyles>
  <dxfs count="262">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ustomXml" Target="../customXml/item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Style="combo" dx="31" fmlaLink="system!$C$12" fmlaRange="system!$B$2:$B$11" noThreeD="1" sel="10" val="2"/>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Drop" dropStyle="combo" dx="31" fmlaLink="system!$C$12" fmlaRange="system!$B$2:$B$11" noThreeD="1" sel="10" val="2"/>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31" fmlaLink="system!$C$12" fmlaRange="system!$B$2:$B$11" noThreeD="1" sel="10" val="2"/>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Drop" dropStyle="combo" dx="31" fmlaLink="system!$C$12" fmlaRange="system!$B$2:$B$11" noThreeD="1" sel="10" val="2"/>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31" fmlaLink="system!$C$12" fmlaRange="system!$B$2:$B$11" noThreeD="1" sel="10" val="2"/>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Drop" dropStyle="combo" dx="31" fmlaLink="system!$C$12" fmlaRange="system!$B$2:$B$11" noThreeD="1" sel="10" val="2"/>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31" fmlaLink="system!$C$12" fmlaRange="system!$B$2:$B$11" noThreeD="1" sel="10" val="2"/>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31" fmlaLink="system!$C$12" fmlaRange="system!$B$2:$B$11" noThreeD="1" sel="10" val="2"/>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31" fmlaLink="system!$C$12" fmlaRange="system!$B$2:$B$11" noThreeD="1" sel="10" val="2"/>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Drop" dropStyle="combo" dx="31" fmlaLink="system!$C$12" fmlaRange="system!$B$2:$B$11" noThreeD="1" sel="10" val="2"/>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Style="combo" dx="31" fmlaLink="system!$C$12" fmlaRange="system!$B$2:$B$11" noThreeD="1" sel="10" val="2"/>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Drop" dropStyle="combo" dx="31" fmlaLink="system!$C$12" fmlaRange="system!$B$2:$B$11" noThreeD="1" sel="10" val="2"/>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Drop" dropStyle="combo" dx="31" fmlaLink="system!$C$12" fmlaRange="system!$B$2:$B$11" noThreeD="1" sel="10" val="2"/>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31" fmlaLink="system!$C$12" fmlaRange="system!$B$2:$B$11" noThreeD="1" sel="10" val="2"/>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Drop" dropStyle="combo" dx="31" fmlaLink="system!$C$12" fmlaRange="system!$B$2:$B$11" noThreeD="1" sel="10" val="2"/>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Drop" dropStyle="combo" dx="31" fmlaLink="system!$C$12" fmlaRange="system!$B$2:$B$11" noThreeD="1" sel="10" val="2"/>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Drop" dropStyle="combo" dx="31" fmlaLink="system!$C$12" fmlaRange="system!$B$2:$B$11" noThreeD="1" sel="10" val="2"/>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Drop" dropStyle="combo" dx="31" fmlaLink="system!$C$12" fmlaRange="system!$B$2:$B$11" noThreeD="1" sel="10" val="2"/>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Drop" dropStyle="combo" dx="31" fmlaLink="system!$C$12" fmlaRange="system!$B$2:$B$11" noThreeD="1" sel="10" val="2"/>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Drop" dropStyle="combo" dx="31" fmlaLink="system!$C$12" fmlaRange="system!$B$2:$B$11" noThreeD="1" sel="10" val="2"/>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Drop" dropStyle="combo" dx="31" fmlaLink="system!$C$12" fmlaRange="system!$B$2:$B$11" noThreeD="1" sel="10" val="2"/>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Drop" dropStyle="combo" dx="31" fmlaLink="system!$C$12" fmlaRange="system!$B$2:$B$11" noThreeD="1" sel="10" val="2"/>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Drop" dropStyle="combo" dx="31" fmlaLink="system!$C$12" fmlaRange="system!$B$2:$B$11" noThreeD="1" sel="10" val="2"/>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Drop" dropStyle="combo" dx="31" fmlaLink="system!$C$12" fmlaRange="system!$B$2:$B$11" noThreeD="1" sel="10" val="2"/>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Drop" dropStyle="combo" dx="31" fmlaLink="system!$C$12" fmlaRange="system!$B$2:$B$11" noThreeD="1" sel="10" val="2"/>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Drop" dropStyle="combo" dx="31" fmlaLink="system!$C$12" fmlaRange="system!$B$2:$B$11" noThreeD="1" sel="10" val="2"/>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Drop" dropStyle="combo" dx="31" fmlaLink="system!$C$12" fmlaRange="system!$B$2:$B$11" noThreeD="1" sel="10" val="2"/>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Drop" dropStyle="combo" dx="31" fmlaLink="system!$C$12" fmlaRange="system!$B$2:$B$11" noThreeD="1" sel="10" val="2"/>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Drop" dropStyle="combo" dx="31" fmlaLink="system!$C$12" fmlaRange="system!$B$2:$B$11" noThreeD="1" sel="10" val="2"/>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Drop" dropStyle="combo" dx="31" fmlaLink="system!$C$12" fmlaRange="system!$B$2:$B$11" noThreeD="1" sel="10" val="2"/>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Drop" dropStyle="combo" dx="31" fmlaLink="system!$C$12" fmlaRange="system!$B$2:$B$11" noThreeD="1" sel="10" val="2"/>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Drop" dropStyle="combo" dx="31" fmlaLink="system!$C$12" fmlaRange="system!$B$2:$B$11" noThreeD="1" sel="10" val="2"/>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Drop" dropStyle="combo" dx="31" fmlaLink="system!$C$12" fmlaRange="system!$B$2:$B$11" noThreeD="1" sel="10" val="2"/>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Drop" dropStyle="combo" dx="31" fmlaLink="system!$C$12" fmlaRange="system!$B$2:$B$11" noThreeD="1" sel="10" val="2"/>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Drop" dropStyle="combo" dx="31" fmlaLink="system!$C$12" fmlaRange="system!$B$2:$B$11" noThreeD="1" sel="10" val="2"/>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Drop" dropStyle="combo" dx="31" fmlaLink="system!$C$12" fmlaRange="system!$B$2:$B$11" noThreeD="1" sel="10" val="2"/>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Drop" dropStyle="combo" dx="31" fmlaLink="system!$C$12" fmlaRange="system!$B$2:$B$11" noThreeD="1" sel="10" val="2"/>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Drop" dropStyle="combo" dx="31" fmlaLink="system!$C$12" fmlaRange="system!$B$2:$B$11" noThreeD="1" sel="10" val="2"/>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Drop" dropStyle="combo" dx="31" fmlaLink="system!$C$12" fmlaRange="system!$B$2:$B$11" noThreeD="1" sel="10" val="2"/>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Drop" dropStyle="combo" dx="31" fmlaLink="system!$C$12" fmlaRange="system!$B$2:$B$11" noThreeD="1" sel="10" val="2"/>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Drop" dropStyle="combo" dx="31" fmlaLink="system!$C$12" fmlaRange="system!$B$2:$B$11" noThreeD="1" sel="10" val="2"/>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Drop" dropStyle="combo" dx="31" fmlaLink="system!$C$12" fmlaRange="system!$B$2:$B$11" noThreeD="1" sel="10" val="2"/>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Drop" dropStyle="combo" dx="31" fmlaLink="system!$C$12" fmlaRange="system!$B$2:$B$11" noThreeD="1" sel="10" val="2"/>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Drop" dropStyle="combo" dx="31" fmlaLink="system!$C$12" fmlaRange="system!$B$2:$B$11" noThreeD="1" sel="10" val="2"/>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Drop" dropStyle="combo" dx="31" fmlaLink="system!$C$12" fmlaRange="system!$B$2:$B$11" noThreeD="1" sel="10" val="2"/>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drawings/_rels/vmlDrawing4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18433" name="Drop Down 1" hidden="1">
              <a:extLst>
                <a:ext uri="{63B3BB69-23CF-44E3-9099-C40C66FF867C}">
                  <a14:compatExt spid="_x0000_s18433"/>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18434" name="Button 2" hidden="1">
              <a:extLst>
                <a:ext uri="{63B3BB69-23CF-44E3-9099-C40C66FF867C}">
                  <a14:compatExt spid="_x0000_s18434"/>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18435" name="Button 3" hidden="1">
              <a:extLst>
                <a:ext uri="{63B3BB69-23CF-44E3-9099-C40C66FF867C}">
                  <a14:compatExt spid="_x0000_s18435"/>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18436" name="Button 4" hidden="1">
              <a:extLst>
                <a:ext uri="{63B3BB69-23CF-44E3-9099-C40C66FF867C}">
                  <a14:compatExt spid="_x0000_s18436"/>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18437" name="Button 5" hidden="1">
              <a:extLst>
                <a:ext uri="{63B3BB69-23CF-44E3-9099-C40C66FF867C}">
                  <a14:compatExt spid="_x0000_s18437"/>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18438" name="Button 6" hidden="1">
              <a:extLst>
                <a:ext uri="{63B3BB69-23CF-44E3-9099-C40C66FF867C}">
                  <a14:compatExt spid="_x0000_s18438"/>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19457" name="Drop Down 1" hidden="1">
              <a:extLst>
                <a:ext uri="{63B3BB69-23CF-44E3-9099-C40C66FF867C}">
                  <a14:compatExt spid="_x0000_s19457"/>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19458" name="Button 2" hidden="1">
              <a:extLst>
                <a:ext uri="{63B3BB69-23CF-44E3-9099-C40C66FF867C}">
                  <a14:compatExt spid="_x0000_s19458"/>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19459" name="Button 3" hidden="1">
              <a:extLst>
                <a:ext uri="{63B3BB69-23CF-44E3-9099-C40C66FF867C}">
                  <a14:compatExt spid="_x0000_s19459"/>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19460" name="Button 4" hidden="1">
              <a:extLst>
                <a:ext uri="{63B3BB69-23CF-44E3-9099-C40C66FF867C}">
                  <a14:compatExt spid="_x0000_s19460"/>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19461" name="Button 5" hidden="1">
              <a:extLst>
                <a:ext uri="{63B3BB69-23CF-44E3-9099-C40C66FF867C}">
                  <a14:compatExt spid="_x0000_s19461"/>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19462" name="Button 6" hidden="1">
              <a:extLst>
                <a:ext uri="{63B3BB69-23CF-44E3-9099-C40C66FF867C}">
                  <a14:compatExt spid="_x0000_s19462"/>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0481" name="Drop Down 1" hidden="1">
              <a:extLst>
                <a:ext uri="{63B3BB69-23CF-44E3-9099-C40C66FF867C}">
                  <a14:compatExt spid="_x0000_s20481"/>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0482" name="Button 2" hidden="1">
              <a:extLst>
                <a:ext uri="{63B3BB69-23CF-44E3-9099-C40C66FF867C}">
                  <a14:compatExt spid="_x0000_s20482"/>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0483" name="Button 3" hidden="1">
              <a:extLst>
                <a:ext uri="{63B3BB69-23CF-44E3-9099-C40C66FF867C}">
                  <a14:compatExt spid="_x0000_s20483"/>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0484" name="Button 4" hidden="1">
              <a:extLst>
                <a:ext uri="{63B3BB69-23CF-44E3-9099-C40C66FF867C}">
                  <a14:compatExt spid="_x0000_s20484"/>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0485" name="Button 5" hidden="1">
              <a:extLst>
                <a:ext uri="{63B3BB69-23CF-44E3-9099-C40C66FF867C}">
                  <a14:compatExt spid="_x0000_s20485"/>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0486" name="Button 6" hidden="1">
              <a:extLst>
                <a:ext uri="{63B3BB69-23CF-44E3-9099-C40C66FF867C}">
                  <a14:compatExt spid="_x0000_s20486"/>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1505" name="Drop Down 1" hidden="1">
              <a:extLst>
                <a:ext uri="{63B3BB69-23CF-44E3-9099-C40C66FF867C}">
                  <a14:compatExt spid="_x0000_s21505"/>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1506" name="Button 2" hidden="1">
              <a:extLst>
                <a:ext uri="{63B3BB69-23CF-44E3-9099-C40C66FF867C}">
                  <a14:compatExt spid="_x0000_s21506"/>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1507" name="Button 3" hidden="1">
              <a:extLst>
                <a:ext uri="{63B3BB69-23CF-44E3-9099-C40C66FF867C}">
                  <a14:compatExt spid="_x0000_s21507"/>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1508" name="Button 4" hidden="1">
              <a:extLst>
                <a:ext uri="{63B3BB69-23CF-44E3-9099-C40C66FF867C}">
                  <a14:compatExt spid="_x0000_s21508"/>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1509" name="Button 5" hidden="1">
              <a:extLst>
                <a:ext uri="{63B3BB69-23CF-44E3-9099-C40C66FF867C}">
                  <a14:compatExt spid="_x0000_s21509"/>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1510" name="Button 6" hidden="1">
              <a:extLst>
                <a:ext uri="{63B3BB69-23CF-44E3-9099-C40C66FF867C}">
                  <a14:compatExt spid="_x0000_s21510"/>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2529" name="Drop Down 1" hidden="1">
              <a:extLst>
                <a:ext uri="{63B3BB69-23CF-44E3-9099-C40C66FF867C}">
                  <a14:compatExt spid="_x0000_s22529"/>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2530" name="Button 2" hidden="1">
              <a:extLst>
                <a:ext uri="{63B3BB69-23CF-44E3-9099-C40C66FF867C}">
                  <a14:compatExt spid="_x0000_s22530"/>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2531" name="Button 3" hidden="1">
              <a:extLst>
                <a:ext uri="{63B3BB69-23CF-44E3-9099-C40C66FF867C}">
                  <a14:compatExt spid="_x0000_s22531"/>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2532" name="Button 4" hidden="1">
              <a:extLst>
                <a:ext uri="{63B3BB69-23CF-44E3-9099-C40C66FF867C}">
                  <a14:compatExt spid="_x0000_s22532"/>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2533" name="Button 5" hidden="1">
              <a:extLst>
                <a:ext uri="{63B3BB69-23CF-44E3-9099-C40C66FF867C}">
                  <a14:compatExt spid="_x0000_s22533"/>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2534" name="Button 6" hidden="1">
              <a:extLst>
                <a:ext uri="{63B3BB69-23CF-44E3-9099-C40C66FF867C}">
                  <a14:compatExt spid="_x0000_s22534"/>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3553" name="Drop Down 1" hidden="1">
              <a:extLst>
                <a:ext uri="{63B3BB69-23CF-44E3-9099-C40C66FF867C}">
                  <a14:compatExt spid="_x0000_s23553"/>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3554" name="Button 2" hidden="1">
              <a:extLst>
                <a:ext uri="{63B3BB69-23CF-44E3-9099-C40C66FF867C}">
                  <a14:compatExt spid="_x0000_s23554"/>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3555" name="Button 3" hidden="1">
              <a:extLst>
                <a:ext uri="{63B3BB69-23CF-44E3-9099-C40C66FF867C}">
                  <a14:compatExt spid="_x0000_s23555"/>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3556" name="Button 4" hidden="1">
              <a:extLst>
                <a:ext uri="{63B3BB69-23CF-44E3-9099-C40C66FF867C}">
                  <a14:compatExt spid="_x0000_s23556"/>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3557" name="Button 5" hidden="1">
              <a:extLst>
                <a:ext uri="{63B3BB69-23CF-44E3-9099-C40C66FF867C}">
                  <a14:compatExt spid="_x0000_s23557"/>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3558" name="Button 6" hidden="1">
              <a:extLst>
                <a:ext uri="{63B3BB69-23CF-44E3-9099-C40C66FF867C}">
                  <a14:compatExt spid="_x0000_s23558"/>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4577" name="Drop Down 1" hidden="1">
              <a:extLst>
                <a:ext uri="{63B3BB69-23CF-44E3-9099-C40C66FF867C}">
                  <a14:compatExt spid="_x0000_s24577"/>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4578" name="Button 2" hidden="1">
              <a:extLst>
                <a:ext uri="{63B3BB69-23CF-44E3-9099-C40C66FF867C}">
                  <a14:compatExt spid="_x0000_s24578"/>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4579" name="Button 3" hidden="1">
              <a:extLst>
                <a:ext uri="{63B3BB69-23CF-44E3-9099-C40C66FF867C}">
                  <a14:compatExt spid="_x0000_s24579"/>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4580" name="Button 4" hidden="1">
              <a:extLst>
                <a:ext uri="{63B3BB69-23CF-44E3-9099-C40C66FF867C}">
                  <a14:compatExt spid="_x0000_s24580"/>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4581" name="Button 5" hidden="1">
              <a:extLst>
                <a:ext uri="{63B3BB69-23CF-44E3-9099-C40C66FF867C}">
                  <a14:compatExt spid="_x0000_s24581"/>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4582" name="Button 6" hidden="1">
              <a:extLst>
                <a:ext uri="{63B3BB69-23CF-44E3-9099-C40C66FF867C}">
                  <a14:compatExt spid="_x0000_s24582"/>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5601" name="Drop Down 1" hidden="1">
              <a:extLst>
                <a:ext uri="{63B3BB69-23CF-44E3-9099-C40C66FF867C}">
                  <a14:compatExt spid="_x0000_s25601"/>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5602" name="Button 2" hidden="1">
              <a:extLst>
                <a:ext uri="{63B3BB69-23CF-44E3-9099-C40C66FF867C}">
                  <a14:compatExt spid="_x0000_s25602"/>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5603" name="Button 3" hidden="1">
              <a:extLst>
                <a:ext uri="{63B3BB69-23CF-44E3-9099-C40C66FF867C}">
                  <a14:compatExt spid="_x0000_s25603"/>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5604" name="Button 4" hidden="1">
              <a:extLst>
                <a:ext uri="{63B3BB69-23CF-44E3-9099-C40C66FF867C}">
                  <a14:compatExt spid="_x0000_s25604"/>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5605" name="Button 5" hidden="1">
              <a:extLst>
                <a:ext uri="{63B3BB69-23CF-44E3-9099-C40C66FF867C}">
                  <a14:compatExt spid="_x0000_s25605"/>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5606" name="Button 6" hidden="1">
              <a:extLst>
                <a:ext uri="{63B3BB69-23CF-44E3-9099-C40C66FF867C}">
                  <a14:compatExt spid="_x0000_s25606"/>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6625" name="Drop Down 1" hidden="1">
              <a:extLst>
                <a:ext uri="{63B3BB69-23CF-44E3-9099-C40C66FF867C}">
                  <a14:compatExt spid="_x0000_s26625"/>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6626" name="Button 2" hidden="1">
              <a:extLst>
                <a:ext uri="{63B3BB69-23CF-44E3-9099-C40C66FF867C}">
                  <a14:compatExt spid="_x0000_s26626"/>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6627" name="Button 3" hidden="1">
              <a:extLst>
                <a:ext uri="{63B3BB69-23CF-44E3-9099-C40C66FF867C}">
                  <a14:compatExt spid="_x0000_s26627"/>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6628" name="Button 4" hidden="1">
              <a:extLst>
                <a:ext uri="{63B3BB69-23CF-44E3-9099-C40C66FF867C}">
                  <a14:compatExt spid="_x0000_s26628"/>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6629" name="Button 5" hidden="1">
              <a:extLst>
                <a:ext uri="{63B3BB69-23CF-44E3-9099-C40C66FF867C}">
                  <a14:compatExt spid="_x0000_s26629"/>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6630" name="Button 6" hidden="1">
              <a:extLst>
                <a:ext uri="{63B3BB69-23CF-44E3-9099-C40C66FF867C}">
                  <a14:compatExt spid="_x0000_s26630"/>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7649" name="Drop Down 1" hidden="1">
              <a:extLst>
                <a:ext uri="{63B3BB69-23CF-44E3-9099-C40C66FF867C}">
                  <a14:compatExt spid="_x0000_s27649"/>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7650" name="Button 2" hidden="1">
              <a:extLst>
                <a:ext uri="{63B3BB69-23CF-44E3-9099-C40C66FF867C}">
                  <a14:compatExt spid="_x0000_s27650"/>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7651" name="Button 3" hidden="1">
              <a:extLst>
                <a:ext uri="{63B3BB69-23CF-44E3-9099-C40C66FF867C}">
                  <a14:compatExt spid="_x0000_s27651"/>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7652" name="Button 4" hidden="1">
              <a:extLst>
                <a:ext uri="{63B3BB69-23CF-44E3-9099-C40C66FF867C}">
                  <a14:compatExt spid="_x0000_s27652"/>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7653" name="Button 5" hidden="1">
              <a:extLst>
                <a:ext uri="{63B3BB69-23CF-44E3-9099-C40C66FF867C}">
                  <a14:compatExt spid="_x0000_s27653"/>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7654" name="Button 6" hidden="1">
              <a:extLst>
                <a:ext uri="{63B3BB69-23CF-44E3-9099-C40C66FF867C}">
                  <a14:compatExt spid="_x0000_s27654"/>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8673" name="Drop Down 1" hidden="1">
              <a:extLst>
                <a:ext uri="{63B3BB69-23CF-44E3-9099-C40C66FF867C}">
                  <a14:compatExt spid="_x0000_s28673"/>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8674" name="Button 2" hidden="1">
              <a:extLst>
                <a:ext uri="{63B3BB69-23CF-44E3-9099-C40C66FF867C}">
                  <a14:compatExt spid="_x0000_s28674"/>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8675" name="Button 3" hidden="1">
              <a:extLst>
                <a:ext uri="{63B3BB69-23CF-44E3-9099-C40C66FF867C}">
                  <a14:compatExt spid="_x0000_s28675"/>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8676" name="Button 4" hidden="1">
              <a:extLst>
                <a:ext uri="{63B3BB69-23CF-44E3-9099-C40C66FF867C}">
                  <a14:compatExt spid="_x0000_s28676"/>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8677" name="Button 5" hidden="1">
              <a:extLst>
                <a:ext uri="{63B3BB69-23CF-44E3-9099-C40C66FF867C}">
                  <a14:compatExt spid="_x0000_s28677"/>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8678" name="Button 6" hidden="1">
              <a:extLst>
                <a:ext uri="{63B3BB69-23CF-44E3-9099-C40C66FF867C}">
                  <a14:compatExt spid="_x0000_s28678"/>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9697" name="Drop Down 1" hidden="1">
              <a:extLst>
                <a:ext uri="{63B3BB69-23CF-44E3-9099-C40C66FF867C}">
                  <a14:compatExt spid="_x0000_s29697"/>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9698" name="Button 2" hidden="1">
              <a:extLst>
                <a:ext uri="{63B3BB69-23CF-44E3-9099-C40C66FF867C}">
                  <a14:compatExt spid="_x0000_s29698"/>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9699" name="Button 3" hidden="1">
              <a:extLst>
                <a:ext uri="{63B3BB69-23CF-44E3-9099-C40C66FF867C}">
                  <a14:compatExt spid="_x0000_s29699"/>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9700" name="Button 4" hidden="1">
              <a:extLst>
                <a:ext uri="{63B3BB69-23CF-44E3-9099-C40C66FF867C}">
                  <a14:compatExt spid="_x0000_s29700"/>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9701" name="Button 5" hidden="1">
              <a:extLst>
                <a:ext uri="{63B3BB69-23CF-44E3-9099-C40C66FF867C}">
                  <a14:compatExt spid="_x0000_s29701"/>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9702" name="Button 6" hidden="1">
              <a:extLst>
                <a:ext uri="{63B3BB69-23CF-44E3-9099-C40C66FF867C}">
                  <a14:compatExt spid="_x0000_s29702"/>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0721" name="Drop Down 1" hidden="1">
              <a:extLst>
                <a:ext uri="{63B3BB69-23CF-44E3-9099-C40C66FF867C}">
                  <a14:compatExt spid="_x0000_s30721"/>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0722" name="Button 2" hidden="1">
              <a:extLst>
                <a:ext uri="{63B3BB69-23CF-44E3-9099-C40C66FF867C}">
                  <a14:compatExt spid="_x0000_s30722"/>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0723" name="Button 3" hidden="1">
              <a:extLst>
                <a:ext uri="{63B3BB69-23CF-44E3-9099-C40C66FF867C}">
                  <a14:compatExt spid="_x0000_s30723"/>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0724" name="Button 4" hidden="1">
              <a:extLst>
                <a:ext uri="{63B3BB69-23CF-44E3-9099-C40C66FF867C}">
                  <a14:compatExt spid="_x0000_s30724"/>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0725" name="Button 5" hidden="1">
              <a:extLst>
                <a:ext uri="{63B3BB69-23CF-44E3-9099-C40C66FF867C}">
                  <a14:compatExt spid="_x0000_s30725"/>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0726" name="Button 6" hidden="1">
              <a:extLst>
                <a:ext uri="{63B3BB69-23CF-44E3-9099-C40C66FF867C}">
                  <a14:compatExt spid="_x0000_s30726"/>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1745" name="Drop Down 1" hidden="1">
              <a:extLst>
                <a:ext uri="{63B3BB69-23CF-44E3-9099-C40C66FF867C}">
                  <a14:compatExt spid="_x0000_s31745"/>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1746" name="Button 2" hidden="1">
              <a:extLst>
                <a:ext uri="{63B3BB69-23CF-44E3-9099-C40C66FF867C}">
                  <a14:compatExt spid="_x0000_s31746"/>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1747" name="Button 3" hidden="1">
              <a:extLst>
                <a:ext uri="{63B3BB69-23CF-44E3-9099-C40C66FF867C}">
                  <a14:compatExt spid="_x0000_s31747"/>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1748" name="Button 4" hidden="1">
              <a:extLst>
                <a:ext uri="{63B3BB69-23CF-44E3-9099-C40C66FF867C}">
                  <a14:compatExt spid="_x0000_s31748"/>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1749" name="Button 5" hidden="1">
              <a:extLst>
                <a:ext uri="{63B3BB69-23CF-44E3-9099-C40C66FF867C}">
                  <a14:compatExt spid="_x0000_s31749"/>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1750" name="Button 6" hidden="1">
              <a:extLst>
                <a:ext uri="{63B3BB69-23CF-44E3-9099-C40C66FF867C}">
                  <a14:compatExt spid="_x0000_s31750"/>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2769" name="Drop Down 1" hidden="1">
              <a:extLst>
                <a:ext uri="{63B3BB69-23CF-44E3-9099-C40C66FF867C}">
                  <a14:compatExt spid="_x0000_s32769"/>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2770" name="Button 2" hidden="1">
              <a:extLst>
                <a:ext uri="{63B3BB69-23CF-44E3-9099-C40C66FF867C}">
                  <a14:compatExt spid="_x0000_s32770"/>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2771" name="Button 3" hidden="1">
              <a:extLst>
                <a:ext uri="{63B3BB69-23CF-44E3-9099-C40C66FF867C}">
                  <a14:compatExt spid="_x0000_s32771"/>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2772" name="Button 4" hidden="1">
              <a:extLst>
                <a:ext uri="{63B3BB69-23CF-44E3-9099-C40C66FF867C}">
                  <a14:compatExt spid="_x0000_s32772"/>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2773" name="Button 5" hidden="1">
              <a:extLst>
                <a:ext uri="{63B3BB69-23CF-44E3-9099-C40C66FF867C}">
                  <a14:compatExt spid="_x0000_s32773"/>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2774" name="Button 6" hidden="1">
              <a:extLst>
                <a:ext uri="{63B3BB69-23CF-44E3-9099-C40C66FF867C}">
                  <a14:compatExt spid="_x0000_s32774"/>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3793" name="Drop Down 1" hidden="1">
              <a:extLst>
                <a:ext uri="{63B3BB69-23CF-44E3-9099-C40C66FF867C}">
                  <a14:compatExt spid="_x0000_s33793"/>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3794" name="Button 2" hidden="1">
              <a:extLst>
                <a:ext uri="{63B3BB69-23CF-44E3-9099-C40C66FF867C}">
                  <a14:compatExt spid="_x0000_s33794"/>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3795" name="Button 3" hidden="1">
              <a:extLst>
                <a:ext uri="{63B3BB69-23CF-44E3-9099-C40C66FF867C}">
                  <a14:compatExt spid="_x0000_s33795"/>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3796" name="Button 4" hidden="1">
              <a:extLst>
                <a:ext uri="{63B3BB69-23CF-44E3-9099-C40C66FF867C}">
                  <a14:compatExt spid="_x0000_s33796"/>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3797" name="Button 5" hidden="1">
              <a:extLst>
                <a:ext uri="{63B3BB69-23CF-44E3-9099-C40C66FF867C}">
                  <a14:compatExt spid="_x0000_s33797"/>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3798" name="Button 6" hidden="1">
              <a:extLst>
                <a:ext uri="{63B3BB69-23CF-44E3-9099-C40C66FF867C}">
                  <a14:compatExt spid="_x0000_s33798"/>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4817" name="Drop Down 1" hidden="1">
              <a:extLst>
                <a:ext uri="{63B3BB69-23CF-44E3-9099-C40C66FF867C}">
                  <a14:compatExt spid="_x0000_s34817"/>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4818" name="Button 2" hidden="1">
              <a:extLst>
                <a:ext uri="{63B3BB69-23CF-44E3-9099-C40C66FF867C}">
                  <a14:compatExt spid="_x0000_s34818"/>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4819" name="Button 3" hidden="1">
              <a:extLst>
                <a:ext uri="{63B3BB69-23CF-44E3-9099-C40C66FF867C}">
                  <a14:compatExt spid="_x0000_s34819"/>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4820" name="Button 4" hidden="1">
              <a:extLst>
                <a:ext uri="{63B3BB69-23CF-44E3-9099-C40C66FF867C}">
                  <a14:compatExt spid="_x0000_s34820"/>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4821" name="Button 5" hidden="1">
              <a:extLst>
                <a:ext uri="{63B3BB69-23CF-44E3-9099-C40C66FF867C}">
                  <a14:compatExt spid="_x0000_s34821"/>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4822" name="Button 6" hidden="1">
              <a:extLst>
                <a:ext uri="{63B3BB69-23CF-44E3-9099-C40C66FF867C}">
                  <a14:compatExt spid="_x0000_s34822"/>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5841" name="Drop Down 1" hidden="1">
              <a:extLst>
                <a:ext uri="{63B3BB69-23CF-44E3-9099-C40C66FF867C}">
                  <a14:compatExt spid="_x0000_s35841"/>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5842" name="Button 2" hidden="1">
              <a:extLst>
                <a:ext uri="{63B3BB69-23CF-44E3-9099-C40C66FF867C}">
                  <a14:compatExt spid="_x0000_s35842"/>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5843" name="Button 3" hidden="1">
              <a:extLst>
                <a:ext uri="{63B3BB69-23CF-44E3-9099-C40C66FF867C}">
                  <a14:compatExt spid="_x0000_s35843"/>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5844" name="Button 4" hidden="1">
              <a:extLst>
                <a:ext uri="{63B3BB69-23CF-44E3-9099-C40C66FF867C}">
                  <a14:compatExt spid="_x0000_s35844"/>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5845" name="Button 5" hidden="1">
              <a:extLst>
                <a:ext uri="{63B3BB69-23CF-44E3-9099-C40C66FF867C}">
                  <a14:compatExt spid="_x0000_s35845"/>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5846" name="Button 6" hidden="1">
              <a:extLst>
                <a:ext uri="{63B3BB69-23CF-44E3-9099-C40C66FF867C}">
                  <a14:compatExt spid="_x0000_s35846"/>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6865" name="Drop Down 1" hidden="1">
              <a:extLst>
                <a:ext uri="{63B3BB69-23CF-44E3-9099-C40C66FF867C}">
                  <a14:compatExt spid="_x0000_s36865"/>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6866" name="Button 2" hidden="1">
              <a:extLst>
                <a:ext uri="{63B3BB69-23CF-44E3-9099-C40C66FF867C}">
                  <a14:compatExt spid="_x0000_s36866"/>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6867" name="Button 3" hidden="1">
              <a:extLst>
                <a:ext uri="{63B3BB69-23CF-44E3-9099-C40C66FF867C}">
                  <a14:compatExt spid="_x0000_s36867"/>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6868" name="Button 4" hidden="1">
              <a:extLst>
                <a:ext uri="{63B3BB69-23CF-44E3-9099-C40C66FF867C}">
                  <a14:compatExt spid="_x0000_s36868"/>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6869" name="Button 5" hidden="1">
              <a:extLst>
                <a:ext uri="{63B3BB69-23CF-44E3-9099-C40C66FF867C}">
                  <a14:compatExt spid="_x0000_s36869"/>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6870" name="Button 6" hidden="1">
              <a:extLst>
                <a:ext uri="{63B3BB69-23CF-44E3-9099-C40C66FF867C}">
                  <a14:compatExt spid="_x0000_s36870"/>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7889" name="Drop Down 1" hidden="1">
              <a:extLst>
                <a:ext uri="{63B3BB69-23CF-44E3-9099-C40C66FF867C}">
                  <a14:compatExt spid="_x0000_s37889"/>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7890" name="Button 2" hidden="1">
              <a:extLst>
                <a:ext uri="{63B3BB69-23CF-44E3-9099-C40C66FF867C}">
                  <a14:compatExt spid="_x0000_s37890"/>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7891" name="Button 3" hidden="1">
              <a:extLst>
                <a:ext uri="{63B3BB69-23CF-44E3-9099-C40C66FF867C}">
                  <a14:compatExt spid="_x0000_s37891"/>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7892" name="Button 4" hidden="1">
              <a:extLst>
                <a:ext uri="{63B3BB69-23CF-44E3-9099-C40C66FF867C}">
                  <a14:compatExt spid="_x0000_s37892"/>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7893" name="Button 5" hidden="1">
              <a:extLst>
                <a:ext uri="{63B3BB69-23CF-44E3-9099-C40C66FF867C}">
                  <a14:compatExt spid="_x0000_s37893"/>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7894" name="Button 6" hidden="1">
              <a:extLst>
                <a:ext uri="{63B3BB69-23CF-44E3-9099-C40C66FF867C}">
                  <a14:compatExt spid="_x0000_s37894"/>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8913" name="Drop Down 1" hidden="1">
              <a:extLst>
                <a:ext uri="{63B3BB69-23CF-44E3-9099-C40C66FF867C}">
                  <a14:compatExt spid="_x0000_s38913"/>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8914" name="Button 2" hidden="1">
              <a:extLst>
                <a:ext uri="{63B3BB69-23CF-44E3-9099-C40C66FF867C}">
                  <a14:compatExt spid="_x0000_s38914"/>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8915" name="Button 3" hidden="1">
              <a:extLst>
                <a:ext uri="{63B3BB69-23CF-44E3-9099-C40C66FF867C}">
                  <a14:compatExt spid="_x0000_s38915"/>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8916" name="Button 4" hidden="1">
              <a:extLst>
                <a:ext uri="{63B3BB69-23CF-44E3-9099-C40C66FF867C}">
                  <a14:compatExt spid="_x0000_s38916"/>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8917" name="Button 5" hidden="1">
              <a:extLst>
                <a:ext uri="{63B3BB69-23CF-44E3-9099-C40C66FF867C}">
                  <a14:compatExt spid="_x0000_s38917"/>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8918" name="Button 6" hidden="1">
              <a:extLst>
                <a:ext uri="{63B3BB69-23CF-44E3-9099-C40C66FF867C}">
                  <a14:compatExt spid="_x0000_s38918"/>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9937" name="Drop Down 1" hidden="1">
              <a:extLst>
                <a:ext uri="{63B3BB69-23CF-44E3-9099-C40C66FF867C}">
                  <a14:compatExt spid="_x0000_s39937"/>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9938" name="Button 2" hidden="1">
              <a:extLst>
                <a:ext uri="{63B3BB69-23CF-44E3-9099-C40C66FF867C}">
                  <a14:compatExt spid="_x0000_s39938"/>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9939" name="Button 3" hidden="1">
              <a:extLst>
                <a:ext uri="{63B3BB69-23CF-44E3-9099-C40C66FF867C}">
                  <a14:compatExt spid="_x0000_s39939"/>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9940" name="Button 4" hidden="1">
              <a:extLst>
                <a:ext uri="{63B3BB69-23CF-44E3-9099-C40C66FF867C}">
                  <a14:compatExt spid="_x0000_s39940"/>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9941" name="Button 5" hidden="1">
              <a:extLst>
                <a:ext uri="{63B3BB69-23CF-44E3-9099-C40C66FF867C}">
                  <a14:compatExt spid="_x0000_s39941"/>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9942" name="Button 6" hidden="1">
              <a:extLst>
                <a:ext uri="{63B3BB69-23CF-44E3-9099-C40C66FF867C}">
                  <a14:compatExt spid="_x0000_s39942"/>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0961" name="Drop Down 1" hidden="1">
              <a:extLst>
                <a:ext uri="{63B3BB69-23CF-44E3-9099-C40C66FF867C}">
                  <a14:compatExt spid="_x0000_s40961"/>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0962" name="Button 2" hidden="1">
              <a:extLst>
                <a:ext uri="{63B3BB69-23CF-44E3-9099-C40C66FF867C}">
                  <a14:compatExt spid="_x0000_s40962"/>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0963" name="Button 3" hidden="1">
              <a:extLst>
                <a:ext uri="{63B3BB69-23CF-44E3-9099-C40C66FF867C}">
                  <a14:compatExt spid="_x0000_s40963"/>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0964" name="Button 4" hidden="1">
              <a:extLst>
                <a:ext uri="{63B3BB69-23CF-44E3-9099-C40C66FF867C}">
                  <a14:compatExt spid="_x0000_s40964"/>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0965" name="Button 5" hidden="1">
              <a:extLst>
                <a:ext uri="{63B3BB69-23CF-44E3-9099-C40C66FF867C}">
                  <a14:compatExt spid="_x0000_s40965"/>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0966" name="Button 6" hidden="1">
              <a:extLst>
                <a:ext uri="{63B3BB69-23CF-44E3-9099-C40C66FF867C}">
                  <a14:compatExt spid="_x0000_s40966"/>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1985" name="Drop Down 1" hidden="1">
              <a:extLst>
                <a:ext uri="{63B3BB69-23CF-44E3-9099-C40C66FF867C}">
                  <a14:compatExt spid="_x0000_s41985"/>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1986" name="Button 2" hidden="1">
              <a:extLst>
                <a:ext uri="{63B3BB69-23CF-44E3-9099-C40C66FF867C}">
                  <a14:compatExt spid="_x0000_s41986"/>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1987" name="Button 3" hidden="1">
              <a:extLst>
                <a:ext uri="{63B3BB69-23CF-44E3-9099-C40C66FF867C}">
                  <a14:compatExt spid="_x0000_s41987"/>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1988" name="Button 4" hidden="1">
              <a:extLst>
                <a:ext uri="{63B3BB69-23CF-44E3-9099-C40C66FF867C}">
                  <a14:compatExt spid="_x0000_s41988"/>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1989" name="Button 5" hidden="1">
              <a:extLst>
                <a:ext uri="{63B3BB69-23CF-44E3-9099-C40C66FF867C}">
                  <a14:compatExt spid="_x0000_s41989"/>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1990" name="Button 6" hidden="1">
              <a:extLst>
                <a:ext uri="{63B3BB69-23CF-44E3-9099-C40C66FF867C}">
                  <a14:compatExt spid="_x0000_s41990"/>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3009" name="Drop Down 1" hidden="1">
              <a:extLst>
                <a:ext uri="{63B3BB69-23CF-44E3-9099-C40C66FF867C}">
                  <a14:compatExt spid="_x0000_s43009"/>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3010" name="Button 2" hidden="1">
              <a:extLst>
                <a:ext uri="{63B3BB69-23CF-44E3-9099-C40C66FF867C}">
                  <a14:compatExt spid="_x0000_s43010"/>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3011" name="Button 3" hidden="1">
              <a:extLst>
                <a:ext uri="{63B3BB69-23CF-44E3-9099-C40C66FF867C}">
                  <a14:compatExt spid="_x0000_s43011"/>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3012" name="Button 4" hidden="1">
              <a:extLst>
                <a:ext uri="{63B3BB69-23CF-44E3-9099-C40C66FF867C}">
                  <a14:compatExt spid="_x0000_s43012"/>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3013" name="Button 5" hidden="1">
              <a:extLst>
                <a:ext uri="{63B3BB69-23CF-44E3-9099-C40C66FF867C}">
                  <a14:compatExt spid="_x0000_s43013"/>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3014" name="Button 6" hidden="1">
              <a:extLst>
                <a:ext uri="{63B3BB69-23CF-44E3-9099-C40C66FF867C}">
                  <a14:compatExt spid="_x0000_s43014"/>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4033" name="Drop Down 1" hidden="1">
              <a:extLst>
                <a:ext uri="{63B3BB69-23CF-44E3-9099-C40C66FF867C}">
                  <a14:compatExt spid="_x0000_s44033"/>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4034" name="Button 2" hidden="1">
              <a:extLst>
                <a:ext uri="{63B3BB69-23CF-44E3-9099-C40C66FF867C}">
                  <a14:compatExt spid="_x0000_s44034"/>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4035" name="Button 3" hidden="1">
              <a:extLst>
                <a:ext uri="{63B3BB69-23CF-44E3-9099-C40C66FF867C}">
                  <a14:compatExt spid="_x0000_s44035"/>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4036" name="Button 4" hidden="1">
              <a:extLst>
                <a:ext uri="{63B3BB69-23CF-44E3-9099-C40C66FF867C}">
                  <a14:compatExt spid="_x0000_s44036"/>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4037" name="Button 5" hidden="1">
              <a:extLst>
                <a:ext uri="{63B3BB69-23CF-44E3-9099-C40C66FF867C}">
                  <a14:compatExt spid="_x0000_s44037"/>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4038" name="Button 6" hidden="1">
              <a:extLst>
                <a:ext uri="{63B3BB69-23CF-44E3-9099-C40C66FF867C}">
                  <a14:compatExt spid="_x0000_s44038"/>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5057" name="Drop Down 1" hidden="1">
              <a:extLst>
                <a:ext uri="{63B3BB69-23CF-44E3-9099-C40C66FF867C}">
                  <a14:compatExt spid="_x0000_s45057"/>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5058" name="Button 2" hidden="1">
              <a:extLst>
                <a:ext uri="{63B3BB69-23CF-44E3-9099-C40C66FF867C}">
                  <a14:compatExt spid="_x0000_s45058"/>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5059" name="Button 3" hidden="1">
              <a:extLst>
                <a:ext uri="{63B3BB69-23CF-44E3-9099-C40C66FF867C}">
                  <a14:compatExt spid="_x0000_s45059"/>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5060" name="Button 4" hidden="1">
              <a:extLst>
                <a:ext uri="{63B3BB69-23CF-44E3-9099-C40C66FF867C}">
                  <a14:compatExt spid="_x0000_s45060"/>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5061" name="Button 5" hidden="1">
              <a:extLst>
                <a:ext uri="{63B3BB69-23CF-44E3-9099-C40C66FF867C}">
                  <a14:compatExt spid="_x0000_s45061"/>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5062" name="Button 6" hidden="1">
              <a:extLst>
                <a:ext uri="{63B3BB69-23CF-44E3-9099-C40C66FF867C}">
                  <a14:compatExt spid="_x0000_s45062"/>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6081" name="Drop Down 1" hidden="1">
              <a:extLst>
                <a:ext uri="{63B3BB69-23CF-44E3-9099-C40C66FF867C}">
                  <a14:compatExt spid="_x0000_s46081"/>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6082" name="Button 2" hidden="1">
              <a:extLst>
                <a:ext uri="{63B3BB69-23CF-44E3-9099-C40C66FF867C}">
                  <a14:compatExt spid="_x0000_s46082"/>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6083" name="Button 3" hidden="1">
              <a:extLst>
                <a:ext uri="{63B3BB69-23CF-44E3-9099-C40C66FF867C}">
                  <a14:compatExt spid="_x0000_s46083"/>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6084" name="Button 4" hidden="1">
              <a:extLst>
                <a:ext uri="{63B3BB69-23CF-44E3-9099-C40C66FF867C}">
                  <a14:compatExt spid="_x0000_s46084"/>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6085" name="Button 5" hidden="1">
              <a:extLst>
                <a:ext uri="{63B3BB69-23CF-44E3-9099-C40C66FF867C}">
                  <a14:compatExt spid="_x0000_s46085"/>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6086" name="Button 6" hidden="1">
              <a:extLst>
                <a:ext uri="{63B3BB69-23CF-44E3-9099-C40C66FF867C}">
                  <a14:compatExt spid="_x0000_s46086"/>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7105" name="Drop Down 1" hidden="1">
              <a:extLst>
                <a:ext uri="{63B3BB69-23CF-44E3-9099-C40C66FF867C}">
                  <a14:compatExt spid="_x0000_s47105"/>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7106" name="Button 2" hidden="1">
              <a:extLst>
                <a:ext uri="{63B3BB69-23CF-44E3-9099-C40C66FF867C}">
                  <a14:compatExt spid="_x0000_s47106"/>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7107" name="Button 3" hidden="1">
              <a:extLst>
                <a:ext uri="{63B3BB69-23CF-44E3-9099-C40C66FF867C}">
                  <a14:compatExt spid="_x0000_s47107"/>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7108" name="Button 4" hidden="1">
              <a:extLst>
                <a:ext uri="{63B3BB69-23CF-44E3-9099-C40C66FF867C}">
                  <a14:compatExt spid="_x0000_s47108"/>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7109" name="Button 5" hidden="1">
              <a:extLst>
                <a:ext uri="{63B3BB69-23CF-44E3-9099-C40C66FF867C}">
                  <a14:compatExt spid="_x0000_s47109"/>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7110" name="Button 6" hidden="1">
              <a:extLst>
                <a:ext uri="{63B3BB69-23CF-44E3-9099-C40C66FF867C}">
                  <a14:compatExt spid="_x0000_s47110"/>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8129" name="Drop Down 1" hidden="1">
              <a:extLst>
                <a:ext uri="{63B3BB69-23CF-44E3-9099-C40C66FF867C}">
                  <a14:compatExt spid="_x0000_s48129"/>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8130" name="Button 2" hidden="1">
              <a:extLst>
                <a:ext uri="{63B3BB69-23CF-44E3-9099-C40C66FF867C}">
                  <a14:compatExt spid="_x0000_s48130"/>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8131" name="Button 3" hidden="1">
              <a:extLst>
                <a:ext uri="{63B3BB69-23CF-44E3-9099-C40C66FF867C}">
                  <a14:compatExt spid="_x0000_s48131"/>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8132" name="Button 4" hidden="1">
              <a:extLst>
                <a:ext uri="{63B3BB69-23CF-44E3-9099-C40C66FF867C}">
                  <a14:compatExt spid="_x0000_s48132"/>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8133" name="Button 5" hidden="1">
              <a:extLst>
                <a:ext uri="{63B3BB69-23CF-44E3-9099-C40C66FF867C}">
                  <a14:compatExt spid="_x0000_s48133"/>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8134" name="Button 6" hidden="1">
              <a:extLst>
                <a:ext uri="{63B3BB69-23CF-44E3-9099-C40C66FF867C}">
                  <a14:compatExt spid="_x0000_s48134"/>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9153" name="Drop Down 1" hidden="1">
              <a:extLst>
                <a:ext uri="{63B3BB69-23CF-44E3-9099-C40C66FF867C}">
                  <a14:compatExt spid="_x0000_s49153"/>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9154" name="Button 2" hidden="1">
              <a:extLst>
                <a:ext uri="{63B3BB69-23CF-44E3-9099-C40C66FF867C}">
                  <a14:compatExt spid="_x0000_s49154"/>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9155" name="Button 3" hidden="1">
              <a:extLst>
                <a:ext uri="{63B3BB69-23CF-44E3-9099-C40C66FF867C}">
                  <a14:compatExt spid="_x0000_s49155"/>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9156" name="Button 4" hidden="1">
              <a:extLst>
                <a:ext uri="{63B3BB69-23CF-44E3-9099-C40C66FF867C}">
                  <a14:compatExt spid="_x0000_s49156"/>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9157" name="Button 5" hidden="1">
              <a:extLst>
                <a:ext uri="{63B3BB69-23CF-44E3-9099-C40C66FF867C}">
                  <a14:compatExt spid="_x0000_s49157"/>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9158" name="Button 6" hidden="1">
              <a:extLst>
                <a:ext uri="{63B3BB69-23CF-44E3-9099-C40C66FF867C}">
                  <a14:compatExt spid="_x0000_s49158"/>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0177" name="Drop Down 1" hidden="1">
              <a:extLst>
                <a:ext uri="{63B3BB69-23CF-44E3-9099-C40C66FF867C}">
                  <a14:compatExt spid="_x0000_s50177"/>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0178" name="Button 2" hidden="1">
              <a:extLst>
                <a:ext uri="{63B3BB69-23CF-44E3-9099-C40C66FF867C}">
                  <a14:compatExt spid="_x0000_s50178"/>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0179" name="Button 3" hidden="1">
              <a:extLst>
                <a:ext uri="{63B3BB69-23CF-44E3-9099-C40C66FF867C}">
                  <a14:compatExt spid="_x0000_s50179"/>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0180" name="Button 4" hidden="1">
              <a:extLst>
                <a:ext uri="{63B3BB69-23CF-44E3-9099-C40C66FF867C}">
                  <a14:compatExt spid="_x0000_s50180"/>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0181" name="Button 5" hidden="1">
              <a:extLst>
                <a:ext uri="{63B3BB69-23CF-44E3-9099-C40C66FF867C}">
                  <a14:compatExt spid="_x0000_s50181"/>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0182" name="Button 6" hidden="1">
              <a:extLst>
                <a:ext uri="{63B3BB69-23CF-44E3-9099-C40C66FF867C}">
                  <a14:compatExt spid="_x0000_s50182"/>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1201" name="Drop Down 1" hidden="1">
              <a:extLst>
                <a:ext uri="{63B3BB69-23CF-44E3-9099-C40C66FF867C}">
                  <a14:compatExt spid="_x0000_s51201"/>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1202" name="Button 2" hidden="1">
              <a:extLst>
                <a:ext uri="{63B3BB69-23CF-44E3-9099-C40C66FF867C}">
                  <a14:compatExt spid="_x0000_s51202"/>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1203" name="Button 3" hidden="1">
              <a:extLst>
                <a:ext uri="{63B3BB69-23CF-44E3-9099-C40C66FF867C}">
                  <a14:compatExt spid="_x0000_s51203"/>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1204" name="Button 4" hidden="1">
              <a:extLst>
                <a:ext uri="{63B3BB69-23CF-44E3-9099-C40C66FF867C}">
                  <a14:compatExt spid="_x0000_s51204"/>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1205" name="Button 5" hidden="1">
              <a:extLst>
                <a:ext uri="{63B3BB69-23CF-44E3-9099-C40C66FF867C}">
                  <a14:compatExt spid="_x0000_s51205"/>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1206" name="Button 6" hidden="1">
              <a:extLst>
                <a:ext uri="{63B3BB69-23CF-44E3-9099-C40C66FF867C}">
                  <a14:compatExt spid="_x0000_s51206"/>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2225" name="Drop Down 1" hidden="1">
              <a:extLst>
                <a:ext uri="{63B3BB69-23CF-44E3-9099-C40C66FF867C}">
                  <a14:compatExt spid="_x0000_s52225"/>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2226" name="Button 2" hidden="1">
              <a:extLst>
                <a:ext uri="{63B3BB69-23CF-44E3-9099-C40C66FF867C}">
                  <a14:compatExt spid="_x0000_s52226"/>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2227" name="Button 3" hidden="1">
              <a:extLst>
                <a:ext uri="{63B3BB69-23CF-44E3-9099-C40C66FF867C}">
                  <a14:compatExt spid="_x0000_s52227"/>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2228" name="Button 4" hidden="1">
              <a:extLst>
                <a:ext uri="{63B3BB69-23CF-44E3-9099-C40C66FF867C}">
                  <a14:compatExt spid="_x0000_s52228"/>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2229" name="Button 5" hidden="1">
              <a:extLst>
                <a:ext uri="{63B3BB69-23CF-44E3-9099-C40C66FF867C}">
                  <a14:compatExt spid="_x0000_s52229"/>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2230" name="Button 6" hidden="1">
              <a:extLst>
                <a:ext uri="{63B3BB69-23CF-44E3-9099-C40C66FF867C}">
                  <a14:compatExt spid="_x0000_s52230"/>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3249" name="Drop Down 1" hidden="1">
              <a:extLst>
                <a:ext uri="{63B3BB69-23CF-44E3-9099-C40C66FF867C}">
                  <a14:compatExt spid="_x0000_s53249"/>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3250" name="Button 2" hidden="1">
              <a:extLst>
                <a:ext uri="{63B3BB69-23CF-44E3-9099-C40C66FF867C}">
                  <a14:compatExt spid="_x0000_s53250"/>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3251" name="Button 3" hidden="1">
              <a:extLst>
                <a:ext uri="{63B3BB69-23CF-44E3-9099-C40C66FF867C}">
                  <a14:compatExt spid="_x0000_s53251"/>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3252" name="Button 4" hidden="1">
              <a:extLst>
                <a:ext uri="{63B3BB69-23CF-44E3-9099-C40C66FF867C}">
                  <a14:compatExt spid="_x0000_s53252"/>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3253" name="Button 5" hidden="1">
              <a:extLst>
                <a:ext uri="{63B3BB69-23CF-44E3-9099-C40C66FF867C}">
                  <a14:compatExt spid="_x0000_s53253"/>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3254" name="Button 6" hidden="1">
              <a:extLst>
                <a:ext uri="{63B3BB69-23CF-44E3-9099-C40C66FF867C}">
                  <a14:compatExt spid="_x0000_s53254"/>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4273" name="Drop Down 1" hidden="1">
              <a:extLst>
                <a:ext uri="{63B3BB69-23CF-44E3-9099-C40C66FF867C}">
                  <a14:compatExt spid="_x0000_s54273"/>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4274" name="Button 2" hidden="1">
              <a:extLst>
                <a:ext uri="{63B3BB69-23CF-44E3-9099-C40C66FF867C}">
                  <a14:compatExt spid="_x0000_s54274"/>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4275" name="Button 3" hidden="1">
              <a:extLst>
                <a:ext uri="{63B3BB69-23CF-44E3-9099-C40C66FF867C}">
                  <a14:compatExt spid="_x0000_s54275"/>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4276" name="Button 4" hidden="1">
              <a:extLst>
                <a:ext uri="{63B3BB69-23CF-44E3-9099-C40C66FF867C}">
                  <a14:compatExt spid="_x0000_s54276"/>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4277" name="Button 5" hidden="1">
              <a:extLst>
                <a:ext uri="{63B3BB69-23CF-44E3-9099-C40C66FF867C}">
                  <a14:compatExt spid="_x0000_s54277"/>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4278" name="Button 6" hidden="1">
              <a:extLst>
                <a:ext uri="{63B3BB69-23CF-44E3-9099-C40C66FF867C}">
                  <a14:compatExt spid="_x0000_s54278"/>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5297" name="Drop Down 1" hidden="1">
              <a:extLst>
                <a:ext uri="{63B3BB69-23CF-44E3-9099-C40C66FF867C}">
                  <a14:compatExt spid="_x0000_s55297"/>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5298" name="Button 2" hidden="1">
              <a:extLst>
                <a:ext uri="{63B3BB69-23CF-44E3-9099-C40C66FF867C}">
                  <a14:compatExt spid="_x0000_s55298"/>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5299" name="Button 3" hidden="1">
              <a:extLst>
                <a:ext uri="{63B3BB69-23CF-44E3-9099-C40C66FF867C}">
                  <a14:compatExt spid="_x0000_s55299"/>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5300" name="Button 4" hidden="1">
              <a:extLst>
                <a:ext uri="{63B3BB69-23CF-44E3-9099-C40C66FF867C}">
                  <a14:compatExt spid="_x0000_s55300"/>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5301" name="Button 5" hidden="1">
              <a:extLst>
                <a:ext uri="{63B3BB69-23CF-44E3-9099-C40C66FF867C}">
                  <a14:compatExt spid="_x0000_s55301"/>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5302" name="Button 6" hidden="1">
              <a:extLst>
                <a:ext uri="{63B3BB69-23CF-44E3-9099-C40C66FF867C}">
                  <a14:compatExt spid="_x0000_s55302"/>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6321" name="Drop Down 1" hidden="1">
              <a:extLst>
                <a:ext uri="{63B3BB69-23CF-44E3-9099-C40C66FF867C}">
                  <a14:compatExt spid="_x0000_s56321"/>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6322" name="Button 2" hidden="1">
              <a:extLst>
                <a:ext uri="{63B3BB69-23CF-44E3-9099-C40C66FF867C}">
                  <a14:compatExt spid="_x0000_s56322"/>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6323" name="Button 3" hidden="1">
              <a:extLst>
                <a:ext uri="{63B3BB69-23CF-44E3-9099-C40C66FF867C}">
                  <a14:compatExt spid="_x0000_s56323"/>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6324" name="Button 4" hidden="1">
              <a:extLst>
                <a:ext uri="{63B3BB69-23CF-44E3-9099-C40C66FF867C}">
                  <a14:compatExt spid="_x0000_s56324"/>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6325" name="Button 5" hidden="1">
              <a:extLst>
                <a:ext uri="{63B3BB69-23CF-44E3-9099-C40C66FF867C}">
                  <a14:compatExt spid="_x0000_s56325"/>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6326" name="Button 6" hidden="1">
              <a:extLst>
                <a:ext uri="{63B3BB69-23CF-44E3-9099-C40C66FF867C}">
                  <a14:compatExt spid="_x0000_s56326"/>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7345" name="Drop Down 1" hidden="1">
              <a:extLst>
                <a:ext uri="{63B3BB69-23CF-44E3-9099-C40C66FF867C}">
                  <a14:compatExt spid="_x0000_s57345"/>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7346" name="Button 2" hidden="1">
              <a:extLst>
                <a:ext uri="{63B3BB69-23CF-44E3-9099-C40C66FF867C}">
                  <a14:compatExt spid="_x0000_s57346"/>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7347" name="Button 3" hidden="1">
              <a:extLst>
                <a:ext uri="{63B3BB69-23CF-44E3-9099-C40C66FF867C}">
                  <a14:compatExt spid="_x0000_s57347"/>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7348" name="Button 4" hidden="1">
              <a:extLst>
                <a:ext uri="{63B3BB69-23CF-44E3-9099-C40C66FF867C}">
                  <a14:compatExt spid="_x0000_s57348"/>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7349" name="Button 5" hidden="1">
              <a:extLst>
                <a:ext uri="{63B3BB69-23CF-44E3-9099-C40C66FF867C}">
                  <a14:compatExt spid="_x0000_s57349"/>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7350" name="Button 6" hidden="1">
              <a:extLst>
                <a:ext uri="{63B3BB69-23CF-44E3-9099-C40C66FF867C}">
                  <a14:compatExt spid="_x0000_s57350"/>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8369" name="Drop Down 1" hidden="1">
              <a:extLst>
                <a:ext uri="{63B3BB69-23CF-44E3-9099-C40C66FF867C}">
                  <a14:compatExt spid="_x0000_s58369"/>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8370" name="Button 2" hidden="1">
              <a:extLst>
                <a:ext uri="{63B3BB69-23CF-44E3-9099-C40C66FF867C}">
                  <a14:compatExt spid="_x0000_s58370"/>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8371" name="Button 3" hidden="1">
              <a:extLst>
                <a:ext uri="{63B3BB69-23CF-44E3-9099-C40C66FF867C}">
                  <a14:compatExt spid="_x0000_s58371"/>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8372" name="Button 4" hidden="1">
              <a:extLst>
                <a:ext uri="{63B3BB69-23CF-44E3-9099-C40C66FF867C}">
                  <a14:compatExt spid="_x0000_s58372"/>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8373" name="Button 5" hidden="1">
              <a:extLst>
                <a:ext uri="{63B3BB69-23CF-44E3-9099-C40C66FF867C}">
                  <a14:compatExt spid="_x0000_s58373"/>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8374" name="Button 6" hidden="1">
              <a:extLst>
                <a:ext uri="{63B3BB69-23CF-44E3-9099-C40C66FF867C}">
                  <a14:compatExt spid="_x0000_s58374"/>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9393" name="Drop Down 1" hidden="1">
              <a:extLst>
                <a:ext uri="{63B3BB69-23CF-44E3-9099-C40C66FF867C}">
                  <a14:compatExt spid="_x0000_s59393"/>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9394" name="Button 2" hidden="1">
              <a:extLst>
                <a:ext uri="{63B3BB69-23CF-44E3-9099-C40C66FF867C}">
                  <a14:compatExt spid="_x0000_s59394"/>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9395" name="Button 3" hidden="1">
              <a:extLst>
                <a:ext uri="{63B3BB69-23CF-44E3-9099-C40C66FF867C}">
                  <a14:compatExt spid="_x0000_s59395"/>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9396" name="Button 4" hidden="1">
              <a:extLst>
                <a:ext uri="{63B3BB69-23CF-44E3-9099-C40C66FF867C}">
                  <a14:compatExt spid="_x0000_s59396"/>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9397" name="Button 5" hidden="1">
              <a:extLst>
                <a:ext uri="{63B3BB69-23CF-44E3-9099-C40C66FF867C}">
                  <a14:compatExt spid="_x0000_s59397"/>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9398" name="Button 6" hidden="1">
              <a:extLst>
                <a:ext uri="{63B3BB69-23CF-44E3-9099-C40C66FF867C}">
                  <a14:compatExt spid="_x0000_s59398"/>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60417" name="Drop Down 1" hidden="1">
              <a:extLst>
                <a:ext uri="{63B3BB69-23CF-44E3-9099-C40C66FF867C}">
                  <a14:compatExt spid="_x0000_s60417"/>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60418" name="Button 2" hidden="1">
              <a:extLst>
                <a:ext uri="{63B3BB69-23CF-44E3-9099-C40C66FF867C}">
                  <a14:compatExt spid="_x0000_s60418"/>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60419" name="Button 3" hidden="1">
              <a:extLst>
                <a:ext uri="{63B3BB69-23CF-44E3-9099-C40C66FF867C}">
                  <a14:compatExt spid="_x0000_s60419"/>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60420" name="Button 4" hidden="1">
              <a:extLst>
                <a:ext uri="{63B3BB69-23CF-44E3-9099-C40C66FF867C}">
                  <a14:compatExt spid="_x0000_s60420"/>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60421" name="Button 5" hidden="1">
              <a:extLst>
                <a:ext uri="{63B3BB69-23CF-44E3-9099-C40C66FF867C}">
                  <a14:compatExt spid="_x0000_s60421"/>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60422" name="Button 6" hidden="1">
              <a:extLst>
                <a:ext uri="{63B3BB69-23CF-44E3-9099-C40C66FF867C}">
                  <a14:compatExt spid="_x0000_s60422"/>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61441" name="Drop Down 1" hidden="1">
              <a:extLst>
                <a:ext uri="{63B3BB69-23CF-44E3-9099-C40C66FF867C}">
                  <a14:compatExt spid="_x0000_s61441"/>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61442" name="Button 2" hidden="1">
              <a:extLst>
                <a:ext uri="{63B3BB69-23CF-44E3-9099-C40C66FF867C}">
                  <a14:compatExt spid="_x0000_s61442"/>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61443" name="Button 3" hidden="1">
              <a:extLst>
                <a:ext uri="{63B3BB69-23CF-44E3-9099-C40C66FF867C}">
                  <a14:compatExt spid="_x0000_s61443"/>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61444" name="Button 4" hidden="1">
              <a:extLst>
                <a:ext uri="{63B3BB69-23CF-44E3-9099-C40C66FF867C}">
                  <a14:compatExt spid="_x0000_s61444"/>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61445" name="Button 5" hidden="1">
              <a:extLst>
                <a:ext uri="{63B3BB69-23CF-44E3-9099-C40C66FF867C}">
                  <a14:compatExt spid="_x0000_s61445"/>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61446" name="Button 6" hidden="1">
              <a:extLst>
                <a:ext uri="{63B3BB69-23CF-44E3-9099-C40C66FF867C}">
                  <a14:compatExt spid="_x0000_s61446"/>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12289" name="Drop Down 1" hidden="1">
              <a:extLst>
                <a:ext uri="{63B3BB69-23CF-44E3-9099-C40C66FF867C}">
                  <a14:compatExt spid="_x0000_s12289"/>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12290" name="Button 2" hidden="1">
              <a:extLst>
                <a:ext uri="{63B3BB69-23CF-44E3-9099-C40C66FF867C}">
                  <a14:compatExt spid="_x0000_s12290"/>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12291" name="Button 3" hidden="1">
              <a:extLst>
                <a:ext uri="{63B3BB69-23CF-44E3-9099-C40C66FF867C}">
                  <a14:compatExt spid="_x0000_s12291"/>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12292" name="Button 4" hidden="1">
              <a:extLst>
                <a:ext uri="{63B3BB69-23CF-44E3-9099-C40C66FF867C}">
                  <a14:compatExt spid="_x0000_s12292"/>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12293" name="Button 5" hidden="1">
              <a:extLst>
                <a:ext uri="{63B3BB69-23CF-44E3-9099-C40C66FF867C}">
                  <a14:compatExt spid="_x0000_s12293"/>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12294" name="Button 6" hidden="1">
              <a:extLst>
                <a:ext uri="{63B3BB69-23CF-44E3-9099-C40C66FF867C}">
                  <a14:compatExt spid="_x0000_s12294"/>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1</xdr:row>
          <xdr:rowOff>228600</xdr:rowOff>
        </xdr:from>
        <xdr:to>
          <xdr:col>10</xdr:col>
          <xdr:colOff>0</xdr:colOff>
          <xdr:row>3</xdr:row>
          <xdr:rowOff>0</xdr:rowOff>
        </xdr:to>
        <xdr:sp macro="" textlink="">
          <xdr:nvSpPr>
            <xdr:cNvPr id="14337" name="btnPath"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3</xdr:row>
          <xdr:rowOff>28575</xdr:rowOff>
        </xdr:from>
        <xdr:to>
          <xdr:col>8</xdr:col>
          <xdr:colOff>952500</xdr:colOff>
          <xdr:row>4</xdr:row>
          <xdr:rowOff>95250</xdr:rowOff>
        </xdr:to>
        <xdr:sp macro="" textlink="">
          <xdr:nvSpPr>
            <xdr:cNvPr id="14338" name="btnCreate" hidden="1">
              <a:extLst>
                <a:ext uri="{63B3BB69-23CF-44E3-9099-C40C66FF867C}">
                  <a14:compatExt spid="_x0000_s14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15361" name="Drop Down 1" hidden="1">
              <a:extLst>
                <a:ext uri="{63B3BB69-23CF-44E3-9099-C40C66FF867C}">
                  <a14:compatExt spid="_x0000_s15361"/>
                </a:ext>
                <a:ext uri="{FF2B5EF4-FFF2-40B4-BE49-F238E27FC236}">
                  <a16:creationId xmlns="" xmlns:a16="http://schemas.microsoft.com/office/drawing/2014/main" id="{A8D0C545-4B3E-468D-81D4-92995BF1C28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15362" name="Button 2" hidden="1">
              <a:extLst>
                <a:ext uri="{63B3BB69-23CF-44E3-9099-C40C66FF867C}">
                  <a14:compatExt spid="_x0000_s15362"/>
                </a:ext>
                <a:ext uri="{FF2B5EF4-FFF2-40B4-BE49-F238E27FC236}">
                  <a16:creationId xmlns="" xmlns:a16="http://schemas.microsoft.com/office/drawing/2014/main" id="{03620D24-D2AF-4665-91A5-EB36757A5BB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15363" name="Button 3" hidden="1">
              <a:extLst>
                <a:ext uri="{63B3BB69-23CF-44E3-9099-C40C66FF867C}">
                  <a14:compatExt spid="_x0000_s15363"/>
                </a:ext>
                <a:ext uri="{FF2B5EF4-FFF2-40B4-BE49-F238E27FC236}">
                  <a16:creationId xmlns="" xmlns:a16="http://schemas.microsoft.com/office/drawing/2014/main" id="{A7526381-8823-4BB3-A36E-1D9A6255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15364" name="Button 4" hidden="1">
              <a:extLst>
                <a:ext uri="{63B3BB69-23CF-44E3-9099-C40C66FF867C}">
                  <a14:compatExt spid="_x0000_s15364"/>
                </a:ext>
                <a:ext uri="{FF2B5EF4-FFF2-40B4-BE49-F238E27FC236}">
                  <a16:creationId xmlns="" xmlns:a16="http://schemas.microsoft.com/office/drawing/2014/main" id="{2F100ABF-CA25-4A70-B013-C4C6E1997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15365" name="Button 5" hidden="1">
              <a:extLst>
                <a:ext uri="{63B3BB69-23CF-44E3-9099-C40C66FF867C}">
                  <a14:compatExt spid="_x0000_s15365"/>
                </a:ext>
                <a:ext uri="{FF2B5EF4-FFF2-40B4-BE49-F238E27FC236}">
                  <a16:creationId xmlns="" xmlns:a16="http://schemas.microsoft.com/office/drawing/2014/main" id="{6221F3F9-BF8F-4A02-AE37-DD62A29CD02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15366" name="Button 6" hidden="1">
              <a:extLst>
                <a:ext uri="{63B3BB69-23CF-44E3-9099-C40C66FF867C}">
                  <a14:compatExt spid="_x0000_s15366"/>
                </a:ext>
                <a:ext uri="{FF2B5EF4-FFF2-40B4-BE49-F238E27FC236}">
                  <a16:creationId xmlns="" xmlns:a16="http://schemas.microsoft.com/office/drawing/2014/main" id="{037A2B14-3909-4303-9345-D2AEFEFD16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comments" Target="../comments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4.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10" Type="http://schemas.openxmlformats.org/officeDocument/2006/relationships/comments" Target="../comments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comments" Target="../comments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27.xml"/><Relationship Id="rId5" Type="http://schemas.openxmlformats.org/officeDocument/2006/relationships/ctrlProp" Target="../ctrlProps/ctrlProp26.xml"/><Relationship Id="rId10" Type="http://schemas.openxmlformats.org/officeDocument/2006/relationships/comments" Target="../comments6.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7.vml"/><Relationship Id="rId7" Type="http://schemas.openxmlformats.org/officeDocument/2006/relationships/ctrlProp" Target="../ctrlProps/ctrlProp3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33.xml"/><Relationship Id="rId5" Type="http://schemas.openxmlformats.org/officeDocument/2006/relationships/ctrlProp" Target="../ctrlProps/ctrlProp32.xml"/><Relationship Id="rId10" Type="http://schemas.openxmlformats.org/officeDocument/2006/relationships/comments" Target="../comments7.xml"/><Relationship Id="rId4" Type="http://schemas.openxmlformats.org/officeDocument/2006/relationships/ctrlProp" Target="../ctrlProps/ctrlProp31.xml"/><Relationship Id="rId9"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vmlDrawing" Target="../drawings/vmlDrawing8.vml"/><Relationship Id="rId7" Type="http://schemas.openxmlformats.org/officeDocument/2006/relationships/ctrlProp" Target="../ctrlProps/ctrlProp40.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39.xml"/><Relationship Id="rId5" Type="http://schemas.openxmlformats.org/officeDocument/2006/relationships/ctrlProp" Target="../ctrlProps/ctrlProp38.xml"/><Relationship Id="rId10" Type="http://schemas.openxmlformats.org/officeDocument/2006/relationships/comments" Target="../comments8.xml"/><Relationship Id="rId4" Type="http://schemas.openxmlformats.org/officeDocument/2006/relationships/ctrlProp" Target="../ctrlProps/ctrlProp37.xml"/><Relationship Id="rId9" Type="http://schemas.openxmlformats.org/officeDocument/2006/relationships/ctrlProp" Target="../ctrlProps/ctrlProp4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vmlDrawing" Target="../drawings/vmlDrawing9.vml"/><Relationship Id="rId7" Type="http://schemas.openxmlformats.org/officeDocument/2006/relationships/ctrlProp" Target="../ctrlProps/ctrlProp46.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45.xml"/><Relationship Id="rId5" Type="http://schemas.openxmlformats.org/officeDocument/2006/relationships/ctrlProp" Target="../ctrlProps/ctrlProp44.xml"/><Relationship Id="rId10" Type="http://schemas.openxmlformats.org/officeDocument/2006/relationships/comments" Target="../comments9.xml"/><Relationship Id="rId4" Type="http://schemas.openxmlformats.org/officeDocument/2006/relationships/ctrlProp" Target="../ctrlProps/ctrlProp43.xml"/><Relationship Id="rId9" Type="http://schemas.openxmlformats.org/officeDocument/2006/relationships/ctrlProp" Target="../ctrlProps/ctrlProp4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vmlDrawing" Target="../drawings/vmlDrawing10.vml"/><Relationship Id="rId7" Type="http://schemas.openxmlformats.org/officeDocument/2006/relationships/ctrlProp" Target="../ctrlProps/ctrlProp52.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51.xml"/><Relationship Id="rId5" Type="http://schemas.openxmlformats.org/officeDocument/2006/relationships/ctrlProp" Target="../ctrlProps/ctrlProp50.xml"/><Relationship Id="rId10" Type="http://schemas.openxmlformats.org/officeDocument/2006/relationships/comments" Target="../comments10.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11.vml"/><Relationship Id="rId7" Type="http://schemas.openxmlformats.org/officeDocument/2006/relationships/ctrlProp" Target="../ctrlProps/ctrlProp58.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57.xml"/><Relationship Id="rId5" Type="http://schemas.openxmlformats.org/officeDocument/2006/relationships/ctrlProp" Target="../ctrlProps/ctrlProp56.xml"/><Relationship Id="rId10" Type="http://schemas.openxmlformats.org/officeDocument/2006/relationships/comments" Target="../comments1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65.xml"/><Relationship Id="rId3" Type="http://schemas.openxmlformats.org/officeDocument/2006/relationships/vmlDrawing" Target="../drawings/vmlDrawing12.vml"/><Relationship Id="rId7" Type="http://schemas.openxmlformats.org/officeDocument/2006/relationships/ctrlProp" Target="../ctrlProps/ctrlProp64.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63.xml"/><Relationship Id="rId5" Type="http://schemas.openxmlformats.org/officeDocument/2006/relationships/ctrlProp" Target="../ctrlProps/ctrlProp62.xml"/><Relationship Id="rId10" Type="http://schemas.openxmlformats.org/officeDocument/2006/relationships/comments" Target="../comments12.xml"/><Relationship Id="rId4" Type="http://schemas.openxmlformats.org/officeDocument/2006/relationships/ctrlProp" Target="../ctrlProps/ctrlProp61.xml"/><Relationship Id="rId9" Type="http://schemas.openxmlformats.org/officeDocument/2006/relationships/ctrlProp" Target="../ctrlProps/ctrlProp6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1.xml"/><Relationship Id="rId3" Type="http://schemas.openxmlformats.org/officeDocument/2006/relationships/vmlDrawing" Target="../drawings/vmlDrawing13.vml"/><Relationship Id="rId7" Type="http://schemas.openxmlformats.org/officeDocument/2006/relationships/ctrlProp" Target="../ctrlProps/ctrlProp70.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69.xml"/><Relationship Id="rId5" Type="http://schemas.openxmlformats.org/officeDocument/2006/relationships/ctrlProp" Target="../ctrlProps/ctrlProp68.xml"/><Relationship Id="rId10" Type="http://schemas.openxmlformats.org/officeDocument/2006/relationships/comments" Target="../comments13.xml"/><Relationship Id="rId4" Type="http://schemas.openxmlformats.org/officeDocument/2006/relationships/ctrlProp" Target="../ctrlProps/ctrlProp67.xml"/><Relationship Id="rId9" Type="http://schemas.openxmlformats.org/officeDocument/2006/relationships/ctrlProp" Target="../ctrlProps/ctrlProp7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vmlDrawing" Target="../drawings/vmlDrawing14.vml"/><Relationship Id="rId7" Type="http://schemas.openxmlformats.org/officeDocument/2006/relationships/ctrlProp" Target="../ctrlProps/ctrlProp76.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75.xml"/><Relationship Id="rId5" Type="http://schemas.openxmlformats.org/officeDocument/2006/relationships/ctrlProp" Target="../ctrlProps/ctrlProp74.xml"/><Relationship Id="rId10" Type="http://schemas.openxmlformats.org/officeDocument/2006/relationships/comments" Target="../comments14.xml"/><Relationship Id="rId4" Type="http://schemas.openxmlformats.org/officeDocument/2006/relationships/ctrlProp" Target="../ctrlProps/ctrlProp73.xml"/><Relationship Id="rId9" Type="http://schemas.openxmlformats.org/officeDocument/2006/relationships/ctrlProp" Target="../ctrlProps/ctrlProp7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3.xml"/><Relationship Id="rId3" Type="http://schemas.openxmlformats.org/officeDocument/2006/relationships/vmlDrawing" Target="../drawings/vmlDrawing15.vml"/><Relationship Id="rId7" Type="http://schemas.openxmlformats.org/officeDocument/2006/relationships/ctrlProp" Target="../ctrlProps/ctrlProp82.x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trlProp" Target="../ctrlProps/ctrlProp81.xml"/><Relationship Id="rId5" Type="http://schemas.openxmlformats.org/officeDocument/2006/relationships/ctrlProp" Target="../ctrlProps/ctrlProp80.xml"/><Relationship Id="rId10" Type="http://schemas.openxmlformats.org/officeDocument/2006/relationships/comments" Target="../comments15.xml"/><Relationship Id="rId4" Type="http://schemas.openxmlformats.org/officeDocument/2006/relationships/ctrlProp" Target="../ctrlProps/ctrlProp79.xml"/><Relationship Id="rId9" Type="http://schemas.openxmlformats.org/officeDocument/2006/relationships/ctrlProp" Target="../ctrlProps/ctrlProp84.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6.vml"/><Relationship Id="rId7" Type="http://schemas.openxmlformats.org/officeDocument/2006/relationships/ctrlProp" Target="../ctrlProps/ctrlProp88.x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trlProp" Target="../ctrlProps/ctrlProp87.xml"/><Relationship Id="rId5" Type="http://schemas.openxmlformats.org/officeDocument/2006/relationships/ctrlProp" Target="../ctrlProps/ctrlProp86.xml"/><Relationship Id="rId10" Type="http://schemas.openxmlformats.org/officeDocument/2006/relationships/comments" Target="../comments16.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vmlDrawing" Target="../drawings/vmlDrawing17.vml"/><Relationship Id="rId7" Type="http://schemas.openxmlformats.org/officeDocument/2006/relationships/ctrlProp" Target="../ctrlProps/ctrlProp94.x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trlProp" Target="../ctrlProps/ctrlProp93.xml"/><Relationship Id="rId5" Type="http://schemas.openxmlformats.org/officeDocument/2006/relationships/ctrlProp" Target="../ctrlProps/ctrlProp92.xml"/><Relationship Id="rId10" Type="http://schemas.openxmlformats.org/officeDocument/2006/relationships/comments" Target="../comments17.xml"/><Relationship Id="rId4" Type="http://schemas.openxmlformats.org/officeDocument/2006/relationships/ctrlProp" Target="../ctrlProps/ctrlProp91.xml"/><Relationship Id="rId9" Type="http://schemas.openxmlformats.org/officeDocument/2006/relationships/ctrlProp" Target="../ctrlProps/ctrlProp96.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01.xml"/><Relationship Id="rId3" Type="http://schemas.openxmlformats.org/officeDocument/2006/relationships/vmlDrawing" Target="../drawings/vmlDrawing18.vml"/><Relationship Id="rId7" Type="http://schemas.openxmlformats.org/officeDocument/2006/relationships/ctrlProp" Target="../ctrlProps/ctrlProp100.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trlProp" Target="../ctrlProps/ctrlProp99.xml"/><Relationship Id="rId5" Type="http://schemas.openxmlformats.org/officeDocument/2006/relationships/ctrlProp" Target="../ctrlProps/ctrlProp98.xml"/><Relationship Id="rId10" Type="http://schemas.openxmlformats.org/officeDocument/2006/relationships/comments" Target="../comments18.xml"/><Relationship Id="rId4" Type="http://schemas.openxmlformats.org/officeDocument/2006/relationships/ctrlProp" Target="../ctrlProps/ctrlProp97.xml"/><Relationship Id="rId9" Type="http://schemas.openxmlformats.org/officeDocument/2006/relationships/ctrlProp" Target="../ctrlProps/ctrlProp102.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vmlDrawing" Target="../drawings/vmlDrawing19.vml"/><Relationship Id="rId7" Type="http://schemas.openxmlformats.org/officeDocument/2006/relationships/ctrlProp" Target="../ctrlProps/ctrlProp106.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trlProp" Target="../ctrlProps/ctrlProp105.xml"/><Relationship Id="rId5" Type="http://schemas.openxmlformats.org/officeDocument/2006/relationships/ctrlProp" Target="../ctrlProps/ctrlProp104.xml"/><Relationship Id="rId10" Type="http://schemas.openxmlformats.org/officeDocument/2006/relationships/comments" Target="../comments19.xml"/><Relationship Id="rId4" Type="http://schemas.openxmlformats.org/officeDocument/2006/relationships/ctrlProp" Target="../ctrlProps/ctrlProp103.xml"/><Relationship Id="rId9" Type="http://schemas.openxmlformats.org/officeDocument/2006/relationships/ctrlProp" Target="../ctrlProps/ctrlProp108.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13.xml"/><Relationship Id="rId3" Type="http://schemas.openxmlformats.org/officeDocument/2006/relationships/vmlDrawing" Target="../drawings/vmlDrawing20.vml"/><Relationship Id="rId7" Type="http://schemas.openxmlformats.org/officeDocument/2006/relationships/ctrlProp" Target="../ctrlProps/ctrlProp112.x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trlProp" Target="../ctrlProps/ctrlProp111.xml"/><Relationship Id="rId5" Type="http://schemas.openxmlformats.org/officeDocument/2006/relationships/ctrlProp" Target="../ctrlProps/ctrlProp110.xml"/><Relationship Id="rId10" Type="http://schemas.openxmlformats.org/officeDocument/2006/relationships/comments" Target="../comments20.xml"/><Relationship Id="rId4" Type="http://schemas.openxmlformats.org/officeDocument/2006/relationships/ctrlProp" Target="../ctrlProps/ctrlProp109.xml"/><Relationship Id="rId9" Type="http://schemas.openxmlformats.org/officeDocument/2006/relationships/ctrlProp" Target="../ctrlProps/ctrlProp114.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19.xml"/><Relationship Id="rId3" Type="http://schemas.openxmlformats.org/officeDocument/2006/relationships/vmlDrawing" Target="../drawings/vmlDrawing21.vml"/><Relationship Id="rId7" Type="http://schemas.openxmlformats.org/officeDocument/2006/relationships/ctrlProp" Target="../ctrlProps/ctrlProp118.x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trlProp" Target="../ctrlProps/ctrlProp117.xml"/><Relationship Id="rId5" Type="http://schemas.openxmlformats.org/officeDocument/2006/relationships/ctrlProp" Target="../ctrlProps/ctrlProp116.xml"/><Relationship Id="rId10" Type="http://schemas.openxmlformats.org/officeDocument/2006/relationships/comments" Target="../comments21.xml"/><Relationship Id="rId4" Type="http://schemas.openxmlformats.org/officeDocument/2006/relationships/ctrlProp" Target="../ctrlProps/ctrlProp115.xml"/><Relationship Id="rId9" Type="http://schemas.openxmlformats.org/officeDocument/2006/relationships/ctrlProp" Target="../ctrlProps/ctrlProp120.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25.xml"/><Relationship Id="rId3" Type="http://schemas.openxmlformats.org/officeDocument/2006/relationships/vmlDrawing" Target="../drawings/vmlDrawing22.vml"/><Relationship Id="rId7" Type="http://schemas.openxmlformats.org/officeDocument/2006/relationships/ctrlProp" Target="../ctrlProps/ctrlProp124.x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trlProp" Target="../ctrlProps/ctrlProp123.xml"/><Relationship Id="rId5" Type="http://schemas.openxmlformats.org/officeDocument/2006/relationships/ctrlProp" Target="../ctrlProps/ctrlProp122.xml"/><Relationship Id="rId10" Type="http://schemas.openxmlformats.org/officeDocument/2006/relationships/comments" Target="../comments22.xml"/><Relationship Id="rId4" Type="http://schemas.openxmlformats.org/officeDocument/2006/relationships/ctrlProp" Target="../ctrlProps/ctrlProp121.xml"/><Relationship Id="rId9" Type="http://schemas.openxmlformats.org/officeDocument/2006/relationships/ctrlProp" Target="../ctrlProps/ctrlProp126.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31.xml"/><Relationship Id="rId3" Type="http://schemas.openxmlformats.org/officeDocument/2006/relationships/vmlDrawing" Target="../drawings/vmlDrawing23.vml"/><Relationship Id="rId7" Type="http://schemas.openxmlformats.org/officeDocument/2006/relationships/ctrlProp" Target="../ctrlProps/ctrlProp130.x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trlProp" Target="../ctrlProps/ctrlProp129.xml"/><Relationship Id="rId5" Type="http://schemas.openxmlformats.org/officeDocument/2006/relationships/ctrlProp" Target="../ctrlProps/ctrlProp128.xml"/><Relationship Id="rId10" Type="http://schemas.openxmlformats.org/officeDocument/2006/relationships/comments" Target="../comments23.xml"/><Relationship Id="rId4" Type="http://schemas.openxmlformats.org/officeDocument/2006/relationships/ctrlProp" Target="../ctrlProps/ctrlProp127.xml"/><Relationship Id="rId9" Type="http://schemas.openxmlformats.org/officeDocument/2006/relationships/ctrlProp" Target="../ctrlProps/ctrlProp132.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37.xml"/><Relationship Id="rId3" Type="http://schemas.openxmlformats.org/officeDocument/2006/relationships/vmlDrawing" Target="../drawings/vmlDrawing24.vml"/><Relationship Id="rId7" Type="http://schemas.openxmlformats.org/officeDocument/2006/relationships/ctrlProp" Target="../ctrlProps/ctrlProp136.x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trlProp" Target="../ctrlProps/ctrlProp135.xml"/><Relationship Id="rId5" Type="http://schemas.openxmlformats.org/officeDocument/2006/relationships/ctrlProp" Target="../ctrlProps/ctrlProp134.xml"/><Relationship Id="rId10" Type="http://schemas.openxmlformats.org/officeDocument/2006/relationships/comments" Target="../comments24.xml"/><Relationship Id="rId4" Type="http://schemas.openxmlformats.org/officeDocument/2006/relationships/ctrlProp" Target="../ctrlProps/ctrlProp133.xml"/><Relationship Id="rId9" Type="http://schemas.openxmlformats.org/officeDocument/2006/relationships/ctrlProp" Target="../ctrlProps/ctrlProp138.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43.xml"/><Relationship Id="rId3" Type="http://schemas.openxmlformats.org/officeDocument/2006/relationships/vmlDrawing" Target="../drawings/vmlDrawing25.vml"/><Relationship Id="rId7" Type="http://schemas.openxmlformats.org/officeDocument/2006/relationships/ctrlProp" Target="../ctrlProps/ctrlProp142.x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trlProp" Target="../ctrlProps/ctrlProp141.xml"/><Relationship Id="rId5" Type="http://schemas.openxmlformats.org/officeDocument/2006/relationships/ctrlProp" Target="../ctrlProps/ctrlProp140.xml"/><Relationship Id="rId10" Type="http://schemas.openxmlformats.org/officeDocument/2006/relationships/comments" Target="../comments25.xml"/><Relationship Id="rId4" Type="http://schemas.openxmlformats.org/officeDocument/2006/relationships/ctrlProp" Target="../ctrlProps/ctrlProp139.xml"/><Relationship Id="rId9" Type="http://schemas.openxmlformats.org/officeDocument/2006/relationships/ctrlProp" Target="../ctrlProps/ctrlProp14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49.xml"/><Relationship Id="rId3" Type="http://schemas.openxmlformats.org/officeDocument/2006/relationships/vmlDrawing" Target="../drawings/vmlDrawing26.vml"/><Relationship Id="rId7" Type="http://schemas.openxmlformats.org/officeDocument/2006/relationships/ctrlProp" Target="../ctrlProps/ctrlProp148.x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trlProp" Target="../ctrlProps/ctrlProp147.xml"/><Relationship Id="rId5" Type="http://schemas.openxmlformats.org/officeDocument/2006/relationships/ctrlProp" Target="../ctrlProps/ctrlProp146.xml"/><Relationship Id="rId10" Type="http://schemas.openxmlformats.org/officeDocument/2006/relationships/comments" Target="../comments26.xml"/><Relationship Id="rId4" Type="http://schemas.openxmlformats.org/officeDocument/2006/relationships/ctrlProp" Target="../ctrlProps/ctrlProp145.xml"/><Relationship Id="rId9" Type="http://schemas.openxmlformats.org/officeDocument/2006/relationships/ctrlProp" Target="../ctrlProps/ctrlProp15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55.xml"/><Relationship Id="rId3" Type="http://schemas.openxmlformats.org/officeDocument/2006/relationships/vmlDrawing" Target="../drawings/vmlDrawing27.vml"/><Relationship Id="rId7" Type="http://schemas.openxmlformats.org/officeDocument/2006/relationships/ctrlProp" Target="../ctrlProps/ctrlProp154.x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trlProp" Target="../ctrlProps/ctrlProp153.xml"/><Relationship Id="rId5" Type="http://schemas.openxmlformats.org/officeDocument/2006/relationships/ctrlProp" Target="../ctrlProps/ctrlProp152.xml"/><Relationship Id="rId10" Type="http://schemas.openxmlformats.org/officeDocument/2006/relationships/comments" Target="../comments27.xml"/><Relationship Id="rId4" Type="http://schemas.openxmlformats.org/officeDocument/2006/relationships/ctrlProp" Target="../ctrlProps/ctrlProp151.xml"/><Relationship Id="rId9" Type="http://schemas.openxmlformats.org/officeDocument/2006/relationships/ctrlProp" Target="../ctrlProps/ctrlProp156.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161.xml"/><Relationship Id="rId3" Type="http://schemas.openxmlformats.org/officeDocument/2006/relationships/vmlDrawing" Target="../drawings/vmlDrawing28.vml"/><Relationship Id="rId7" Type="http://schemas.openxmlformats.org/officeDocument/2006/relationships/ctrlProp" Target="../ctrlProps/ctrlProp160.x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trlProp" Target="../ctrlProps/ctrlProp159.xml"/><Relationship Id="rId5" Type="http://schemas.openxmlformats.org/officeDocument/2006/relationships/ctrlProp" Target="../ctrlProps/ctrlProp158.xml"/><Relationship Id="rId10" Type="http://schemas.openxmlformats.org/officeDocument/2006/relationships/comments" Target="../comments28.xml"/><Relationship Id="rId4" Type="http://schemas.openxmlformats.org/officeDocument/2006/relationships/ctrlProp" Target="../ctrlProps/ctrlProp157.xml"/><Relationship Id="rId9" Type="http://schemas.openxmlformats.org/officeDocument/2006/relationships/ctrlProp" Target="../ctrlProps/ctrlProp162.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67.xml"/><Relationship Id="rId3" Type="http://schemas.openxmlformats.org/officeDocument/2006/relationships/vmlDrawing" Target="../drawings/vmlDrawing29.vml"/><Relationship Id="rId7" Type="http://schemas.openxmlformats.org/officeDocument/2006/relationships/ctrlProp" Target="../ctrlProps/ctrlProp166.x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trlProp" Target="../ctrlProps/ctrlProp165.xml"/><Relationship Id="rId5" Type="http://schemas.openxmlformats.org/officeDocument/2006/relationships/ctrlProp" Target="../ctrlProps/ctrlProp164.xml"/><Relationship Id="rId10" Type="http://schemas.openxmlformats.org/officeDocument/2006/relationships/comments" Target="../comments29.xml"/><Relationship Id="rId4" Type="http://schemas.openxmlformats.org/officeDocument/2006/relationships/ctrlProp" Target="../ctrlProps/ctrlProp163.xml"/><Relationship Id="rId9" Type="http://schemas.openxmlformats.org/officeDocument/2006/relationships/ctrlProp" Target="../ctrlProps/ctrlProp168.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173.xml"/><Relationship Id="rId3" Type="http://schemas.openxmlformats.org/officeDocument/2006/relationships/vmlDrawing" Target="../drawings/vmlDrawing30.vml"/><Relationship Id="rId7" Type="http://schemas.openxmlformats.org/officeDocument/2006/relationships/ctrlProp" Target="../ctrlProps/ctrlProp172.x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trlProp" Target="../ctrlProps/ctrlProp171.xml"/><Relationship Id="rId5" Type="http://schemas.openxmlformats.org/officeDocument/2006/relationships/ctrlProp" Target="../ctrlProps/ctrlProp170.xml"/><Relationship Id="rId10" Type="http://schemas.openxmlformats.org/officeDocument/2006/relationships/comments" Target="../comments30.xml"/><Relationship Id="rId4" Type="http://schemas.openxmlformats.org/officeDocument/2006/relationships/ctrlProp" Target="../ctrlProps/ctrlProp169.xml"/><Relationship Id="rId9" Type="http://schemas.openxmlformats.org/officeDocument/2006/relationships/ctrlProp" Target="../ctrlProps/ctrlProp174.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179.xml"/><Relationship Id="rId3" Type="http://schemas.openxmlformats.org/officeDocument/2006/relationships/vmlDrawing" Target="../drawings/vmlDrawing31.vml"/><Relationship Id="rId7" Type="http://schemas.openxmlformats.org/officeDocument/2006/relationships/ctrlProp" Target="../ctrlProps/ctrlProp178.x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trlProp" Target="../ctrlProps/ctrlProp177.xml"/><Relationship Id="rId5" Type="http://schemas.openxmlformats.org/officeDocument/2006/relationships/ctrlProp" Target="../ctrlProps/ctrlProp176.xml"/><Relationship Id="rId10" Type="http://schemas.openxmlformats.org/officeDocument/2006/relationships/comments" Target="../comments31.xml"/><Relationship Id="rId4" Type="http://schemas.openxmlformats.org/officeDocument/2006/relationships/ctrlProp" Target="../ctrlProps/ctrlProp175.xml"/><Relationship Id="rId9" Type="http://schemas.openxmlformats.org/officeDocument/2006/relationships/ctrlProp" Target="../ctrlProps/ctrlProp180.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185.xml"/><Relationship Id="rId3" Type="http://schemas.openxmlformats.org/officeDocument/2006/relationships/vmlDrawing" Target="../drawings/vmlDrawing32.vml"/><Relationship Id="rId7" Type="http://schemas.openxmlformats.org/officeDocument/2006/relationships/ctrlProp" Target="../ctrlProps/ctrlProp184.x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trlProp" Target="../ctrlProps/ctrlProp183.xml"/><Relationship Id="rId5" Type="http://schemas.openxmlformats.org/officeDocument/2006/relationships/ctrlProp" Target="../ctrlProps/ctrlProp182.xml"/><Relationship Id="rId10" Type="http://schemas.openxmlformats.org/officeDocument/2006/relationships/comments" Target="../comments32.xml"/><Relationship Id="rId4" Type="http://schemas.openxmlformats.org/officeDocument/2006/relationships/ctrlProp" Target="../ctrlProps/ctrlProp181.xml"/><Relationship Id="rId9" Type="http://schemas.openxmlformats.org/officeDocument/2006/relationships/ctrlProp" Target="../ctrlProps/ctrlProp186.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191.xml"/><Relationship Id="rId3" Type="http://schemas.openxmlformats.org/officeDocument/2006/relationships/vmlDrawing" Target="../drawings/vmlDrawing33.vml"/><Relationship Id="rId7" Type="http://schemas.openxmlformats.org/officeDocument/2006/relationships/ctrlProp" Target="../ctrlProps/ctrlProp190.x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trlProp" Target="../ctrlProps/ctrlProp189.xml"/><Relationship Id="rId5" Type="http://schemas.openxmlformats.org/officeDocument/2006/relationships/ctrlProp" Target="../ctrlProps/ctrlProp188.xml"/><Relationship Id="rId10" Type="http://schemas.openxmlformats.org/officeDocument/2006/relationships/comments" Target="../comments33.xml"/><Relationship Id="rId4" Type="http://schemas.openxmlformats.org/officeDocument/2006/relationships/ctrlProp" Target="../ctrlProps/ctrlProp187.xml"/><Relationship Id="rId9" Type="http://schemas.openxmlformats.org/officeDocument/2006/relationships/ctrlProp" Target="../ctrlProps/ctrlProp192.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197.xml"/><Relationship Id="rId3" Type="http://schemas.openxmlformats.org/officeDocument/2006/relationships/vmlDrawing" Target="../drawings/vmlDrawing34.vml"/><Relationship Id="rId7" Type="http://schemas.openxmlformats.org/officeDocument/2006/relationships/ctrlProp" Target="../ctrlProps/ctrlProp196.x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trlProp" Target="../ctrlProps/ctrlProp195.xml"/><Relationship Id="rId5" Type="http://schemas.openxmlformats.org/officeDocument/2006/relationships/ctrlProp" Target="../ctrlProps/ctrlProp194.xml"/><Relationship Id="rId10" Type="http://schemas.openxmlformats.org/officeDocument/2006/relationships/comments" Target="../comments34.xml"/><Relationship Id="rId4" Type="http://schemas.openxmlformats.org/officeDocument/2006/relationships/ctrlProp" Target="../ctrlProps/ctrlProp193.xml"/><Relationship Id="rId9" Type="http://schemas.openxmlformats.org/officeDocument/2006/relationships/ctrlProp" Target="../ctrlProps/ctrlProp198.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203.xml"/><Relationship Id="rId3" Type="http://schemas.openxmlformats.org/officeDocument/2006/relationships/vmlDrawing" Target="../drawings/vmlDrawing35.vml"/><Relationship Id="rId7" Type="http://schemas.openxmlformats.org/officeDocument/2006/relationships/ctrlProp" Target="../ctrlProps/ctrlProp202.x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trlProp" Target="../ctrlProps/ctrlProp201.xml"/><Relationship Id="rId5" Type="http://schemas.openxmlformats.org/officeDocument/2006/relationships/ctrlProp" Target="../ctrlProps/ctrlProp200.xml"/><Relationship Id="rId10" Type="http://schemas.openxmlformats.org/officeDocument/2006/relationships/comments" Target="../comments35.xml"/><Relationship Id="rId4" Type="http://schemas.openxmlformats.org/officeDocument/2006/relationships/ctrlProp" Target="../ctrlProps/ctrlProp199.xml"/><Relationship Id="rId9" Type="http://schemas.openxmlformats.org/officeDocument/2006/relationships/ctrlProp" Target="../ctrlProps/ctrlProp204.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209.xml"/><Relationship Id="rId3" Type="http://schemas.openxmlformats.org/officeDocument/2006/relationships/vmlDrawing" Target="../drawings/vmlDrawing36.vml"/><Relationship Id="rId7" Type="http://schemas.openxmlformats.org/officeDocument/2006/relationships/ctrlProp" Target="../ctrlProps/ctrlProp208.x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trlProp" Target="../ctrlProps/ctrlProp207.xml"/><Relationship Id="rId5" Type="http://schemas.openxmlformats.org/officeDocument/2006/relationships/ctrlProp" Target="../ctrlProps/ctrlProp206.xml"/><Relationship Id="rId10" Type="http://schemas.openxmlformats.org/officeDocument/2006/relationships/comments" Target="../comments36.xml"/><Relationship Id="rId4" Type="http://schemas.openxmlformats.org/officeDocument/2006/relationships/ctrlProp" Target="../ctrlProps/ctrlProp205.xml"/><Relationship Id="rId9" Type="http://schemas.openxmlformats.org/officeDocument/2006/relationships/ctrlProp" Target="../ctrlProps/ctrlProp210.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215.xml"/><Relationship Id="rId3" Type="http://schemas.openxmlformats.org/officeDocument/2006/relationships/vmlDrawing" Target="../drawings/vmlDrawing37.vml"/><Relationship Id="rId7" Type="http://schemas.openxmlformats.org/officeDocument/2006/relationships/ctrlProp" Target="../ctrlProps/ctrlProp214.x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trlProp" Target="../ctrlProps/ctrlProp213.xml"/><Relationship Id="rId5" Type="http://schemas.openxmlformats.org/officeDocument/2006/relationships/ctrlProp" Target="../ctrlProps/ctrlProp212.xml"/><Relationship Id="rId10" Type="http://schemas.openxmlformats.org/officeDocument/2006/relationships/comments" Target="../comments37.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221.xml"/><Relationship Id="rId3" Type="http://schemas.openxmlformats.org/officeDocument/2006/relationships/vmlDrawing" Target="../drawings/vmlDrawing38.vml"/><Relationship Id="rId7" Type="http://schemas.openxmlformats.org/officeDocument/2006/relationships/ctrlProp" Target="../ctrlProps/ctrlProp220.x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trlProp" Target="../ctrlProps/ctrlProp219.xml"/><Relationship Id="rId5" Type="http://schemas.openxmlformats.org/officeDocument/2006/relationships/ctrlProp" Target="../ctrlProps/ctrlProp218.xml"/><Relationship Id="rId10" Type="http://schemas.openxmlformats.org/officeDocument/2006/relationships/comments" Target="../comments38.xml"/><Relationship Id="rId4" Type="http://schemas.openxmlformats.org/officeDocument/2006/relationships/ctrlProp" Target="../ctrlProps/ctrlProp217.xml"/><Relationship Id="rId9" Type="http://schemas.openxmlformats.org/officeDocument/2006/relationships/ctrlProp" Target="../ctrlProps/ctrlProp222.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27.xml"/><Relationship Id="rId3" Type="http://schemas.openxmlformats.org/officeDocument/2006/relationships/vmlDrawing" Target="../drawings/vmlDrawing39.vml"/><Relationship Id="rId7" Type="http://schemas.openxmlformats.org/officeDocument/2006/relationships/ctrlProp" Target="../ctrlProps/ctrlProp226.xml"/><Relationship Id="rId2" Type="http://schemas.openxmlformats.org/officeDocument/2006/relationships/drawing" Target="../drawings/drawing38.xml"/><Relationship Id="rId1" Type="http://schemas.openxmlformats.org/officeDocument/2006/relationships/printerSettings" Target="../printerSettings/printerSettings39.bin"/><Relationship Id="rId6" Type="http://schemas.openxmlformats.org/officeDocument/2006/relationships/ctrlProp" Target="../ctrlProps/ctrlProp225.xml"/><Relationship Id="rId5" Type="http://schemas.openxmlformats.org/officeDocument/2006/relationships/ctrlProp" Target="../ctrlProps/ctrlProp224.xml"/><Relationship Id="rId10" Type="http://schemas.openxmlformats.org/officeDocument/2006/relationships/comments" Target="../comments39.xml"/><Relationship Id="rId4" Type="http://schemas.openxmlformats.org/officeDocument/2006/relationships/ctrlProp" Target="../ctrlProps/ctrlProp223.xml"/><Relationship Id="rId9" Type="http://schemas.openxmlformats.org/officeDocument/2006/relationships/ctrlProp" Target="../ctrlProps/ctrlProp228.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233.xml"/><Relationship Id="rId3" Type="http://schemas.openxmlformats.org/officeDocument/2006/relationships/vmlDrawing" Target="../drawings/vmlDrawing40.vml"/><Relationship Id="rId7" Type="http://schemas.openxmlformats.org/officeDocument/2006/relationships/ctrlProp" Target="../ctrlProps/ctrlProp232.xml"/><Relationship Id="rId2" Type="http://schemas.openxmlformats.org/officeDocument/2006/relationships/drawing" Target="../drawings/drawing39.xml"/><Relationship Id="rId1" Type="http://schemas.openxmlformats.org/officeDocument/2006/relationships/printerSettings" Target="../printerSettings/printerSettings40.bin"/><Relationship Id="rId6" Type="http://schemas.openxmlformats.org/officeDocument/2006/relationships/ctrlProp" Target="../ctrlProps/ctrlProp231.xml"/><Relationship Id="rId5" Type="http://schemas.openxmlformats.org/officeDocument/2006/relationships/ctrlProp" Target="../ctrlProps/ctrlProp230.xml"/><Relationship Id="rId10" Type="http://schemas.openxmlformats.org/officeDocument/2006/relationships/comments" Target="../comments40.xml"/><Relationship Id="rId4" Type="http://schemas.openxmlformats.org/officeDocument/2006/relationships/ctrlProp" Target="../ctrlProps/ctrlProp229.xml"/><Relationship Id="rId9" Type="http://schemas.openxmlformats.org/officeDocument/2006/relationships/ctrlProp" Target="../ctrlProps/ctrlProp234.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239.xml"/><Relationship Id="rId3" Type="http://schemas.openxmlformats.org/officeDocument/2006/relationships/vmlDrawing" Target="../drawings/vmlDrawing41.vml"/><Relationship Id="rId7" Type="http://schemas.openxmlformats.org/officeDocument/2006/relationships/ctrlProp" Target="../ctrlProps/ctrlProp238.xml"/><Relationship Id="rId2" Type="http://schemas.openxmlformats.org/officeDocument/2006/relationships/drawing" Target="../drawings/drawing40.xml"/><Relationship Id="rId1" Type="http://schemas.openxmlformats.org/officeDocument/2006/relationships/printerSettings" Target="../printerSettings/printerSettings41.bin"/><Relationship Id="rId6" Type="http://schemas.openxmlformats.org/officeDocument/2006/relationships/ctrlProp" Target="../ctrlProps/ctrlProp237.xml"/><Relationship Id="rId5" Type="http://schemas.openxmlformats.org/officeDocument/2006/relationships/ctrlProp" Target="../ctrlProps/ctrlProp236.xml"/><Relationship Id="rId10" Type="http://schemas.openxmlformats.org/officeDocument/2006/relationships/comments" Target="../comments41.xml"/><Relationship Id="rId4" Type="http://schemas.openxmlformats.org/officeDocument/2006/relationships/ctrlProp" Target="../ctrlProps/ctrlProp235.xml"/><Relationship Id="rId9" Type="http://schemas.openxmlformats.org/officeDocument/2006/relationships/ctrlProp" Target="../ctrlProps/ctrlProp240.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245.xml"/><Relationship Id="rId3" Type="http://schemas.openxmlformats.org/officeDocument/2006/relationships/vmlDrawing" Target="../drawings/vmlDrawing42.vml"/><Relationship Id="rId7" Type="http://schemas.openxmlformats.org/officeDocument/2006/relationships/ctrlProp" Target="../ctrlProps/ctrlProp244.xml"/><Relationship Id="rId2" Type="http://schemas.openxmlformats.org/officeDocument/2006/relationships/drawing" Target="../drawings/drawing41.xml"/><Relationship Id="rId1" Type="http://schemas.openxmlformats.org/officeDocument/2006/relationships/printerSettings" Target="../printerSettings/printerSettings42.bin"/><Relationship Id="rId6" Type="http://schemas.openxmlformats.org/officeDocument/2006/relationships/ctrlProp" Target="../ctrlProps/ctrlProp243.xml"/><Relationship Id="rId5" Type="http://schemas.openxmlformats.org/officeDocument/2006/relationships/ctrlProp" Target="../ctrlProps/ctrlProp242.xml"/><Relationship Id="rId10" Type="http://schemas.openxmlformats.org/officeDocument/2006/relationships/comments" Target="../comments42.xml"/><Relationship Id="rId4" Type="http://schemas.openxmlformats.org/officeDocument/2006/relationships/ctrlProp" Target="../ctrlProps/ctrlProp241.xml"/><Relationship Id="rId9" Type="http://schemas.openxmlformats.org/officeDocument/2006/relationships/ctrlProp" Target="../ctrlProps/ctrlProp246.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251.xml"/><Relationship Id="rId3" Type="http://schemas.openxmlformats.org/officeDocument/2006/relationships/vmlDrawing" Target="../drawings/vmlDrawing43.vml"/><Relationship Id="rId7" Type="http://schemas.openxmlformats.org/officeDocument/2006/relationships/ctrlProp" Target="../ctrlProps/ctrlProp250.xml"/><Relationship Id="rId2" Type="http://schemas.openxmlformats.org/officeDocument/2006/relationships/drawing" Target="../drawings/drawing42.xml"/><Relationship Id="rId1" Type="http://schemas.openxmlformats.org/officeDocument/2006/relationships/printerSettings" Target="../printerSettings/printerSettings43.bin"/><Relationship Id="rId6" Type="http://schemas.openxmlformats.org/officeDocument/2006/relationships/ctrlProp" Target="../ctrlProps/ctrlProp249.xml"/><Relationship Id="rId5" Type="http://schemas.openxmlformats.org/officeDocument/2006/relationships/ctrlProp" Target="../ctrlProps/ctrlProp248.xml"/><Relationship Id="rId10" Type="http://schemas.openxmlformats.org/officeDocument/2006/relationships/comments" Target="../comments43.xml"/><Relationship Id="rId4" Type="http://schemas.openxmlformats.org/officeDocument/2006/relationships/ctrlProp" Target="../ctrlProps/ctrlProp247.xml"/><Relationship Id="rId9" Type="http://schemas.openxmlformats.org/officeDocument/2006/relationships/ctrlProp" Target="../ctrlProps/ctrlProp252.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257.xml"/><Relationship Id="rId3" Type="http://schemas.openxmlformats.org/officeDocument/2006/relationships/vmlDrawing" Target="../drawings/vmlDrawing44.vml"/><Relationship Id="rId7" Type="http://schemas.openxmlformats.org/officeDocument/2006/relationships/ctrlProp" Target="../ctrlProps/ctrlProp256.xml"/><Relationship Id="rId2" Type="http://schemas.openxmlformats.org/officeDocument/2006/relationships/drawing" Target="../drawings/drawing43.xml"/><Relationship Id="rId1" Type="http://schemas.openxmlformats.org/officeDocument/2006/relationships/printerSettings" Target="../printerSettings/printerSettings44.bin"/><Relationship Id="rId6" Type="http://schemas.openxmlformats.org/officeDocument/2006/relationships/ctrlProp" Target="../ctrlProps/ctrlProp255.xml"/><Relationship Id="rId5" Type="http://schemas.openxmlformats.org/officeDocument/2006/relationships/ctrlProp" Target="../ctrlProps/ctrlProp254.xml"/><Relationship Id="rId10" Type="http://schemas.openxmlformats.org/officeDocument/2006/relationships/comments" Target="../comments44.xml"/><Relationship Id="rId4" Type="http://schemas.openxmlformats.org/officeDocument/2006/relationships/ctrlProp" Target="../ctrlProps/ctrlProp253.xml"/><Relationship Id="rId9" Type="http://schemas.openxmlformats.org/officeDocument/2006/relationships/ctrlProp" Target="../ctrlProps/ctrlProp258.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263.xml"/><Relationship Id="rId3" Type="http://schemas.openxmlformats.org/officeDocument/2006/relationships/vmlDrawing" Target="../drawings/vmlDrawing45.vml"/><Relationship Id="rId7" Type="http://schemas.openxmlformats.org/officeDocument/2006/relationships/ctrlProp" Target="../ctrlProps/ctrlProp262.xml"/><Relationship Id="rId2" Type="http://schemas.openxmlformats.org/officeDocument/2006/relationships/drawing" Target="../drawings/drawing44.xml"/><Relationship Id="rId1" Type="http://schemas.openxmlformats.org/officeDocument/2006/relationships/printerSettings" Target="../printerSettings/printerSettings45.bin"/><Relationship Id="rId6" Type="http://schemas.openxmlformats.org/officeDocument/2006/relationships/ctrlProp" Target="../ctrlProps/ctrlProp261.xml"/><Relationship Id="rId5" Type="http://schemas.openxmlformats.org/officeDocument/2006/relationships/ctrlProp" Target="../ctrlProps/ctrlProp260.xml"/><Relationship Id="rId10" Type="http://schemas.openxmlformats.org/officeDocument/2006/relationships/comments" Target="../comments45.xml"/><Relationship Id="rId4" Type="http://schemas.openxmlformats.org/officeDocument/2006/relationships/ctrlProp" Target="../ctrlProps/ctrlProp259.xml"/><Relationship Id="rId9" Type="http://schemas.openxmlformats.org/officeDocument/2006/relationships/ctrlProp" Target="../ctrlProps/ctrlProp264.xml"/></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46.vml"/><Relationship Id="rId1" Type="http://schemas.openxmlformats.org/officeDocument/2006/relationships/drawing" Target="../drawings/drawing45.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269.xml"/><Relationship Id="rId3" Type="http://schemas.openxmlformats.org/officeDocument/2006/relationships/vmlDrawing" Target="../drawings/vmlDrawing47.vml"/><Relationship Id="rId7" Type="http://schemas.openxmlformats.org/officeDocument/2006/relationships/ctrlProp" Target="../ctrlProps/ctrlProp268.xml"/><Relationship Id="rId2" Type="http://schemas.openxmlformats.org/officeDocument/2006/relationships/drawing" Target="../drawings/drawing46.xml"/><Relationship Id="rId1" Type="http://schemas.openxmlformats.org/officeDocument/2006/relationships/printerSettings" Target="../printerSettings/printerSettings46.bin"/><Relationship Id="rId6" Type="http://schemas.openxmlformats.org/officeDocument/2006/relationships/ctrlProp" Target="../ctrlProps/ctrlProp267.xml"/><Relationship Id="rId5" Type="http://schemas.openxmlformats.org/officeDocument/2006/relationships/ctrlProp" Target="../ctrlProps/ctrlProp266.xml"/><Relationship Id="rId10" Type="http://schemas.openxmlformats.org/officeDocument/2006/relationships/comments" Target="../comments46.xml"/><Relationship Id="rId4" Type="http://schemas.openxmlformats.org/officeDocument/2006/relationships/ctrlProp" Target="../ctrlProps/ctrlProp265.xml"/><Relationship Id="rId9" Type="http://schemas.openxmlformats.org/officeDocument/2006/relationships/ctrlProp" Target="../ctrlProps/ctrlProp270.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8.v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M52"/>
  <sheetViews>
    <sheetView showGridLines="0" tabSelected="1" zoomScaleNormal="100" workbookViewId="0">
      <pane ySplit="9" topLeftCell="A10" activePane="bottomLeft" state="frozen"/>
      <selection activeCell="A14" sqref="A14"/>
      <selection pane="bottomLeft" activeCell="A10" sqref="A10"/>
    </sheetView>
  </sheetViews>
  <sheetFormatPr defaultColWidth="9" defaultRowHeight="12"/>
  <cols>
    <col min="1" max="1" width="5" style="4" customWidth="1"/>
    <col min="2" max="3" width="28.75" style="4" customWidth="1"/>
    <col min="4" max="4" width="13.75" style="4" customWidth="1"/>
    <col min="5" max="6" width="10" style="4" customWidth="1"/>
    <col min="7" max="7" width="10" style="16" customWidth="1"/>
    <col min="8" max="8" width="0.125" style="58" customWidth="1"/>
    <col min="9" max="9" width="35" style="4" customWidth="1"/>
    <col min="10" max="10" width="8.625" style="4" customWidth="1"/>
    <col min="11" max="11" width="10.125" style="4" customWidth="1"/>
    <col min="12" max="12" width="8.625" style="4" customWidth="1"/>
    <col min="13" max="13" width="43.375" style="4" customWidth="1"/>
    <col min="14" max="16384" width="9" style="4"/>
  </cols>
  <sheetData>
    <row r="1" spans="1:13" ht="17.25" customHeight="1" thickBot="1">
      <c r="A1" s="1"/>
      <c r="B1" s="1"/>
      <c r="C1" s="1"/>
      <c r="D1" s="2"/>
      <c r="E1" s="33" t="s">
        <v>0</v>
      </c>
      <c r="F1" s="34" t="s">
        <v>1</v>
      </c>
      <c r="G1" s="155" t="s">
        <v>2</v>
      </c>
      <c r="H1" s="154"/>
    </row>
    <row r="2" spans="1:13" ht="14.45" customHeight="1">
      <c r="A2" s="244" t="s">
        <v>101</v>
      </c>
      <c r="B2" s="244"/>
      <c r="C2" s="244"/>
      <c r="D2" s="245"/>
      <c r="E2" s="8"/>
      <c r="F2" s="166"/>
      <c r="G2" s="156"/>
      <c r="H2" s="52"/>
    </row>
    <row r="3" spans="1:13" ht="14.25" customHeight="1">
      <c r="A3" s="35"/>
      <c r="B3" s="5"/>
      <c r="C3" s="5"/>
      <c r="D3" s="9"/>
      <c r="E3" s="143"/>
      <c r="F3" s="167"/>
      <c r="G3" s="157"/>
      <c r="H3" s="52"/>
    </row>
    <row r="4" spans="1:13" ht="14.45" customHeight="1">
      <c r="A4" s="246" t="s">
        <v>3</v>
      </c>
      <c r="B4" s="246"/>
      <c r="C4" s="246"/>
      <c r="D4" s="247"/>
      <c r="E4" s="144"/>
      <c r="F4" s="167"/>
      <c r="G4" s="158"/>
      <c r="H4" s="52"/>
    </row>
    <row r="5" spans="1:13" ht="14.45" customHeight="1" thickBot="1">
      <c r="A5" s="11"/>
      <c r="B5" s="153"/>
      <c r="C5" s="153"/>
      <c r="D5" s="9"/>
      <c r="E5" s="14"/>
      <c r="F5" s="168"/>
      <c r="G5" s="159"/>
      <c r="H5" s="53"/>
    </row>
    <row r="6" spans="1:13" ht="14.45" customHeight="1">
      <c r="A6" s="160" t="s">
        <v>4</v>
      </c>
      <c r="B6" s="60"/>
      <c r="C6" s="240" t="s">
        <v>65</v>
      </c>
      <c r="D6" s="240"/>
      <c r="E6" s="240"/>
      <c r="F6" s="240"/>
      <c r="G6" s="241"/>
      <c r="H6" s="151"/>
      <c r="I6" s="151"/>
    </row>
    <row r="7" spans="1:13" ht="15.75" customHeight="1" thickBot="1">
      <c r="A7" s="161" t="s">
        <v>100</v>
      </c>
      <c r="B7" s="103"/>
      <c r="C7" s="242"/>
      <c r="D7" s="242"/>
      <c r="E7" s="242"/>
      <c r="F7" s="242"/>
      <c r="G7" s="243"/>
      <c r="H7" s="151"/>
      <c r="I7" s="151"/>
    </row>
    <row r="8" spans="1:13" ht="7.5" customHeight="1" thickBot="1">
      <c r="A8" s="151"/>
      <c r="B8" s="151"/>
      <c r="C8" s="151"/>
      <c r="D8" s="151"/>
      <c r="E8" s="151"/>
      <c r="F8" s="151"/>
      <c r="G8" s="151"/>
      <c r="H8" s="151"/>
      <c r="I8" s="151"/>
      <c r="J8" s="151"/>
      <c r="K8" s="151"/>
      <c r="L8" s="151"/>
      <c r="M8" s="151"/>
    </row>
    <row r="9" spans="1:13" ht="32.25" customHeight="1">
      <c r="A9" s="163" t="s">
        <v>102</v>
      </c>
      <c r="B9" s="101" t="s">
        <v>97</v>
      </c>
      <c r="C9" s="60" t="s">
        <v>98</v>
      </c>
      <c r="D9" s="60" t="s">
        <v>99</v>
      </c>
      <c r="E9" s="248" t="s">
        <v>103</v>
      </c>
      <c r="F9" s="249"/>
      <c r="G9" s="249"/>
      <c r="H9" s="249"/>
      <c r="I9" s="250"/>
    </row>
    <row r="10" spans="1:13" ht="15.75" customHeight="1">
      <c r="A10" s="162">
        <f>ROW()-9</f>
        <v>1</v>
      </c>
      <c r="B10" s="145" t="s">
        <v>184</v>
      </c>
      <c r="C10" s="150" t="s">
        <v>185</v>
      </c>
      <c r="D10" s="169" t="s">
        <v>186</v>
      </c>
      <c r="E10" s="237" t="s">
        <v>187</v>
      </c>
      <c r="F10" s="238"/>
      <c r="G10" s="238"/>
      <c r="H10" s="238"/>
      <c r="I10" s="239"/>
    </row>
    <row r="11" spans="1:13" ht="15">
      <c r="A11" s="162">
        <f>ROW()-9</f>
        <v>2</v>
      </c>
      <c r="B11" s="145"/>
      <c r="C11" s="150" t="s">
        <v>259</v>
      </c>
      <c r="D11" s="169" t="s">
        <v>186</v>
      </c>
      <c r="E11" s="237" t="s">
        <v>260</v>
      </c>
      <c r="F11" s="238"/>
      <c r="G11" s="238"/>
      <c r="H11" s="238"/>
      <c r="I11" s="239"/>
    </row>
    <row r="12" spans="1:13" ht="15">
      <c r="A12" s="162">
        <f>ROW()-9</f>
        <v>3</v>
      </c>
      <c r="B12" s="145"/>
      <c r="C12" s="150" t="s">
        <v>280</v>
      </c>
      <c r="D12" s="169" t="s">
        <v>186</v>
      </c>
      <c r="E12" s="237" t="s">
        <v>281</v>
      </c>
      <c r="F12" s="238"/>
      <c r="G12" s="238"/>
      <c r="H12" s="238"/>
      <c r="I12" s="239"/>
    </row>
    <row r="13" spans="1:13" ht="15">
      <c r="A13" s="162">
        <f>ROW()-9</f>
        <v>4</v>
      </c>
      <c r="B13" s="145"/>
      <c r="C13" s="150" t="s">
        <v>294</v>
      </c>
      <c r="D13" s="169" t="s">
        <v>186</v>
      </c>
      <c r="E13" s="237" t="s">
        <v>295</v>
      </c>
      <c r="F13" s="238"/>
      <c r="G13" s="238"/>
      <c r="H13" s="238"/>
      <c r="I13" s="239"/>
    </row>
    <row r="14" spans="1:13" ht="15">
      <c r="A14" s="162">
        <f>ROW()-9</f>
        <v>5</v>
      </c>
      <c r="B14" s="145"/>
      <c r="C14" s="150" t="s">
        <v>314</v>
      </c>
      <c r="D14" s="169" t="s">
        <v>186</v>
      </c>
      <c r="E14" s="237" t="s">
        <v>315</v>
      </c>
      <c r="F14" s="238"/>
      <c r="G14" s="238"/>
      <c r="H14" s="238"/>
      <c r="I14" s="239"/>
    </row>
    <row r="15" spans="1:13" ht="15">
      <c r="A15" s="162">
        <f>ROW()-9</f>
        <v>6</v>
      </c>
      <c r="B15" s="145"/>
      <c r="C15" s="150" t="s">
        <v>322</v>
      </c>
      <c r="D15" s="169" t="s">
        <v>323</v>
      </c>
      <c r="E15" s="237" t="s">
        <v>324</v>
      </c>
      <c r="F15" s="238"/>
      <c r="G15" s="238"/>
      <c r="H15" s="238"/>
      <c r="I15" s="239"/>
    </row>
    <row r="16" spans="1:13" ht="15">
      <c r="A16" s="162">
        <f>ROW()-9</f>
        <v>7</v>
      </c>
      <c r="B16" s="145"/>
      <c r="C16" s="150" t="s">
        <v>349</v>
      </c>
      <c r="D16" s="169" t="s">
        <v>323</v>
      </c>
      <c r="E16" s="237" t="s">
        <v>350</v>
      </c>
      <c r="F16" s="238"/>
      <c r="G16" s="238"/>
      <c r="H16" s="238"/>
      <c r="I16" s="239"/>
    </row>
    <row r="17" spans="1:9" ht="15">
      <c r="A17" s="162">
        <f>ROW()-9</f>
        <v>8</v>
      </c>
      <c r="B17" s="145"/>
      <c r="C17" s="150" t="s">
        <v>360</v>
      </c>
      <c r="D17" s="169" t="s">
        <v>323</v>
      </c>
      <c r="E17" s="237" t="s">
        <v>361</v>
      </c>
      <c r="F17" s="238"/>
      <c r="G17" s="238"/>
      <c r="H17" s="238"/>
      <c r="I17" s="239"/>
    </row>
    <row r="18" spans="1:9" ht="15">
      <c r="A18" s="162">
        <f>ROW()-9</f>
        <v>9</v>
      </c>
      <c r="B18" s="145"/>
      <c r="C18" s="150" t="s">
        <v>368</v>
      </c>
      <c r="D18" s="169" t="s">
        <v>323</v>
      </c>
      <c r="E18" s="237" t="s">
        <v>369</v>
      </c>
      <c r="F18" s="238"/>
      <c r="G18" s="238"/>
      <c r="H18" s="238"/>
      <c r="I18" s="239"/>
    </row>
    <row r="19" spans="1:9" ht="15">
      <c r="A19" s="162">
        <f>ROW()-9</f>
        <v>10</v>
      </c>
      <c r="B19" s="145"/>
      <c r="C19" s="150" t="s">
        <v>388</v>
      </c>
      <c r="D19" s="169" t="s">
        <v>323</v>
      </c>
      <c r="E19" s="237" t="s">
        <v>389</v>
      </c>
      <c r="F19" s="238"/>
      <c r="G19" s="238"/>
      <c r="H19" s="238"/>
      <c r="I19" s="239"/>
    </row>
    <row r="20" spans="1:9" ht="15">
      <c r="A20" s="162">
        <f>ROW()-9</f>
        <v>11</v>
      </c>
      <c r="B20" s="145"/>
      <c r="C20" s="150" t="s">
        <v>392</v>
      </c>
      <c r="D20" s="169" t="s">
        <v>393</v>
      </c>
      <c r="E20" s="237" t="s">
        <v>394</v>
      </c>
      <c r="F20" s="238"/>
      <c r="G20" s="238"/>
      <c r="H20" s="238"/>
      <c r="I20" s="239"/>
    </row>
    <row r="21" spans="1:9" ht="15">
      <c r="A21" s="162">
        <f>ROW()-9</f>
        <v>12</v>
      </c>
      <c r="B21" s="145"/>
      <c r="C21" s="150" t="s">
        <v>405</v>
      </c>
      <c r="D21" s="169" t="s">
        <v>393</v>
      </c>
      <c r="E21" s="237" t="s">
        <v>406</v>
      </c>
      <c r="F21" s="238"/>
      <c r="G21" s="238"/>
      <c r="H21" s="238"/>
      <c r="I21" s="239"/>
    </row>
    <row r="22" spans="1:9" ht="15">
      <c r="A22" s="162">
        <f>ROW()-9</f>
        <v>13</v>
      </c>
      <c r="B22" s="145"/>
      <c r="C22" s="150" t="s">
        <v>414</v>
      </c>
      <c r="D22" s="169" t="s">
        <v>415</v>
      </c>
      <c r="E22" s="237" t="s">
        <v>416</v>
      </c>
      <c r="F22" s="238"/>
      <c r="G22" s="238"/>
      <c r="H22" s="238"/>
      <c r="I22" s="239"/>
    </row>
    <row r="23" spans="1:9" ht="15">
      <c r="A23" s="162">
        <f>ROW()-9</f>
        <v>14</v>
      </c>
      <c r="B23" s="145"/>
      <c r="C23" s="150" t="s">
        <v>427</v>
      </c>
      <c r="D23" s="169" t="s">
        <v>415</v>
      </c>
      <c r="E23" s="237" t="s">
        <v>428</v>
      </c>
      <c r="F23" s="238"/>
      <c r="G23" s="238"/>
      <c r="H23" s="238"/>
      <c r="I23" s="239"/>
    </row>
    <row r="24" spans="1:9" ht="15">
      <c r="A24" s="162">
        <f>ROW()-9</f>
        <v>15</v>
      </c>
      <c r="B24" s="145"/>
      <c r="C24" s="150" t="s">
        <v>438</v>
      </c>
      <c r="D24" s="169" t="s">
        <v>439</v>
      </c>
      <c r="E24" s="237" t="s">
        <v>440</v>
      </c>
      <c r="F24" s="238"/>
      <c r="G24" s="238"/>
      <c r="H24" s="238"/>
      <c r="I24" s="239"/>
    </row>
    <row r="25" spans="1:9" ht="15">
      <c r="A25" s="162">
        <f>ROW()-9</f>
        <v>16</v>
      </c>
      <c r="B25" s="145"/>
      <c r="C25" s="150" t="s">
        <v>448</v>
      </c>
      <c r="D25" s="169" t="s">
        <v>439</v>
      </c>
      <c r="E25" s="237" t="s">
        <v>449</v>
      </c>
      <c r="F25" s="238"/>
      <c r="G25" s="238"/>
      <c r="H25" s="238"/>
      <c r="I25" s="239"/>
    </row>
    <row r="26" spans="1:9" ht="15">
      <c r="A26" s="162">
        <f>ROW()-9</f>
        <v>17</v>
      </c>
      <c r="B26" s="145" t="s">
        <v>466</v>
      </c>
      <c r="C26" s="150" t="s">
        <v>467</v>
      </c>
      <c r="D26" s="169" t="s">
        <v>468</v>
      </c>
      <c r="E26" s="237" t="s">
        <v>469</v>
      </c>
      <c r="F26" s="238"/>
      <c r="G26" s="238"/>
      <c r="H26" s="238"/>
      <c r="I26" s="239"/>
    </row>
    <row r="27" spans="1:9" ht="15">
      <c r="A27" s="162">
        <f>ROW()-9</f>
        <v>18</v>
      </c>
      <c r="B27" s="145" t="s">
        <v>477</v>
      </c>
      <c r="C27" s="150" t="s">
        <v>478</v>
      </c>
      <c r="D27" s="169" t="s">
        <v>468</v>
      </c>
      <c r="E27" s="237" t="s">
        <v>479</v>
      </c>
      <c r="F27" s="238"/>
      <c r="G27" s="238"/>
      <c r="H27" s="238"/>
      <c r="I27" s="239"/>
    </row>
    <row r="28" spans="1:9" ht="15">
      <c r="A28" s="162">
        <f>ROW()-9</f>
        <v>19</v>
      </c>
      <c r="B28" s="145" t="s">
        <v>488</v>
      </c>
      <c r="C28" s="150" t="s">
        <v>489</v>
      </c>
      <c r="D28" s="169" t="s">
        <v>468</v>
      </c>
      <c r="E28" s="237" t="s">
        <v>490</v>
      </c>
      <c r="F28" s="238"/>
      <c r="G28" s="238"/>
      <c r="H28" s="238"/>
      <c r="I28" s="239"/>
    </row>
    <row r="29" spans="1:9" ht="15">
      <c r="A29" s="162">
        <f>ROW()-9</f>
        <v>20</v>
      </c>
      <c r="B29" s="145"/>
      <c r="C29" s="150" t="s">
        <v>492</v>
      </c>
      <c r="D29" s="169" t="s">
        <v>493</v>
      </c>
      <c r="E29" s="237" t="s">
        <v>494</v>
      </c>
      <c r="F29" s="238"/>
      <c r="G29" s="238"/>
      <c r="H29" s="238"/>
      <c r="I29" s="239"/>
    </row>
    <row r="30" spans="1:9" ht="15">
      <c r="A30" s="162">
        <f>ROW()-9</f>
        <v>21</v>
      </c>
      <c r="B30" s="145"/>
      <c r="C30" s="150" t="s">
        <v>558</v>
      </c>
      <c r="D30" s="169" t="s">
        <v>493</v>
      </c>
      <c r="E30" s="237" t="s">
        <v>559</v>
      </c>
      <c r="F30" s="238"/>
      <c r="G30" s="238"/>
      <c r="H30" s="238"/>
      <c r="I30" s="239"/>
    </row>
    <row r="31" spans="1:9" ht="15">
      <c r="A31" s="162">
        <f>ROW()-9</f>
        <v>22</v>
      </c>
      <c r="B31" s="145"/>
      <c r="C31" s="150" t="s">
        <v>572</v>
      </c>
      <c r="D31" s="169" t="s">
        <v>493</v>
      </c>
      <c r="E31" s="237" t="s">
        <v>573</v>
      </c>
      <c r="F31" s="238"/>
      <c r="G31" s="238"/>
      <c r="H31" s="238"/>
      <c r="I31" s="239"/>
    </row>
    <row r="32" spans="1:9" ht="15">
      <c r="A32" s="162">
        <f>ROW()-9</f>
        <v>23</v>
      </c>
      <c r="B32" s="145"/>
      <c r="C32" s="150" t="s">
        <v>577</v>
      </c>
      <c r="D32" s="169" t="s">
        <v>493</v>
      </c>
      <c r="E32" s="237" t="s">
        <v>578</v>
      </c>
      <c r="F32" s="238"/>
      <c r="G32" s="238"/>
      <c r="H32" s="238"/>
      <c r="I32" s="239"/>
    </row>
    <row r="33" spans="1:9" ht="15">
      <c r="A33" s="162">
        <f>ROW()-9</f>
        <v>24</v>
      </c>
      <c r="B33" s="145"/>
      <c r="C33" s="150" t="s">
        <v>582</v>
      </c>
      <c r="D33" s="169" t="s">
        <v>493</v>
      </c>
      <c r="E33" s="237" t="s">
        <v>583</v>
      </c>
      <c r="F33" s="238"/>
      <c r="G33" s="238"/>
      <c r="H33" s="238"/>
      <c r="I33" s="239"/>
    </row>
    <row r="34" spans="1:9" ht="15">
      <c r="A34" s="162">
        <f>ROW()-9</f>
        <v>25</v>
      </c>
      <c r="B34" s="145"/>
      <c r="C34" s="150" t="s">
        <v>588</v>
      </c>
      <c r="D34" s="169" t="s">
        <v>493</v>
      </c>
      <c r="E34" s="237" t="s">
        <v>589</v>
      </c>
      <c r="F34" s="238"/>
      <c r="G34" s="238"/>
      <c r="H34" s="238"/>
      <c r="I34" s="239"/>
    </row>
    <row r="35" spans="1:9" ht="15">
      <c r="A35" s="162">
        <f>ROW()-9</f>
        <v>26</v>
      </c>
      <c r="B35" s="145"/>
      <c r="C35" s="150" t="s">
        <v>595</v>
      </c>
      <c r="D35" s="169" t="s">
        <v>493</v>
      </c>
      <c r="E35" s="237" t="s">
        <v>596</v>
      </c>
      <c r="F35" s="238"/>
      <c r="G35" s="238"/>
      <c r="H35" s="238"/>
      <c r="I35" s="239"/>
    </row>
    <row r="36" spans="1:9" ht="15">
      <c r="A36" s="162">
        <f>ROW()-9</f>
        <v>27</v>
      </c>
      <c r="B36" s="145"/>
      <c r="C36" s="150" t="s">
        <v>601</v>
      </c>
      <c r="D36" s="169" t="s">
        <v>493</v>
      </c>
      <c r="E36" s="237" t="s">
        <v>602</v>
      </c>
      <c r="F36" s="238"/>
      <c r="G36" s="238"/>
      <c r="H36" s="238"/>
      <c r="I36" s="239"/>
    </row>
    <row r="37" spans="1:9" ht="15">
      <c r="A37" s="162">
        <f>ROW()-9</f>
        <v>28</v>
      </c>
      <c r="B37" s="145"/>
      <c r="C37" s="150" t="s">
        <v>608</v>
      </c>
      <c r="D37" s="169" t="s">
        <v>493</v>
      </c>
      <c r="E37" s="237" t="s">
        <v>609</v>
      </c>
      <c r="F37" s="238"/>
      <c r="G37" s="238"/>
      <c r="H37" s="238"/>
      <c r="I37" s="239"/>
    </row>
    <row r="38" spans="1:9" ht="15">
      <c r="A38" s="162">
        <f>ROW()-9</f>
        <v>29</v>
      </c>
      <c r="B38" s="145"/>
      <c r="C38" s="150" t="s">
        <v>616</v>
      </c>
      <c r="D38" s="169" t="s">
        <v>493</v>
      </c>
      <c r="E38" s="237" t="s">
        <v>617</v>
      </c>
      <c r="F38" s="238"/>
      <c r="G38" s="238"/>
      <c r="H38" s="238"/>
      <c r="I38" s="239"/>
    </row>
    <row r="39" spans="1:9" ht="15">
      <c r="A39" s="162">
        <f>ROW()-9</f>
        <v>30</v>
      </c>
      <c r="B39" s="145"/>
      <c r="C39" s="150" t="s">
        <v>633</v>
      </c>
      <c r="D39" s="169" t="s">
        <v>493</v>
      </c>
      <c r="E39" s="237" t="s">
        <v>634</v>
      </c>
      <c r="F39" s="238"/>
      <c r="G39" s="238"/>
      <c r="H39" s="238"/>
      <c r="I39" s="239"/>
    </row>
    <row r="40" spans="1:9" ht="15">
      <c r="A40" s="162">
        <f>ROW()-9</f>
        <v>31</v>
      </c>
      <c r="B40" s="145"/>
      <c r="C40" s="150" t="s">
        <v>644</v>
      </c>
      <c r="D40" s="169" t="s">
        <v>493</v>
      </c>
      <c r="E40" s="237" t="s">
        <v>645</v>
      </c>
      <c r="F40" s="238"/>
      <c r="G40" s="238"/>
      <c r="H40" s="238"/>
      <c r="I40" s="239"/>
    </row>
    <row r="41" spans="1:9" ht="15">
      <c r="A41" s="162">
        <f>ROW()-9</f>
        <v>32</v>
      </c>
      <c r="B41" s="145"/>
      <c r="C41" s="150" t="s">
        <v>648</v>
      </c>
      <c r="D41" s="169" t="s">
        <v>493</v>
      </c>
      <c r="E41" s="237" t="s">
        <v>649</v>
      </c>
      <c r="F41" s="238"/>
      <c r="G41" s="238"/>
      <c r="H41" s="238"/>
      <c r="I41" s="239"/>
    </row>
    <row r="42" spans="1:9" ht="15">
      <c r="A42" s="162">
        <f>ROW()-9</f>
        <v>33</v>
      </c>
      <c r="B42" s="145"/>
      <c r="C42" s="150" t="s">
        <v>660</v>
      </c>
      <c r="D42" s="169" t="s">
        <v>493</v>
      </c>
      <c r="E42" s="237" t="s">
        <v>661</v>
      </c>
      <c r="F42" s="238"/>
      <c r="G42" s="238"/>
      <c r="H42" s="238"/>
      <c r="I42" s="239"/>
    </row>
    <row r="43" spans="1:9" ht="15">
      <c r="A43" s="162">
        <f>ROW()-9</f>
        <v>34</v>
      </c>
      <c r="B43" s="145"/>
      <c r="C43" s="150" t="s">
        <v>671</v>
      </c>
      <c r="D43" s="169" t="s">
        <v>493</v>
      </c>
      <c r="E43" s="237" t="s">
        <v>672</v>
      </c>
      <c r="F43" s="238"/>
      <c r="G43" s="238"/>
      <c r="H43" s="238"/>
      <c r="I43" s="239"/>
    </row>
    <row r="44" spans="1:9" ht="15">
      <c r="A44" s="162">
        <f>ROW()-9</f>
        <v>35</v>
      </c>
      <c r="B44" s="145"/>
      <c r="C44" s="150" t="s">
        <v>675</v>
      </c>
      <c r="D44" s="169" t="s">
        <v>493</v>
      </c>
      <c r="E44" s="237" t="s">
        <v>676</v>
      </c>
      <c r="F44" s="238"/>
      <c r="G44" s="238"/>
      <c r="H44" s="238"/>
      <c r="I44" s="239"/>
    </row>
    <row r="45" spans="1:9" ht="15">
      <c r="A45" s="162">
        <f>ROW()-9</f>
        <v>36</v>
      </c>
      <c r="B45" s="145"/>
      <c r="C45" s="150" t="s">
        <v>681</v>
      </c>
      <c r="D45" s="169" t="s">
        <v>493</v>
      </c>
      <c r="E45" s="237" t="s">
        <v>682</v>
      </c>
      <c r="F45" s="238"/>
      <c r="G45" s="238"/>
      <c r="H45" s="238"/>
      <c r="I45" s="239"/>
    </row>
    <row r="46" spans="1:9" ht="15">
      <c r="A46" s="162">
        <f>ROW()-9</f>
        <v>37</v>
      </c>
      <c r="B46" s="145"/>
      <c r="C46" s="150" t="s">
        <v>689</v>
      </c>
      <c r="D46" s="169" t="s">
        <v>493</v>
      </c>
      <c r="E46" s="237" t="s">
        <v>690</v>
      </c>
      <c r="F46" s="238"/>
      <c r="G46" s="238"/>
      <c r="H46" s="238"/>
      <c r="I46" s="239"/>
    </row>
    <row r="47" spans="1:9" ht="15">
      <c r="A47" s="162">
        <f>ROW()-9</f>
        <v>38</v>
      </c>
      <c r="B47" s="145"/>
      <c r="C47" s="150" t="s">
        <v>694</v>
      </c>
      <c r="D47" s="169" t="s">
        <v>493</v>
      </c>
      <c r="E47" s="237" t="s">
        <v>695</v>
      </c>
      <c r="F47" s="238"/>
      <c r="G47" s="238"/>
      <c r="H47" s="238"/>
      <c r="I47" s="239"/>
    </row>
    <row r="48" spans="1:9" ht="15">
      <c r="A48" s="162">
        <f>ROW()-9</f>
        <v>39</v>
      </c>
      <c r="B48" s="145"/>
      <c r="C48" s="150" t="s">
        <v>698</v>
      </c>
      <c r="D48" s="169" t="s">
        <v>493</v>
      </c>
      <c r="E48" s="237" t="s">
        <v>699</v>
      </c>
      <c r="F48" s="238"/>
      <c r="G48" s="238"/>
      <c r="H48" s="238"/>
      <c r="I48" s="239"/>
    </row>
    <row r="49" spans="1:9" ht="15">
      <c r="A49" s="162">
        <f>ROW()-9</f>
        <v>40</v>
      </c>
      <c r="B49" s="145"/>
      <c r="C49" s="150" t="s">
        <v>702</v>
      </c>
      <c r="D49" s="169" t="s">
        <v>493</v>
      </c>
      <c r="E49" s="237" t="s">
        <v>703</v>
      </c>
      <c r="F49" s="238"/>
      <c r="G49" s="238"/>
      <c r="H49" s="238"/>
      <c r="I49" s="239"/>
    </row>
    <row r="50" spans="1:9" ht="15">
      <c r="A50" s="162">
        <f>ROW()-9</f>
        <v>41</v>
      </c>
      <c r="B50" s="145"/>
      <c r="C50" s="150" t="s">
        <v>709</v>
      </c>
      <c r="D50" s="169" t="s">
        <v>493</v>
      </c>
      <c r="E50" s="237" t="s">
        <v>710</v>
      </c>
      <c r="F50" s="238"/>
      <c r="G50" s="238"/>
      <c r="H50" s="238"/>
      <c r="I50" s="239"/>
    </row>
    <row r="51" spans="1:9" ht="15">
      <c r="A51" s="162">
        <f>ROW()-9</f>
        <v>42</v>
      </c>
      <c r="B51" s="145"/>
      <c r="C51" s="150" t="s">
        <v>715</v>
      </c>
      <c r="D51" s="169" t="s">
        <v>493</v>
      </c>
      <c r="E51" s="237" t="s">
        <v>716</v>
      </c>
      <c r="F51" s="238"/>
      <c r="G51" s="238"/>
      <c r="H51" s="238"/>
      <c r="I51" s="239"/>
    </row>
    <row r="52" spans="1:9" ht="15">
      <c r="A52" s="162">
        <f>ROW()-9</f>
        <v>43</v>
      </c>
      <c r="B52" s="145"/>
      <c r="C52" s="150" t="s">
        <v>723</v>
      </c>
      <c r="D52" s="169" t="s">
        <v>493</v>
      </c>
      <c r="E52" s="237" t="s">
        <v>724</v>
      </c>
      <c r="F52" s="238"/>
      <c r="G52" s="238"/>
      <c r="H52" s="238"/>
      <c r="I52" s="239"/>
    </row>
  </sheetData>
  <mergeCells count="48">
    <mergeCell ref="E47:I47"/>
    <mergeCell ref="E48:I48"/>
    <mergeCell ref="E49:I49"/>
    <mergeCell ref="E50:I50"/>
    <mergeCell ref="E51:I51"/>
    <mergeCell ref="E52:I52"/>
    <mergeCell ref="E41:I41"/>
    <mergeCell ref="E42:I42"/>
    <mergeCell ref="E43:I43"/>
    <mergeCell ref="E44:I44"/>
    <mergeCell ref="E45:I45"/>
    <mergeCell ref="E46:I46"/>
    <mergeCell ref="E35:I35"/>
    <mergeCell ref="E36:I36"/>
    <mergeCell ref="E37:I37"/>
    <mergeCell ref="E38:I38"/>
    <mergeCell ref="E39:I39"/>
    <mergeCell ref="E40:I40"/>
    <mergeCell ref="E29:I29"/>
    <mergeCell ref="E30:I30"/>
    <mergeCell ref="E31:I31"/>
    <mergeCell ref="E32:I32"/>
    <mergeCell ref="E33:I33"/>
    <mergeCell ref="E34:I34"/>
    <mergeCell ref="E23:I23"/>
    <mergeCell ref="E24:I24"/>
    <mergeCell ref="E25:I25"/>
    <mergeCell ref="E26:I26"/>
    <mergeCell ref="E27:I27"/>
    <mergeCell ref="E28:I28"/>
    <mergeCell ref="E17:I17"/>
    <mergeCell ref="E18:I18"/>
    <mergeCell ref="E19:I19"/>
    <mergeCell ref="E20:I20"/>
    <mergeCell ref="E21:I21"/>
    <mergeCell ref="E22:I22"/>
    <mergeCell ref="E11:I11"/>
    <mergeCell ref="E12:I12"/>
    <mergeCell ref="E13:I13"/>
    <mergeCell ref="E14:I14"/>
    <mergeCell ref="E15:I15"/>
    <mergeCell ref="E16:I16"/>
    <mergeCell ref="A2:D2"/>
    <mergeCell ref="A4:D4"/>
    <mergeCell ref="C6:G6"/>
    <mergeCell ref="C7:G7"/>
    <mergeCell ref="E9:I9"/>
    <mergeCell ref="E10:I10"/>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U50"/>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187</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105</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t="s">
        <v>183</v>
      </c>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SUM(N14:N51)</f>
        <v>184</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t="s">
        <v>189</v>
      </c>
      <c r="G14" s="17"/>
      <c r="H14" s="18" t="s">
        <v>49</v>
      </c>
      <c r="I14" s="59"/>
      <c r="J14" s="19">
        <v>1</v>
      </c>
      <c r="K14" s="19"/>
      <c r="L14" s="50" t="s">
        <v>190</v>
      </c>
      <c r="M14" s="73" t="s">
        <v>21</v>
      </c>
      <c r="N14" s="54">
        <f t="shared" ref="N14:N49" si="0">IF(H14="NUMBER",IF(J14&gt;0,INT((J14+1)/2+0.9),0),IF(H14="DATE",7,IF(OR(H14="LONG",H14="LONG RAW"),100000,J14)))</f>
        <v>1</v>
      </c>
      <c r="O14" s="170"/>
      <c r="P14" s="191" t="s">
        <v>175</v>
      </c>
      <c r="Q14" s="192"/>
      <c r="R14" s="192"/>
      <c r="S14" s="192"/>
      <c r="T14" s="192"/>
      <c r="U14" s="193"/>
    </row>
    <row r="15" spans="1:21" ht="15.75" customHeight="1">
      <c r="A15" s="85" t="s">
        <v>191</v>
      </c>
      <c r="B15" s="37">
        <f>ROW()-13</f>
        <v>2</v>
      </c>
      <c r="C15" s="145" t="s">
        <v>192</v>
      </c>
      <c r="D15" s="80"/>
      <c r="E15" s="81"/>
      <c r="F15" s="146" t="s">
        <v>193</v>
      </c>
      <c r="G15" s="17"/>
      <c r="H15" s="18" t="s">
        <v>49</v>
      </c>
      <c r="I15" s="59"/>
      <c r="J15" s="19">
        <v>7</v>
      </c>
      <c r="K15" s="19"/>
      <c r="L15" s="50" t="s">
        <v>190</v>
      </c>
      <c r="M15" s="73" t="s">
        <v>21</v>
      </c>
      <c r="N15" s="54">
        <f t="shared" si="0"/>
        <v>7</v>
      </c>
      <c r="O15" s="170"/>
      <c r="P15" s="191"/>
      <c r="Q15" s="192"/>
      <c r="R15" s="192"/>
      <c r="S15" s="192"/>
      <c r="T15" s="192"/>
      <c r="U15" s="193"/>
    </row>
    <row r="16" spans="1:21" ht="15.75" customHeight="1">
      <c r="A16" s="85"/>
      <c r="B16" s="37">
        <f>ROW()-13</f>
        <v>3</v>
      </c>
      <c r="C16" s="145" t="s">
        <v>194</v>
      </c>
      <c r="D16" s="80"/>
      <c r="E16" s="81"/>
      <c r="F16" s="146" t="s">
        <v>195</v>
      </c>
      <c r="G16" s="17"/>
      <c r="H16" s="18" t="s">
        <v>49</v>
      </c>
      <c r="I16" s="59"/>
      <c r="J16" s="19">
        <v>2</v>
      </c>
      <c r="K16" s="19"/>
      <c r="L16" s="50"/>
      <c r="M16" s="73" t="s">
        <v>21</v>
      </c>
      <c r="N16" s="54">
        <f t="shared" si="0"/>
        <v>2</v>
      </c>
      <c r="O16" s="170"/>
      <c r="P16" s="191" t="s">
        <v>155</v>
      </c>
      <c r="Q16" s="192"/>
      <c r="R16" s="192"/>
      <c r="S16" s="192"/>
      <c r="T16" s="192"/>
      <c r="U16" s="193"/>
    </row>
    <row r="17" spans="1:21" ht="15.75" customHeight="1">
      <c r="A17" s="85"/>
      <c r="B17" s="37">
        <f>ROW()-13</f>
        <v>4</v>
      </c>
      <c r="C17" s="145" t="s">
        <v>196</v>
      </c>
      <c r="D17" s="80"/>
      <c r="E17" s="81"/>
      <c r="F17" s="146" t="s">
        <v>197</v>
      </c>
      <c r="G17" s="17"/>
      <c r="H17" s="18" t="s">
        <v>49</v>
      </c>
      <c r="I17" s="59"/>
      <c r="J17" s="19">
        <v>12</v>
      </c>
      <c r="K17" s="19"/>
      <c r="L17" s="50"/>
      <c r="M17" s="73" t="s">
        <v>21</v>
      </c>
      <c r="N17" s="54">
        <f t="shared" si="0"/>
        <v>12</v>
      </c>
      <c r="O17" s="170"/>
      <c r="P17" s="191"/>
      <c r="Q17" s="192"/>
      <c r="R17" s="192"/>
      <c r="S17" s="192"/>
      <c r="T17" s="192"/>
      <c r="U17" s="193"/>
    </row>
    <row r="18" spans="1:21" ht="15.75" customHeight="1">
      <c r="A18" s="85"/>
      <c r="B18" s="37">
        <f>ROW()-13</f>
        <v>5</v>
      </c>
      <c r="C18" s="145" t="s">
        <v>198</v>
      </c>
      <c r="D18" s="80"/>
      <c r="E18" s="81"/>
      <c r="F18" s="146" t="s">
        <v>199</v>
      </c>
      <c r="G18" s="17"/>
      <c r="H18" s="18" t="s">
        <v>51</v>
      </c>
      <c r="I18" s="59"/>
      <c r="J18" s="19">
        <v>25</v>
      </c>
      <c r="K18" s="19"/>
      <c r="L18" s="50" t="s">
        <v>190</v>
      </c>
      <c r="M18" s="73" t="s">
        <v>21</v>
      </c>
      <c r="N18" s="54">
        <f t="shared" si="0"/>
        <v>25</v>
      </c>
      <c r="O18" s="170"/>
      <c r="P18" s="191"/>
      <c r="Q18" s="192"/>
      <c r="R18" s="192"/>
      <c r="S18" s="192"/>
      <c r="T18" s="192"/>
      <c r="U18" s="193"/>
    </row>
    <row r="19" spans="1:21" ht="15.75" customHeight="1">
      <c r="A19" s="85"/>
      <c r="B19" s="37">
        <f>ROW()-13</f>
        <v>6</v>
      </c>
      <c r="C19" s="145" t="s">
        <v>200</v>
      </c>
      <c r="D19" s="80"/>
      <c r="E19" s="81"/>
      <c r="F19" s="146" t="s">
        <v>201</v>
      </c>
      <c r="G19" s="17"/>
      <c r="H19" s="18" t="s">
        <v>51</v>
      </c>
      <c r="I19" s="59"/>
      <c r="J19" s="19">
        <v>4</v>
      </c>
      <c r="K19" s="19"/>
      <c r="L19" s="50" t="s">
        <v>190</v>
      </c>
      <c r="M19" s="73" t="s">
        <v>21</v>
      </c>
      <c r="N19" s="54">
        <f t="shared" si="0"/>
        <v>4</v>
      </c>
      <c r="O19" s="170"/>
      <c r="P19" s="191" t="s">
        <v>202</v>
      </c>
      <c r="Q19" s="192"/>
      <c r="R19" s="192"/>
      <c r="S19" s="192"/>
      <c r="T19" s="192"/>
      <c r="U19" s="193"/>
    </row>
    <row r="20" spans="1:21" ht="74.45" customHeight="1">
      <c r="A20" s="85"/>
      <c r="B20" s="37">
        <f>ROW()-13</f>
        <v>7</v>
      </c>
      <c r="C20" s="145" t="s">
        <v>203</v>
      </c>
      <c r="D20" s="80"/>
      <c r="E20" s="81"/>
      <c r="F20" s="146" t="s">
        <v>204</v>
      </c>
      <c r="G20" s="17"/>
      <c r="H20" s="18" t="s">
        <v>49</v>
      </c>
      <c r="I20" s="59"/>
      <c r="J20" s="19">
        <v>1</v>
      </c>
      <c r="K20" s="19"/>
      <c r="L20" s="50" t="s">
        <v>190</v>
      </c>
      <c r="M20" s="73" t="s">
        <v>21</v>
      </c>
      <c r="N20" s="54">
        <f t="shared" si="0"/>
        <v>1</v>
      </c>
      <c r="O20" s="170"/>
      <c r="P20" s="251" t="s">
        <v>205</v>
      </c>
      <c r="Q20" s="192"/>
      <c r="R20" s="192"/>
      <c r="S20" s="192"/>
      <c r="T20" s="192"/>
      <c r="U20" s="193"/>
    </row>
    <row r="21" spans="1:21" ht="15.75" customHeight="1">
      <c r="A21" s="85"/>
      <c r="B21" s="37">
        <f>ROW()-13</f>
        <v>8</v>
      </c>
      <c r="C21" s="145" t="s">
        <v>206</v>
      </c>
      <c r="D21" s="80"/>
      <c r="E21" s="81"/>
      <c r="F21" s="146" t="s">
        <v>207</v>
      </c>
      <c r="G21" s="17"/>
      <c r="H21" s="18" t="s">
        <v>208</v>
      </c>
      <c r="I21" s="59"/>
      <c r="J21" s="19"/>
      <c r="K21" s="19"/>
      <c r="L21" s="50"/>
      <c r="M21" s="73" t="s">
        <v>21</v>
      </c>
      <c r="N21" s="54">
        <f t="shared" si="0"/>
        <v>0</v>
      </c>
      <c r="O21" s="170"/>
      <c r="P21" s="191"/>
      <c r="Q21" s="192"/>
      <c r="R21" s="192"/>
      <c r="S21" s="192"/>
      <c r="T21" s="192"/>
      <c r="U21" s="193"/>
    </row>
    <row r="22" spans="1:21" ht="27.6" customHeight="1">
      <c r="A22" s="85"/>
      <c r="B22" s="37">
        <f>ROW()-13</f>
        <v>9</v>
      </c>
      <c r="C22" s="145" t="s">
        <v>209</v>
      </c>
      <c r="D22" s="80"/>
      <c r="E22" s="81"/>
      <c r="F22" s="146" t="s">
        <v>210</v>
      </c>
      <c r="G22" s="17"/>
      <c r="H22" s="18" t="s">
        <v>49</v>
      </c>
      <c r="I22" s="59"/>
      <c r="J22" s="19">
        <v>4</v>
      </c>
      <c r="K22" s="19"/>
      <c r="L22" s="50"/>
      <c r="M22" s="73" t="s">
        <v>21</v>
      </c>
      <c r="N22" s="54">
        <f t="shared" si="0"/>
        <v>4</v>
      </c>
      <c r="O22" s="170"/>
      <c r="P22" s="251" t="s">
        <v>211</v>
      </c>
      <c r="Q22" s="192"/>
      <c r="R22" s="192"/>
      <c r="S22" s="192"/>
      <c r="T22" s="192"/>
      <c r="U22" s="193"/>
    </row>
    <row r="23" spans="1:21" ht="15.75" customHeight="1">
      <c r="A23" s="85"/>
      <c r="B23" s="37">
        <f>ROW()-13</f>
        <v>10</v>
      </c>
      <c r="C23" s="145" t="s">
        <v>212</v>
      </c>
      <c r="D23" s="80"/>
      <c r="E23" s="81"/>
      <c r="F23" s="146" t="s">
        <v>213</v>
      </c>
      <c r="G23" s="17"/>
      <c r="H23" s="18" t="s">
        <v>49</v>
      </c>
      <c r="I23" s="59"/>
      <c r="J23" s="19">
        <v>1</v>
      </c>
      <c r="K23" s="19"/>
      <c r="L23" s="50"/>
      <c r="M23" s="73" t="s">
        <v>21</v>
      </c>
      <c r="N23" s="54">
        <f t="shared" si="0"/>
        <v>1</v>
      </c>
      <c r="O23" s="170"/>
      <c r="P23" s="191" t="s">
        <v>202</v>
      </c>
      <c r="Q23" s="192"/>
      <c r="R23" s="192"/>
      <c r="S23" s="192"/>
      <c r="T23" s="192"/>
      <c r="U23" s="193"/>
    </row>
    <row r="24" spans="1:21" ht="15.75" customHeight="1">
      <c r="A24" s="85"/>
      <c r="B24" s="37">
        <f>ROW()-13</f>
        <v>11</v>
      </c>
      <c r="C24" s="145" t="s">
        <v>214</v>
      </c>
      <c r="D24" s="80"/>
      <c r="E24" s="81"/>
      <c r="F24" s="146" t="s">
        <v>215</v>
      </c>
      <c r="G24" s="17"/>
      <c r="H24" s="18" t="s">
        <v>24</v>
      </c>
      <c r="I24" s="59"/>
      <c r="J24" s="19"/>
      <c r="K24" s="19"/>
      <c r="L24" s="50" t="s">
        <v>190</v>
      </c>
      <c r="M24" s="73" t="s">
        <v>21</v>
      </c>
      <c r="N24" s="54">
        <f t="shared" si="0"/>
        <v>7</v>
      </c>
      <c r="O24" s="170"/>
      <c r="P24" s="191"/>
      <c r="Q24" s="192"/>
      <c r="R24" s="192"/>
      <c r="S24" s="192"/>
      <c r="T24" s="192"/>
      <c r="U24" s="193"/>
    </row>
    <row r="25" spans="1:21" ht="39.200000000000003" customHeight="1">
      <c r="A25" s="85"/>
      <c r="B25" s="37">
        <f>ROW()-13</f>
        <v>12</v>
      </c>
      <c r="C25" s="145" t="s">
        <v>216</v>
      </c>
      <c r="D25" s="80"/>
      <c r="E25" s="81"/>
      <c r="F25" s="146" t="s">
        <v>217</v>
      </c>
      <c r="G25" s="17"/>
      <c r="H25" s="18" t="s">
        <v>49</v>
      </c>
      <c r="I25" s="59"/>
      <c r="J25" s="19">
        <v>1</v>
      </c>
      <c r="K25" s="19"/>
      <c r="L25" s="50" t="s">
        <v>190</v>
      </c>
      <c r="M25" s="73" t="s">
        <v>21</v>
      </c>
      <c r="N25" s="54">
        <f t="shared" si="0"/>
        <v>1</v>
      </c>
      <c r="O25" s="170"/>
      <c r="P25" s="251" t="s">
        <v>218</v>
      </c>
      <c r="Q25" s="192"/>
      <c r="R25" s="192"/>
      <c r="S25" s="192"/>
      <c r="T25" s="192"/>
      <c r="U25" s="193"/>
    </row>
    <row r="26" spans="1:21" ht="15.75" customHeight="1">
      <c r="A26" s="85"/>
      <c r="B26" s="37">
        <f>ROW()-13</f>
        <v>13</v>
      </c>
      <c r="C26" s="145" t="s">
        <v>219</v>
      </c>
      <c r="D26" s="80"/>
      <c r="E26" s="81"/>
      <c r="F26" s="146" t="s">
        <v>220</v>
      </c>
      <c r="G26" s="17"/>
      <c r="H26" s="18" t="s">
        <v>208</v>
      </c>
      <c r="I26" s="59"/>
      <c r="J26" s="19">
        <v>4</v>
      </c>
      <c r="K26" s="19"/>
      <c r="L26" s="50" t="s">
        <v>190</v>
      </c>
      <c r="M26" s="73" t="s">
        <v>21</v>
      </c>
      <c r="N26" s="54">
        <f t="shared" si="0"/>
        <v>4</v>
      </c>
      <c r="O26" s="170"/>
      <c r="P26" s="191"/>
      <c r="Q26" s="192"/>
      <c r="R26" s="192"/>
      <c r="S26" s="192"/>
      <c r="T26" s="192"/>
      <c r="U26" s="193"/>
    </row>
    <row r="27" spans="1:21" ht="39.200000000000003" customHeight="1">
      <c r="A27" s="85"/>
      <c r="B27" s="37">
        <f>ROW()-13</f>
        <v>14</v>
      </c>
      <c r="C27" s="145" t="s">
        <v>221</v>
      </c>
      <c r="D27" s="80"/>
      <c r="E27" s="81"/>
      <c r="F27" s="146" t="s">
        <v>222</v>
      </c>
      <c r="G27" s="17"/>
      <c r="H27" s="18" t="s">
        <v>49</v>
      </c>
      <c r="I27" s="59"/>
      <c r="J27" s="19">
        <v>1</v>
      </c>
      <c r="K27" s="19"/>
      <c r="L27" s="50" t="s">
        <v>190</v>
      </c>
      <c r="M27" s="73" t="s">
        <v>21</v>
      </c>
      <c r="N27" s="54">
        <f t="shared" si="0"/>
        <v>1</v>
      </c>
      <c r="O27" s="170"/>
      <c r="P27" s="251" t="s">
        <v>223</v>
      </c>
      <c r="Q27" s="192"/>
      <c r="R27" s="192"/>
      <c r="S27" s="192"/>
      <c r="T27" s="192"/>
      <c r="U27" s="193"/>
    </row>
    <row r="28" spans="1:21" ht="27.6" customHeight="1">
      <c r="A28" s="85"/>
      <c r="B28" s="37">
        <f>ROW()-13</f>
        <v>15</v>
      </c>
      <c r="C28" s="145" t="s">
        <v>224</v>
      </c>
      <c r="D28" s="80"/>
      <c r="E28" s="81"/>
      <c r="F28" s="146" t="s">
        <v>225</v>
      </c>
      <c r="G28" s="17"/>
      <c r="H28" s="18" t="s">
        <v>49</v>
      </c>
      <c r="I28" s="59"/>
      <c r="J28" s="19">
        <v>1</v>
      </c>
      <c r="K28" s="19"/>
      <c r="L28" s="50" t="s">
        <v>190</v>
      </c>
      <c r="M28" s="73" t="s">
        <v>21</v>
      </c>
      <c r="N28" s="54">
        <f t="shared" si="0"/>
        <v>1</v>
      </c>
      <c r="O28" s="170"/>
      <c r="P28" s="251" t="s">
        <v>226</v>
      </c>
      <c r="Q28" s="192"/>
      <c r="R28" s="192"/>
      <c r="S28" s="192"/>
      <c r="T28" s="192"/>
      <c r="U28" s="193"/>
    </row>
    <row r="29" spans="1:21" ht="39.200000000000003" customHeight="1">
      <c r="A29" s="85"/>
      <c r="B29" s="37">
        <f>ROW()-13</f>
        <v>16</v>
      </c>
      <c r="C29" s="145" t="s">
        <v>227</v>
      </c>
      <c r="D29" s="80"/>
      <c r="E29" s="81"/>
      <c r="F29" s="146" t="s">
        <v>228</v>
      </c>
      <c r="G29" s="17"/>
      <c r="H29" s="18" t="s">
        <v>49</v>
      </c>
      <c r="I29" s="59"/>
      <c r="J29" s="19">
        <v>1</v>
      </c>
      <c r="K29" s="19"/>
      <c r="L29" s="50"/>
      <c r="M29" s="73" t="s">
        <v>21</v>
      </c>
      <c r="N29" s="54">
        <f t="shared" si="0"/>
        <v>1</v>
      </c>
      <c r="O29" s="170"/>
      <c r="P29" s="251" t="s">
        <v>229</v>
      </c>
      <c r="Q29" s="192"/>
      <c r="R29" s="192"/>
      <c r="S29" s="192"/>
      <c r="T29" s="192"/>
      <c r="U29" s="193"/>
    </row>
    <row r="30" spans="1:21" ht="74.45" customHeight="1">
      <c r="A30" s="85"/>
      <c r="B30" s="37">
        <f>ROW()-13</f>
        <v>17</v>
      </c>
      <c r="C30" s="145" t="s">
        <v>230</v>
      </c>
      <c r="D30" s="80"/>
      <c r="E30" s="81"/>
      <c r="F30" s="146" t="s">
        <v>231</v>
      </c>
      <c r="G30" s="17"/>
      <c r="H30" s="18" t="s">
        <v>49</v>
      </c>
      <c r="I30" s="59"/>
      <c r="J30" s="19">
        <v>1</v>
      </c>
      <c r="K30" s="19"/>
      <c r="L30" s="50"/>
      <c r="M30" s="73" t="s">
        <v>21</v>
      </c>
      <c r="N30" s="54">
        <f t="shared" si="0"/>
        <v>1</v>
      </c>
      <c r="O30" s="170"/>
      <c r="P30" s="251" t="s">
        <v>232</v>
      </c>
      <c r="Q30" s="192"/>
      <c r="R30" s="192"/>
      <c r="S30" s="192"/>
      <c r="T30" s="192"/>
      <c r="U30" s="193"/>
    </row>
    <row r="31" spans="1:21" ht="27.6" customHeight="1">
      <c r="A31" s="85"/>
      <c r="B31" s="37">
        <f>ROW()-13</f>
        <v>18</v>
      </c>
      <c r="C31" s="145" t="s">
        <v>233</v>
      </c>
      <c r="D31" s="80"/>
      <c r="E31" s="81"/>
      <c r="F31" s="146" t="s">
        <v>234</v>
      </c>
      <c r="G31" s="17"/>
      <c r="H31" s="18" t="s">
        <v>49</v>
      </c>
      <c r="I31" s="59"/>
      <c r="J31" s="19">
        <v>1</v>
      </c>
      <c r="K31" s="19"/>
      <c r="L31" s="50"/>
      <c r="M31" s="73" t="s">
        <v>21</v>
      </c>
      <c r="N31" s="54">
        <f t="shared" si="0"/>
        <v>1</v>
      </c>
      <c r="O31" s="170"/>
      <c r="P31" s="251" t="s">
        <v>235</v>
      </c>
      <c r="Q31" s="192"/>
      <c r="R31" s="192"/>
      <c r="S31" s="192"/>
      <c r="T31" s="192"/>
      <c r="U31" s="193"/>
    </row>
    <row r="32" spans="1:21" ht="15.75" customHeight="1">
      <c r="A32" s="85"/>
      <c r="B32" s="37">
        <f>ROW()-13</f>
        <v>19</v>
      </c>
      <c r="C32" s="145" t="s">
        <v>236</v>
      </c>
      <c r="D32" s="80"/>
      <c r="E32" s="81"/>
      <c r="F32" s="146" t="s">
        <v>237</v>
      </c>
      <c r="G32" s="17"/>
      <c r="H32" s="18" t="s">
        <v>51</v>
      </c>
      <c r="I32" s="59"/>
      <c r="J32" s="19">
        <v>3</v>
      </c>
      <c r="K32" s="19"/>
      <c r="L32" s="50"/>
      <c r="M32" s="73" t="s">
        <v>21</v>
      </c>
      <c r="N32" s="54">
        <f t="shared" si="0"/>
        <v>3</v>
      </c>
      <c r="O32" s="170"/>
      <c r="P32" s="191" t="s">
        <v>202</v>
      </c>
      <c r="Q32" s="192"/>
      <c r="R32" s="192"/>
      <c r="S32" s="192"/>
      <c r="T32" s="192"/>
      <c r="U32" s="193"/>
    </row>
    <row r="33" spans="1:21" ht="15.75" customHeight="1">
      <c r="A33" s="85"/>
      <c r="B33" s="37">
        <f>ROW()-13</f>
        <v>20</v>
      </c>
      <c r="C33" s="145" t="s">
        <v>238</v>
      </c>
      <c r="D33" s="80"/>
      <c r="E33" s="81"/>
      <c r="F33" s="146" t="s">
        <v>239</v>
      </c>
      <c r="G33" s="17"/>
      <c r="H33" s="18" t="s">
        <v>51</v>
      </c>
      <c r="I33" s="59"/>
      <c r="J33" s="19">
        <v>3</v>
      </c>
      <c r="K33" s="19"/>
      <c r="L33" s="50"/>
      <c r="M33" s="73" t="s">
        <v>21</v>
      </c>
      <c r="N33" s="54">
        <f t="shared" si="0"/>
        <v>3</v>
      </c>
      <c r="O33" s="170"/>
      <c r="P33" s="191"/>
      <c r="Q33" s="192"/>
      <c r="R33" s="192"/>
      <c r="S33" s="192"/>
      <c r="T33" s="192"/>
      <c r="U33" s="193"/>
    </row>
    <row r="34" spans="1:21" ht="15.75" customHeight="1">
      <c r="A34" s="85"/>
      <c r="B34" s="37">
        <f>ROW()-13</f>
        <v>21</v>
      </c>
      <c r="C34" s="145" t="s">
        <v>240</v>
      </c>
      <c r="D34" s="80"/>
      <c r="E34" s="81"/>
      <c r="F34" s="146" t="s">
        <v>241</v>
      </c>
      <c r="G34" s="17"/>
      <c r="H34" s="18" t="s">
        <v>49</v>
      </c>
      <c r="I34" s="59"/>
      <c r="J34" s="19">
        <v>4</v>
      </c>
      <c r="K34" s="19"/>
      <c r="L34" s="50"/>
      <c r="M34" s="73" t="s">
        <v>21</v>
      </c>
      <c r="N34" s="54">
        <f t="shared" si="0"/>
        <v>4</v>
      </c>
      <c r="O34" s="170"/>
      <c r="P34" s="191"/>
      <c r="Q34" s="192"/>
      <c r="R34" s="192"/>
      <c r="S34" s="192"/>
      <c r="T34" s="192"/>
      <c r="U34" s="193"/>
    </row>
    <row r="35" spans="1:21" ht="15.75" customHeight="1">
      <c r="A35" s="85"/>
      <c r="B35" s="37">
        <f>ROW()-13</f>
        <v>22</v>
      </c>
      <c r="C35" s="145" t="s">
        <v>242</v>
      </c>
      <c r="D35" s="80"/>
      <c r="E35" s="81"/>
      <c r="F35" s="146" t="s">
        <v>243</v>
      </c>
      <c r="G35" s="17"/>
      <c r="H35" s="18" t="s">
        <v>49</v>
      </c>
      <c r="I35" s="59"/>
      <c r="J35" s="19">
        <v>10</v>
      </c>
      <c r="K35" s="19"/>
      <c r="L35" s="50"/>
      <c r="M35" s="73" t="s">
        <v>21</v>
      </c>
      <c r="N35" s="54">
        <f t="shared" si="0"/>
        <v>10</v>
      </c>
      <c r="O35" s="170"/>
      <c r="P35" s="191"/>
      <c r="Q35" s="192"/>
      <c r="R35" s="192"/>
      <c r="S35" s="192"/>
      <c r="T35" s="192"/>
      <c r="U35" s="193"/>
    </row>
    <row r="36" spans="1:21" ht="15.75" customHeight="1">
      <c r="A36" s="85"/>
      <c r="B36" s="37">
        <f>ROW()-13</f>
        <v>23</v>
      </c>
      <c r="C36" s="145" t="s">
        <v>244</v>
      </c>
      <c r="D36" s="80"/>
      <c r="E36" s="81"/>
      <c r="F36" s="146" t="s">
        <v>245</v>
      </c>
      <c r="G36" s="17"/>
      <c r="H36" s="18" t="s">
        <v>49</v>
      </c>
      <c r="I36" s="59"/>
      <c r="J36" s="19">
        <v>5</v>
      </c>
      <c r="K36" s="19"/>
      <c r="L36" s="50"/>
      <c r="M36" s="73" t="s">
        <v>21</v>
      </c>
      <c r="N36" s="54">
        <f t="shared" si="0"/>
        <v>5</v>
      </c>
      <c r="O36" s="170"/>
      <c r="P36" s="191"/>
      <c r="Q36" s="192"/>
      <c r="R36" s="192"/>
      <c r="S36" s="192"/>
      <c r="T36" s="192"/>
      <c r="U36" s="193"/>
    </row>
    <row r="37" spans="1:21" ht="15.75" customHeight="1">
      <c r="A37" s="85"/>
      <c r="B37" s="37">
        <f>ROW()-13</f>
        <v>24</v>
      </c>
      <c r="C37" s="145" t="s">
        <v>246</v>
      </c>
      <c r="D37" s="80"/>
      <c r="E37" s="81"/>
      <c r="F37" s="146" t="s">
        <v>247</v>
      </c>
      <c r="G37" s="17"/>
      <c r="H37" s="18" t="s">
        <v>24</v>
      </c>
      <c r="I37" s="59"/>
      <c r="J37" s="19"/>
      <c r="K37" s="19"/>
      <c r="L37" s="50"/>
      <c r="M37" s="73" t="s">
        <v>21</v>
      </c>
      <c r="N37" s="54">
        <f t="shared" si="0"/>
        <v>7</v>
      </c>
      <c r="O37" s="170"/>
      <c r="P37" s="191"/>
      <c r="Q37" s="192"/>
      <c r="R37" s="192"/>
      <c r="S37" s="192"/>
      <c r="T37" s="192"/>
      <c r="U37" s="193"/>
    </row>
    <row r="38" spans="1:21" ht="15.75" customHeight="1">
      <c r="A38" s="85"/>
      <c r="B38" s="37">
        <f>ROW()-13</f>
        <v>25</v>
      </c>
      <c r="C38" s="145" t="s">
        <v>248</v>
      </c>
      <c r="D38" s="80"/>
      <c r="E38" s="81"/>
      <c r="F38" s="146" t="s">
        <v>249</v>
      </c>
      <c r="G38" s="17"/>
      <c r="H38" s="18" t="s">
        <v>24</v>
      </c>
      <c r="I38" s="59"/>
      <c r="J38" s="19"/>
      <c r="K38" s="19"/>
      <c r="L38" s="50"/>
      <c r="M38" s="73" t="s">
        <v>21</v>
      </c>
      <c r="N38" s="54">
        <f t="shared" si="0"/>
        <v>7</v>
      </c>
      <c r="O38" s="170"/>
      <c r="P38" s="191"/>
      <c r="Q38" s="192"/>
      <c r="R38" s="192"/>
      <c r="S38" s="192"/>
      <c r="T38" s="192"/>
      <c r="U38" s="193"/>
    </row>
    <row r="39" spans="1:21" ht="15.75" customHeight="1">
      <c r="A39" s="85"/>
      <c r="B39" s="37">
        <f>ROW()-13</f>
        <v>26</v>
      </c>
      <c r="C39" s="145" t="s">
        <v>250</v>
      </c>
      <c r="D39" s="80"/>
      <c r="E39" s="81"/>
      <c r="F39" s="146" t="s">
        <v>251</v>
      </c>
      <c r="G39" s="17"/>
      <c r="H39" s="18" t="s">
        <v>54</v>
      </c>
      <c r="I39" s="59"/>
      <c r="J39" s="19"/>
      <c r="K39" s="19"/>
      <c r="L39" s="50"/>
      <c r="M39" s="73" t="s">
        <v>21</v>
      </c>
      <c r="N39" s="54">
        <f t="shared" si="0"/>
        <v>0</v>
      </c>
      <c r="O39" s="170"/>
      <c r="P39" s="191"/>
      <c r="Q39" s="192"/>
      <c r="R39" s="192"/>
      <c r="S39" s="192"/>
      <c r="T39" s="192"/>
      <c r="U39" s="193"/>
    </row>
    <row r="40" spans="1:21" ht="15.75" customHeight="1">
      <c r="A40" s="85"/>
      <c r="B40" s="37">
        <f>ROW()-13</f>
        <v>27</v>
      </c>
      <c r="C40" s="145" t="s">
        <v>252</v>
      </c>
      <c r="D40" s="80"/>
      <c r="E40" s="81"/>
      <c r="F40" s="146" t="s">
        <v>253</v>
      </c>
      <c r="G40" s="17"/>
      <c r="H40" s="18" t="s">
        <v>49</v>
      </c>
      <c r="I40" s="59"/>
      <c r="J40" s="19">
        <v>1</v>
      </c>
      <c r="K40" s="19"/>
      <c r="L40" s="50"/>
      <c r="M40" s="73" t="s">
        <v>21</v>
      </c>
      <c r="N40" s="54">
        <f t="shared" si="0"/>
        <v>1</v>
      </c>
      <c r="O40" s="170"/>
      <c r="P40" s="191" t="s">
        <v>202</v>
      </c>
      <c r="Q40" s="192"/>
      <c r="R40" s="192"/>
      <c r="S40" s="192"/>
      <c r="T40" s="192"/>
      <c r="U40" s="193"/>
    </row>
    <row r="41" spans="1:21" ht="15.75" customHeight="1">
      <c r="A41" s="85"/>
      <c r="B41" s="37">
        <f>ROW()-13</f>
        <v>28</v>
      </c>
      <c r="C41" s="145" t="s">
        <v>254</v>
      </c>
      <c r="D41" s="80"/>
      <c r="E41" s="81"/>
      <c r="F41" s="146" t="s">
        <v>255</v>
      </c>
      <c r="G41" s="17"/>
      <c r="H41" s="18" t="s">
        <v>51</v>
      </c>
      <c r="I41" s="59"/>
      <c r="J41" s="19">
        <v>11</v>
      </c>
      <c r="K41" s="19"/>
      <c r="L41" s="50"/>
      <c r="M41" s="73" t="s">
        <v>21</v>
      </c>
      <c r="N41" s="54">
        <f t="shared" si="0"/>
        <v>11</v>
      </c>
      <c r="O41" s="170"/>
      <c r="P41" s="191"/>
      <c r="Q41" s="192"/>
      <c r="R41" s="192"/>
      <c r="S41" s="192"/>
      <c r="T41" s="192"/>
      <c r="U41" s="193"/>
    </row>
    <row r="42" spans="1:21" ht="15.75" customHeight="1">
      <c r="A42" s="85"/>
      <c r="B42" s="37">
        <f>ROW()-13</f>
        <v>29</v>
      </c>
      <c r="C42" s="145" t="s">
        <v>256</v>
      </c>
      <c r="D42" s="80"/>
      <c r="E42" s="81"/>
      <c r="F42" s="146" t="s">
        <v>257</v>
      </c>
      <c r="G42" s="17"/>
      <c r="H42" s="18" t="s">
        <v>49</v>
      </c>
      <c r="I42" s="59"/>
      <c r="J42" s="19">
        <v>7</v>
      </c>
      <c r="K42" s="19"/>
      <c r="L42" s="50"/>
      <c r="M42" s="73" t="s">
        <v>21</v>
      </c>
      <c r="N42" s="54">
        <f t="shared" si="0"/>
        <v>7</v>
      </c>
      <c r="O42" s="170"/>
      <c r="P42" s="191" t="s">
        <v>258</v>
      </c>
      <c r="Q42" s="192"/>
      <c r="R42" s="192"/>
      <c r="S42" s="192"/>
      <c r="T42" s="192"/>
      <c r="U42" s="193"/>
    </row>
    <row r="43" spans="1:21" ht="15.75">
      <c r="A43" s="85"/>
      <c r="B43" s="37">
        <f t="shared" ref="B43:B49" si="1">ROW()-13</f>
        <v>30</v>
      </c>
      <c r="C43" s="107" t="s">
        <v>36</v>
      </c>
      <c r="D43" s="107"/>
      <c r="E43" s="108"/>
      <c r="F43" s="109" t="s">
        <v>78</v>
      </c>
      <c r="G43" s="110"/>
      <c r="H43" s="18" t="s">
        <v>51</v>
      </c>
      <c r="I43" s="59"/>
      <c r="J43" s="113">
        <v>12</v>
      </c>
      <c r="K43" s="113"/>
      <c r="L43" s="114"/>
      <c r="M43" s="115" t="s">
        <v>35</v>
      </c>
      <c r="N43" s="116">
        <f t="shared" si="0"/>
        <v>12</v>
      </c>
      <c r="O43" s="171"/>
      <c r="P43" s="197"/>
      <c r="Q43" s="198"/>
      <c r="R43" s="198"/>
      <c r="S43" s="198"/>
      <c r="T43" s="198"/>
      <c r="U43" s="199"/>
    </row>
    <row r="44" spans="1:21" ht="15.75">
      <c r="A44" s="85"/>
      <c r="B44" s="37">
        <f t="shared" si="1"/>
        <v>31</v>
      </c>
      <c r="C44" s="107" t="s">
        <v>37</v>
      </c>
      <c r="D44" s="107"/>
      <c r="E44" s="108"/>
      <c r="F44" s="109" t="s">
        <v>43</v>
      </c>
      <c r="G44" s="110"/>
      <c r="H44" s="18" t="s">
        <v>51</v>
      </c>
      <c r="I44" s="59"/>
      <c r="J44" s="113">
        <v>10</v>
      </c>
      <c r="K44" s="113"/>
      <c r="L44" s="114"/>
      <c r="M44" s="115" t="s">
        <v>21</v>
      </c>
      <c r="N44" s="116">
        <f t="shared" si="0"/>
        <v>10</v>
      </c>
      <c r="O44" s="171"/>
      <c r="P44" s="197"/>
      <c r="Q44" s="198"/>
      <c r="R44" s="198"/>
      <c r="S44" s="198"/>
      <c r="T44" s="198"/>
      <c r="U44" s="199"/>
    </row>
    <row r="45" spans="1:21" ht="15.75">
      <c r="A45" s="85"/>
      <c r="B45" s="37">
        <f t="shared" si="1"/>
        <v>32</v>
      </c>
      <c r="C45" s="107" t="s">
        <v>38</v>
      </c>
      <c r="D45" s="107"/>
      <c r="E45" s="108"/>
      <c r="F45" s="109" t="s">
        <v>80</v>
      </c>
      <c r="G45" s="110"/>
      <c r="H45" s="18" t="s">
        <v>86</v>
      </c>
      <c r="I45" s="59"/>
      <c r="J45" s="113"/>
      <c r="K45" s="113"/>
      <c r="L45" s="114"/>
      <c r="M45" s="115" t="s">
        <v>21</v>
      </c>
      <c r="N45" s="116">
        <f t="shared" si="0"/>
        <v>0</v>
      </c>
      <c r="O45" s="171"/>
      <c r="P45" s="197"/>
      <c r="Q45" s="198"/>
      <c r="R45" s="198"/>
      <c r="S45" s="198"/>
      <c r="T45" s="198"/>
      <c r="U45" s="199"/>
    </row>
    <row r="46" spans="1:21" ht="15.75">
      <c r="A46" s="85"/>
      <c r="B46" s="37">
        <f t="shared" si="1"/>
        <v>33</v>
      </c>
      <c r="C46" s="107" t="s">
        <v>39</v>
      </c>
      <c r="D46" s="107"/>
      <c r="E46" s="108"/>
      <c r="F46" s="109" t="s">
        <v>79</v>
      </c>
      <c r="G46" s="110"/>
      <c r="H46" s="18" t="s">
        <v>51</v>
      </c>
      <c r="I46" s="59"/>
      <c r="J46" s="113">
        <v>12</v>
      </c>
      <c r="K46" s="113"/>
      <c r="L46" s="114"/>
      <c r="M46" s="115" t="s">
        <v>35</v>
      </c>
      <c r="N46" s="116">
        <f t="shared" si="0"/>
        <v>12</v>
      </c>
      <c r="O46" s="171"/>
      <c r="P46" s="197"/>
      <c r="Q46" s="198"/>
      <c r="R46" s="198"/>
      <c r="S46" s="198"/>
      <c r="T46" s="198"/>
      <c r="U46" s="199"/>
    </row>
    <row r="47" spans="1:21" ht="15.75">
      <c r="A47" s="85"/>
      <c r="B47" s="37">
        <f t="shared" si="1"/>
        <v>34</v>
      </c>
      <c r="C47" s="107" t="s">
        <v>40</v>
      </c>
      <c r="D47" s="107"/>
      <c r="E47" s="108"/>
      <c r="F47" s="109" t="s">
        <v>44</v>
      </c>
      <c r="G47" s="110"/>
      <c r="H47" s="18" t="s">
        <v>51</v>
      </c>
      <c r="I47" s="59"/>
      <c r="J47" s="113">
        <v>10</v>
      </c>
      <c r="K47" s="113"/>
      <c r="L47" s="114"/>
      <c r="M47" s="115" t="s">
        <v>21</v>
      </c>
      <c r="N47" s="116">
        <f t="shared" si="0"/>
        <v>10</v>
      </c>
      <c r="O47" s="171"/>
      <c r="P47" s="197"/>
      <c r="Q47" s="198"/>
      <c r="R47" s="198"/>
      <c r="S47" s="198"/>
      <c r="T47" s="198"/>
      <c r="U47" s="199"/>
    </row>
    <row r="48" spans="1:21" ht="15.75">
      <c r="A48" s="85"/>
      <c r="B48" s="37">
        <f t="shared" si="1"/>
        <v>35</v>
      </c>
      <c r="C48" s="107" t="s">
        <v>41</v>
      </c>
      <c r="D48" s="107"/>
      <c r="E48" s="108"/>
      <c r="F48" s="109" t="s">
        <v>81</v>
      </c>
      <c r="G48" s="110"/>
      <c r="H48" s="18" t="s">
        <v>86</v>
      </c>
      <c r="I48" s="59"/>
      <c r="J48" s="113"/>
      <c r="K48" s="113"/>
      <c r="L48" s="114"/>
      <c r="M48" s="115" t="s">
        <v>21</v>
      </c>
      <c r="N48" s="116">
        <f t="shared" si="0"/>
        <v>0</v>
      </c>
      <c r="O48" s="171"/>
      <c r="P48" s="197"/>
      <c r="Q48" s="198"/>
      <c r="R48" s="198"/>
      <c r="S48" s="198"/>
      <c r="T48" s="198"/>
      <c r="U48" s="199"/>
    </row>
    <row r="49" spans="1:21" ht="15.75">
      <c r="A49" s="85"/>
      <c r="B49" s="37">
        <f t="shared" si="1"/>
        <v>36</v>
      </c>
      <c r="C49" s="80" t="s">
        <v>46</v>
      </c>
      <c r="D49" s="80"/>
      <c r="E49" s="81"/>
      <c r="F49" s="84" t="s">
        <v>71</v>
      </c>
      <c r="G49" s="17"/>
      <c r="H49" s="18" t="s">
        <v>62</v>
      </c>
      <c r="I49" s="59"/>
      <c r="J49" s="19">
        <v>8</v>
      </c>
      <c r="K49" s="19"/>
      <c r="L49" s="50" t="s">
        <v>47</v>
      </c>
      <c r="M49" s="73" t="s">
        <v>35</v>
      </c>
      <c r="N49" s="54">
        <f t="shared" si="0"/>
        <v>8</v>
      </c>
      <c r="O49" s="170">
        <v>0</v>
      </c>
      <c r="P49" s="191" t="s">
        <v>48</v>
      </c>
      <c r="Q49" s="192"/>
      <c r="R49" s="192"/>
      <c r="S49" s="192"/>
      <c r="T49" s="192"/>
      <c r="U49" s="193"/>
    </row>
    <row r="50" spans="1:21" ht="16.5" thickBot="1">
      <c r="A50" s="118"/>
      <c r="B50" s="119"/>
      <c r="C50" s="120"/>
      <c r="D50" s="120"/>
      <c r="E50" s="121"/>
      <c r="F50" s="129"/>
      <c r="G50" s="122"/>
      <c r="H50" s="147"/>
      <c r="I50" s="148"/>
      <c r="J50" s="125"/>
      <c r="K50" s="125"/>
      <c r="L50" s="126"/>
      <c r="M50" s="126"/>
      <c r="N50" s="127"/>
      <c r="O50" s="172"/>
      <c r="P50" s="194"/>
      <c r="Q50" s="195"/>
      <c r="R50" s="195"/>
      <c r="S50" s="195"/>
      <c r="T50" s="195"/>
      <c r="U50" s="196"/>
    </row>
  </sheetData>
  <mergeCells count="67">
    <mergeCell ref="P46:U46"/>
    <mergeCell ref="P47:U47"/>
    <mergeCell ref="P48:U48"/>
    <mergeCell ref="P49:U49"/>
    <mergeCell ref="P50:U50"/>
    <mergeCell ref="P40:U40"/>
    <mergeCell ref="P41:U41"/>
    <mergeCell ref="P42:U42"/>
    <mergeCell ref="P43:U43"/>
    <mergeCell ref="P44:U44"/>
    <mergeCell ref="P45:U45"/>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1843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1843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1843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1843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1843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C7DD940A-AE69-4ED6-9CBA-80F51A7E4A47}">
            <xm:f>(AND(H14&lt;&gt;"",ISERROR(VLOOKUP(H14,system!$E:$E,1,FALSE))))</xm:f>
            <x14:dxf>
              <fill>
                <patternFill patternType="solid">
                  <bgColor rgb="FFFF0000"/>
                </patternFill>
              </fill>
            </x14:dxf>
          </x14:cfRule>
          <xm:sqref>H14:H42</xm:sqref>
        </x14:conditionalFormatting>
        <x14:conditionalFormatting xmlns:xm="http://schemas.microsoft.com/office/excel/2006/main">
          <x14:cfRule type="expression" priority="3" id="{006BCF4A-3BAE-4034-A5DA-F79C497A4848}">
            <xm:f>(AND(H14&lt;&gt;"",ISERROR(VLOOKUP(H14,system!$E:$E,1,FALSE))))</xm:f>
            <x14:dxf>
              <fill>
                <patternFill>
                  <bgColor rgb="FFFF0000"/>
                </patternFill>
              </fill>
            </x14:dxf>
          </x14:cfRule>
          <xm:sqref>I14:I42</xm:sqref>
        </x14:conditionalFormatting>
        <x14:conditionalFormatting xmlns:xm="http://schemas.microsoft.com/office/excel/2006/main">
          <x14:cfRule type="expression" priority="2" id="{5CE39347-9107-4C13-BB36-5295F6E665A5}">
            <xm:f>(AND(H43&lt;&gt;"",ISERROR(VLOOKUP(H43,system!$E:$E,1,FALSE))))</xm:f>
            <x14:dxf>
              <fill>
                <patternFill patternType="solid">
                  <bgColor rgb="FFFF0000"/>
                </patternFill>
              </fill>
            </x14:dxf>
          </x14:cfRule>
          <xm:sqref>H43:H50</xm:sqref>
        </x14:conditionalFormatting>
        <x14:conditionalFormatting xmlns:xm="http://schemas.microsoft.com/office/excel/2006/main">
          <x14:cfRule type="expression" priority="1" id="{41046291-59DA-4E68-8C90-CB2D6AFABBED}">
            <xm:f>(AND(H43&lt;&gt;"",ISERROR(VLOOKUP(H43,system!$E:$E,1,FALSE))))</xm:f>
            <x14:dxf>
              <fill>
                <patternFill>
                  <bgColor rgb="FFFF0000"/>
                </patternFill>
              </fill>
            </x14:dxf>
          </x14:cfRule>
          <xm:sqref>I43:I50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U47"/>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260</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107</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SUM(N14:N48)</f>
        <v>207</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261</v>
      </c>
      <c r="D14" s="80"/>
      <c r="E14" s="81"/>
      <c r="F14" s="146"/>
      <c r="G14" s="17"/>
      <c r="H14" s="18" t="s">
        <v>49</v>
      </c>
      <c r="I14" s="59"/>
      <c r="J14" s="19">
        <v>1</v>
      </c>
      <c r="K14" s="19"/>
      <c r="L14" s="50" t="s">
        <v>190</v>
      </c>
      <c r="M14" s="73" t="s">
        <v>21</v>
      </c>
      <c r="N14" s="54">
        <f t="shared" ref="N14:N46" si="0">IF(H14="NUMBER",IF(J14&gt;0,INT((J14+1)/2+0.9),0),IF(H14="DATE",7,IF(OR(H14="LONG",H14="LONG RAW"),100000,J14)))</f>
        <v>1</v>
      </c>
      <c r="O14" s="170"/>
      <c r="P14" s="191" t="s">
        <v>175</v>
      </c>
      <c r="Q14" s="192"/>
      <c r="R14" s="192"/>
      <c r="S14" s="192"/>
      <c r="T14" s="192"/>
      <c r="U14" s="193"/>
    </row>
    <row r="15" spans="1:21" ht="15.75" customHeight="1">
      <c r="A15" s="85" t="s">
        <v>191</v>
      </c>
      <c r="B15" s="37">
        <f>ROW()-13</f>
        <v>2</v>
      </c>
      <c r="C15" s="145" t="s">
        <v>256</v>
      </c>
      <c r="D15" s="80"/>
      <c r="E15" s="81"/>
      <c r="F15" s="146"/>
      <c r="G15" s="17"/>
      <c r="H15" s="18" t="s">
        <v>49</v>
      </c>
      <c r="I15" s="59"/>
      <c r="J15" s="19">
        <v>7</v>
      </c>
      <c r="K15" s="19"/>
      <c r="L15" s="50" t="s">
        <v>190</v>
      </c>
      <c r="M15" s="73" t="s">
        <v>21</v>
      </c>
      <c r="N15" s="54">
        <f t="shared" si="0"/>
        <v>7</v>
      </c>
      <c r="O15" s="170"/>
      <c r="P15" s="191"/>
      <c r="Q15" s="192"/>
      <c r="R15" s="192"/>
      <c r="S15" s="192"/>
      <c r="T15" s="192"/>
      <c r="U15" s="193"/>
    </row>
    <row r="16" spans="1:21" ht="39.200000000000003" customHeight="1">
      <c r="A16" s="85"/>
      <c r="B16" s="37">
        <f>ROW()-13</f>
        <v>3</v>
      </c>
      <c r="C16" s="145" t="s">
        <v>262</v>
      </c>
      <c r="D16" s="80"/>
      <c r="E16" s="81"/>
      <c r="F16" s="146"/>
      <c r="G16" s="17"/>
      <c r="H16" s="18" t="s">
        <v>49</v>
      </c>
      <c r="I16" s="59"/>
      <c r="J16" s="19">
        <v>1</v>
      </c>
      <c r="K16" s="19"/>
      <c r="L16" s="50" t="s">
        <v>190</v>
      </c>
      <c r="M16" s="73" t="s">
        <v>21</v>
      </c>
      <c r="N16" s="54">
        <f t="shared" si="0"/>
        <v>1</v>
      </c>
      <c r="O16" s="170"/>
      <c r="P16" s="251" t="s">
        <v>263</v>
      </c>
      <c r="Q16" s="192"/>
      <c r="R16" s="192"/>
      <c r="S16" s="192"/>
      <c r="T16" s="192"/>
      <c r="U16" s="193"/>
    </row>
    <row r="17" spans="1:21" ht="15.75" customHeight="1">
      <c r="A17" s="85"/>
      <c r="B17" s="37">
        <f>ROW()-13</f>
        <v>4</v>
      </c>
      <c r="C17" s="145" t="s">
        <v>194</v>
      </c>
      <c r="D17" s="80"/>
      <c r="E17" s="81"/>
      <c r="F17" s="146"/>
      <c r="G17" s="17"/>
      <c r="H17" s="18" t="s">
        <v>49</v>
      </c>
      <c r="I17" s="59"/>
      <c r="J17" s="19">
        <v>2</v>
      </c>
      <c r="K17" s="19"/>
      <c r="L17" s="50"/>
      <c r="M17" s="73" t="s">
        <v>21</v>
      </c>
      <c r="N17" s="54">
        <f t="shared" si="0"/>
        <v>2</v>
      </c>
      <c r="O17" s="170"/>
      <c r="P17" s="191" t="s">
        <v>155</v>
      </c>
      <c r="Q17" s="192"/>
      <c r="R17" s="192"/>
      <c r="S17" s="192"/>
      <c r="T17" s="192"/>
      <c r="U17" s="193"/>
    </row>
    <row r="18" spans="1:21" ht="15.75" customHeight="1">
      <c r="A18" s="85"/>
      <c r="B18" s="37">
        <f>ROW()-13</f>
        <v>5</v>
      </c>
      <c r="C18" s="145" t="s">
        <v>196</v>
      </c>
      <c r="D18" s="80"/>
      <c r="E18" s="81"/>
      <c r="F18" s="146"/>
      <c r="G18" s="17"/>
      <c r="H18" s="18" t="s">
        <v>49</v>
      </c>
      <c r="I18" s="59"/>
      <c r="J18" s="19">
        <v>12</v>
      </c>
      <c r="K18" s="19"/>
      <c r="L18" s="50"/>
      <c r="M18" s="73" t="s">
        <v>21</v>
      </c>
      <c r="N18" s="54">
        <f t="shared" si="0"/>
        <v>12</v>
      </c>
      <c r="O18" s="170"/>
      <c r="P18" s="191"/>
      <c r="Q18" s="192"/>
      <c r="R18" s="192"/>
      <c r="S18" s="192"/>
      <c r="T18" s="192"/>
      <c r="U18" s="193"/>
    </row>
    <row r="19" spans="1:21" ht="15.75" customHeight="1">
      <c r="A19" s="85"/>
      <c r="B19" s="37">
        <f>ROW()-13</f>
        <v>6</v>
      </c>
      <c r="C19" s="145" t="s">
        <v>198</v>
      </c>
      <c r="D19" s="80"/>
      <c r="E19" s="81"/>
      <c r="F19" s="146"/>
      <c r="G19" s="17"/>
      <c r="H19" s="18" t="s">
        <v>51</v>
      </c>
      <c r="I19" s="59"/>
      <c r="J19" s="19">
        <v>25</v>
      </c>
      <c r="K19" s="19"/>
      <c r="L19" s="50" t="s">
        <v>190</v>
      </c>
      <c r="M19" s="73" t="s">
        <v>21</v>
      </c>
      <c r="N19" s="54">
        <f t="shared" si="0"/>
        <v>25</v>
      </c>
      <c r="O19" s="170"/>
      <c r="P19" s="191"/>
      <c r="Q19" s="192"/>
      <c r="R19" s="192"/>
      <c r="S19" s="192"/>
      <c r="T19" s="192"/>
      <c r="U19" s="193"/>
    </row>
    <row r="20" spans="1:21" ht="15.75" customHeight="1">
      <c r="A20" s="85"/>
      <c r="B20" s="37">
        <f>ROW()-13</f>
        <v>7</v>
      </c>
      <c r="C20" s="145" t="s">
        <v>200</v>
      </c>
      <c r="D20" s="80"/>
      <c r="E20" s="81"/>
      <c r="F20" s="146"/>
      <c r="G20" s="17"/>
      <c r="H20" s="18" t="s">
        <v>51</v>
      </c>
      <c r="I20" s="59"/>
      <c r="J20" s="19">
        <v>4</v>
      </c>
      <c r="K20" s="19"/>
      <c r="L20" s="50" t="s">
        <v>190</v>
      </c>
      <c r="M20" s="73" t="s">
        <v>21</v>
      </c>
      <c r="N20" s="54">
        <f t="shared" si="0"/>
        <v>4</v>
      </c>
      <c r="O20" s="170"/>
      <c r="P20" s="191" t="s">
        <v>202</v>
      </c>
      <c r="Q20" s="192"/>
      <c r="R20" s="192"/>
      <c r="S20" s="192"/>
      <c r="T20" s="192"/>
      <c r="U20" s="193"/>
    </row>
    <row r="21" spans="1:21" ht="62.85" customHeight="1">
      <c r="A21" s="85"/>
      <c r="B21" s="37">
        <f>ROW()-13</f>
        <v>8</v>
      </c>
      <c r="C21" s="145" t="s">
        <v>203</v>
      </c>
      <c r="D21" s="80"/>
      <c r="E21" s="81"/>
      <c r="F21" s="146"/>
      <c r="G21" s="17"/>
      <c r="H21" s="18" t="s">
        <v>49</v>
      </c>
      <c r="I21" s="59"/>
      <c r="J21" s="19">
        <v>1</v>
      </c>
      <c r="K21" s="19"/>
      <c r="L21" s="50" t="s">
        <v>190</v>
      </c>
      <c r="M21" s="73" t="s">
        <v>21</v>
      </c>
      <c r="N21" s="54">
        <f t="shared" si="0"/>
        <v>1</v>
      </c>
      <c r="O21" s="170"/>
      <c r="P21" s="251" t="s">
        <v>264</v>
      </c>
      <c r="Q21" s="192"/>
      <c r="R21" s="192"/>
      <c r="S21" s="192"/>
      <c r="T21" s="192"/>
      <c r="U21" s="193"/>
    </row>
    <row r="22" spans="1:21" ht="15.75" customHeight="1">
      <c r="A22" s="85"/>
      <c r="B22" s="37">
        <f>ROW()-13</f>
        <v>9</v>
      </c>
      <c r="C22" s="145" t="s">
        <v>206</v>
      </c>
      <c r="D22" s="80"/>
      <c r="E22" s="81"/>
      <c r="F22" s="146"/>
      <c r="G22" s="17"/>
      <c r="H22" s="18" t="s">
        <v>208</v>
      </c>
      <c r="I22" s="59"/>
      <c r="J22" s="19"/>
      <c r="K22" s="19"/>
      <c r="L22" s="50"/>
      <c r="M22" s="73" t="s">
        <v>21</v>
      </c>
      <c r="N22" s="54">
        <f t="shared" si="0"/>
        <v>0</v>
      </c>
      <c r="O22" s="170"/>
      <c r="P22" s="191"/>
      <c r="Q22" s="192"/>
      <c r="R22" s="192"/>
      <c r="S22" s="192"/>
      <c r="T22" s="192"/>
      <c r="U22" s="193"/>
    </row>
    <row r="23" spans="1:21" ht="15.75" customHeight="1">
      <c r="A23" s="85"/>
      <c r="B23" s="37">
        <f>ROW()-13</f>
        <v>10</v>
      </c>
      <c r="C23" s="145" t="s">
        <v>212</v>
      </c>
      <c r="D23" s="80"/>
      <c r="E23" s="81"/>
      <c r="F23" s="146"/>
      <c r="G23" s="17"/>
      <c r="H23" s="18" t="s">
        <v>49</v>
      </c>
      <c r="I23" s="59"/>
      <c r="J23" s="19">
        <v>1</v>
      </c>
      <c r="K23" s="19"/>
      <c r="L23" s="50"/>
      <c r="M23" s="73" t="s">
        <v>21</v>
      </c>
      <c r="N23" s="54">
        <f t="shared" si="0"/>
        <v>1</v>
      </c>
      <c r="O23" s="170"/>
      <c r="P23" s="191" t="s">
        <v>202</v>
      </c>
      <c r="Q23" s="192"/>
      <c r="R23" s="192"/>
      <c r="S23" s="192"/>
      <c r="T23" s="192"/>
      <c r="U23" s="193"/>
    </row>
    <row r="24" spans="1:21" ht="15.75" customHeight="1">
      <c r="A24" s="85"/>
      <c r="B24" s="37">
        <f>ROW()-13</f>
        <v>11</v>
      </c>
      <c r="C24" s="145" t="s">
        <v>214</v>
      </c>
      <c r="D24" s="80"/>
      <c r="E24" s="81"/>
      <c r="F24" s="146"/>
      <c r="G24" s="17"/>
      <c r="H24" s="18" t="s">
        <v>24</v>
      </c>
      <c r="I24" s="59"/>
      <c r="J24" s="19"/>
      <c r="K24" s="19"/>
      <c r="L24" s="50" t="s">
        <v>190</v>
      </c>
      <c r="M24" s="73" t="s">
        <v>21</v>
      </c>
      <c r="N24" s="54">
        <f t="shared" si="0"/>
        <v>7</v>
      </c>
      <c r="O24" s="170"/>
      <c r="P24" s="191"/>
      <c r="Q24" s="192"/>
      <c r="R24" s="192"/>
      <c r="S24" s="192"/>
      <c r="T24" s="192"/>
      <c r="U24" s="193"/>
    </row>
    <row r="25" spans="1:21" ht="39.200000000000003" customHeight="1">
      <c r="A25" s="85"/>
      <c r="B25" s="37">
        <f>ROW()-13</f>
        <v>12</v>
      </c>
      <c r="C25" s="145" t="s">
        <v>216</v>
      </c>
      <c r="D25" s="80"/>
      <c r="E25" s="81"/>
      <c r="F25" s="146"/>
      <c r="G25" s="17"/>
      <c r="H25" s="18" t="s">
        <v>49</v>
      </c>
      <c r="I25" s="59"/>
      <c r="J25" s="19">
        <v>1</v>
      </c>
      <c r="K25" s="19"/>
      <c r="L25" s="50" t="s">
        <v>190</v>
      </c>
      <c r="M25" s="73" t="s">
        <v>21</v>
      </c>
      <c r="N25" s="54">
        <f t="shared" si="0"/>
        <v>1</v>
      </c>
      <c r="O25" s="170"/>
      <c r="P25" s="251" t="s">
        <v>218</v>
      </c>
      <c r="Q25" s="192"/>
      <c r="R25" s="192"/>
      <c r="S25" s="192"/>
      <c r="T25" s="192"/>
      <c r="U25" s="193"/>
    </row>
    <row r="26" spans="1:21" ht="15.75" customHeight="1">
      <c r="A26" s="85"/>
      <c r="B26" s="37">
        <f>ROW()-13</f>
        <v>13</v>
      </c>
      <c r="C26" s="145" t="s">
        <v>265</v>
      </c>
      <c r="D26" s="80"/>
      <c r="E26" s="81"/>
      <c r="F26" s="146"/>
      <c r="G26" s="17"/>
      <c r="H26" s="18" t="s">
        <v>208</v>
      </c>
      <c r="I26" s="59"/>
      <c r="J26" s="19"/>
      <c r="K26" s="19"/>
      <c r="L26" s="50" t="s">
        <v>190</v>
      </c>
      <c r="M26" s="73" t="s">
        <v>21</v>
      </c>
      <c r="N26" s="54">
        <f t="shared" si="0"/>
        <v>0</v>
      </c>
      <c r="O26" s="170"/>
      <c r="P26" s="191"/>
      <c r="Q26" s="192"/>
      <c r="R26" s="192"/>
      <c r="S26" s="192"/>
      <c r="T26" s="192"/>
      <c r="U26" s="193"/>
    </row>
    <row r="27" spans="1:21" ht="15.75" customHeight="1">
      <c r="A27" s="85"/>
      <c r="B27" s="37">
        <f>ROW()-13</f>
        <v>14</v>
      </c>
      <c r="C27" s="145" t="s">
        <v>266</v>
      </c>
      <c r="D27" s="80"/>
      <c r="E27" s="81"/>
      <c r="F27" s="146"/>
      <c r="G27" s="17"/>
      <c r="H27" s="18" t="s">
        <v>24</v>
      </c>
      <c r="I27" s="59"/>
      <c r="J27" s="19"/>
      <c r="K27" s="19"/>
      <c r="L27" s="50"/>
      <c r="M27" s="73" t="s">
        <v>21</v>
      </c>
      <c r="N27" s="54">
        <f t="shared" si="0"/>
        <v>7</v>
      </c>
      <c r="O27" s="170"/>
      <c r="P27" s="191"/>
      <c r="Q27" s="192"/>
      <c r="R27" s="192"/>
      <c r="S27" s="192"/>
      <c r="T27" s="192"/>
      <c r="U27" s="193"/>
    </row>
    <row r="28" spans="1:21" ht="15.75" customHeight="1">
      <c r="A28" s="85"/>
      <c r="B28" s="37">
        <f>ROW()-13</f>
        <v>15</v>
      </c>
      <c r="C28" s="145" t="s">
        <v>267</v>
      </c>
      <c r="D28" s="80"/>
      <c r="E28" s="81"/>
      <c r="F28" s="146"/>
      <c r="G28" s="17"/>
      <c r="H28" s="18" t="s">
        <v>54</v>
      </c>
      <c r="I28" s="59"/>
      <c r="J28" s="19"/>
      <c r="K28" s="19"/>
      <c r="L28" s="50"/>
      <c r="M28" s="73" t="s">
        <v>21</v>
      </c>
      <c r="N28" s="54">
        <f t="shared" si="0"/>
        <v>0</v>
      </c>
      <c r="O28" s="170"/>
      <c r="P28" s="191"/>
      <c r="Q28" s="192"/>
      <c r="R28" s="192"/>
      <c r="S28" s="192"/>
      <c r="T28" s="192"/>
      <c r="U28" s="193"/>
    </row>
    <row r="29" spans="1:21" ht="15.75" customHeight="1">
      <c r="A29" s="85"/>
      <c r="B29" s="37">
        <f>ROW()-13</f>
        <v>16</v>
      </c>
      <c r="C29" s="145" t="s">
        <v>268</v>
      </c>
      <c r="D29" s="80"/>
      <c r="E29" s="81"/>
      <c r="F29" s="146"/>
      <c r="G29" s="17"/>
      <c r="H29" s="18" t="s">
        <v>49</v>
      </c>
      <c r="I29" s="59"/>
      <c r="J29" s="19">
        <v>3</v>
      </c>
      <c r="K29" s="19"/>
      <c r="L29" s="50"/>
      <c r="M29" s="73" t="s">
        <v>21</v>
      </c>
      <c r="N29" s="54">
        <f t="shared" si="0"/>
        <v>3</v>
      </c>
      <c r="O29" s="170"/>
      <c r="P29" s="191" t="s">
        <v>202</v>
      </c>
      <c r="Q29" s="192"/>
      <c r="R29" s="192"/>
      <c r="S29" s="192"/>
      <c r="T29" s="192"/>
      <c r="U29" s="193"/>
    </row>
    <row r="30" spans="1:21" ht="15.75" customHeight="1">
      <c r="A30" s="85"/>
      <c r="B30" s="37">
        <f>ROW()-13</f>
        <v>17</v>
      </c>
      <c r="C30" s="145" t="s">
        <v>269</v>
      </c>
      <c r="D30" s="80"/>
      <c r="E30" s="81"/>
      <c r="F30" s="146"/>
      <c r="G30" s="17"/>
      <c r="H30" s="18" t="s">
        <v>24</v>
      </c>
      <c r="I30" s="59"/>
      <c r="J30" s="19"/>
      <c r="K30" s="19"/>
      <c r="L30" s="50" t="s">
        <v>190</v>
      </c>
      <c r="M30" s="73" t="s">
        <v>21</v>
      </c>
      <c r="N30" s="54">
        <f t="shared" si="0"/>
        <v>7</v>
      </c>
      <c r="O30" s="170"/>
      <c r="P30" s="191"/>
      <c r="Q30" s="192"/>
      <c r="R30" s="192"/>
      <c r="S30" s="192"/>
      <c r="T30" s="192"/>
      <c r="U30" s="193"/>
    </row>
    <row r="31" spans="1:21" ht="39.200000000000003" customHeight="1">
      <c r="A31" s="85"/>
      <c r="B31" s="37">
        <f>ROW()-13</f>
        <v>18</v>
      </c>
      <c r="C31" s="145" t="s">
        <v>270</v>
      </c>
      <c r="D31" s="80"/>
      <c r="E31" s="81"/>
      <c r="F31" s="146"/>
      <c r="G31" s="17"/>
      <c r="H31" s="18" t="s">
        <v>49</v>
      </c>
      <c r="I31" s="59"/>
      <c r="J31" s="19">
        <v>1</v>
      </c>
      <c r="K31" s="19"/>
      <c r="L31" s="50" t="s">
        <v>190</v>
      </c>
      <c r="M31" s="73" t="s">
        <v>21</v>
      </c>
      <c r="N31" s="54">
        <f t="shared" si="0"/>
        <v>1</v>
      </c>
      <c r="O31" s="170"/>
      <c r="P31" s="251" t="s">
        <v>218</v>
      </c>
      <c r="Q31" s="192"/>
      <c r="R31" s="192"/>
      <c r="S31" s="192"/>
      <c r="T31" s="192"/>
      <c r="U31" s="193"/>
    </row>
    <row r="32" spans="1:21" ht="27.6" customHeight="1">
      <c r="A32" s="85"/>
      <c r="B32" s="37">
        <f>ROW()-13</f>
        <v>19</v>
      </c>
      <c r="C32" s="145" t="s">
        <v>224</v>
      </c>
      <c r="D32" s="80"/>
      <c r="E32" s="81"/>
      <c r="F32" s="146"/>
      <c r="G32" s="17"/>
      <c r="H32" s="18" t="s">
        <v>49</v>
      </c>
      <c r="I32" s="59"/>
      <c r="J32" s="19">
        <v>1</v>
      </c>
      <c r="K32" s="19"/>
      <c r="L32" s="50" t="s">
        <v>190</v>
      </c>
      <c r="M32" s="73" t="s">
        <v>21</v>
      </c>
      <c r="N32" s="54">
        <f t="shared" si="0"/>
        <v>1</v>
      </c>
      <c r="O32" s="170"/>
      <c r="P32" s="251" t="s">
        <v>226</v>
      </c>
      <c r="Q32" s="192"/>
      <c r="R32" s="192"/>
      <c r="S32" s="192"/>
      <c r="T32" s="192"/>
      <c r="U32" s="193"/>
    </row>
    <row r="33" spans="1:21" ht="15.75" customHeight="1">
      <c r="A33" s="85"/>
      <c r="B33" s="37">
        <f>ROW()-13</f>
        <v>20</v>
      </c>
      <c r="C33" s="145" t="s">
        <v>271</v>
      </c>
      <c r="D33" s="80"/>
      <c r="E33" s="81"/>
      <c r="F33" s="146"/>
      <c r="G33" s="17"/>
      <c r="H33" s="18" t="s">
        <v>51</v>
      </c>
      <c r="I33" s="59"/>
      <c r="J33" s="19">
        <v>3</v>
      </c>
      <c r="K33" s="19"/>
      <c r="L33" s="50"/>
      <c r="M33" s="73" t="s">
        <v>21</v>
      </c>
      <c r="N33" s="54">
        <f t="shared" si="0"/>
        <v>3</v>
      </c>
      <c r="O33" s="170"/>
      <c r="P33" s="191"/>
      <c r="Q33" s="192"/>
      <c r="R33" s="192"/>
      <c r="S33" s="192"/>
      <c r="T33" s="192"/>
      <c r="U33" s="193"/>
    </row>
    <row r="34" spans="1:21" ht="15.75" customHeight="1">
      <c r="A34" s="85"/>
      <c r="B34" s="37">
        <f>ROW()-13</f>
        <v>21</v>
      </c>
      <c r="C34" s="145" t="s">
        <v>272</v>
      </c>
      <c r="D34" s="80"/>
      <c r="E34" s="81"/>
      <c r="F34" s="146"/>
      <c r="G34" s="17"/>
      <c r="H34" s="18" t="s">
        <v>49</v>
      </c>
      <c r="I34" s="59"/>
      <c r="J34" s="19">
        <v>4</v>
      </c>
      <c r="K34" s="19"/>
      <c r="L34" s="50"/>
      <c r="M34" s="73" t="s">
        <v>21</v>
      </c>
      <c r="N34" s="54">
        <f t="shared" si="0"/>
        <v>4</v>
      </c>
      <c r="O34" s="170"/>
      <c r="P34" s="191"/>
      <c r="Q34" s="192"/>
      <c r="R34" s="192"/>
      <c r="S34" s="192"/>
      <c r="T34" s="192"/>
      <c r="U34" s="193"/>
    </row>
    <row r="35" spans="1:21" ht="15.75" customHeight="1">
      <c r="A35" s="85"/>
      <c r="B35" s="37">
        <f>ROW()-13</f>
        <v>22</v>
      </c>
      <c r="C35" s="145" t="s">
        <v>273</v>
      </c>
      <c r="D35" s="80"/>
      <c r="E35" s="81"/>
      <c r="F35" s="146"/>
      <c r="G35" s="17"/>
      <c r="H35" s="18" t="s">
        <v>49</v>
      </c>
      <c r="I35" s="59"/>
      <c r="J35" s="19">
        <v>10</v>
      </c>
      <c r="K35" s="19"/>
      <c r="L35" s="50"/>
      <c r="M35" s="73" t="s">
        <v>21</v>
      </c>
      <c r="N35" s="54">
        <f t="shared" si="0"/>
        <v>10</v>
      </c>
      <c r="O35" s="170"/>
      <c r="P35" s="191"/>
      <c r="Q35" s="192"/>
      <c r="R35" s="192"/>
      <c r="S35" s="192"/>
      <c r="T35" s="192"/>
      <c r="U35" s="193"/>
    </row>
    <row r="36" spans="1:21" ht="15.75" customHeight="1">
      <c r="A36" s="85"/>
      <c r="B36" s="37">
        <f>ROW()-13</f>
        <v>23</v>
      </c>
      <c r="C36" s="145" t="s">
        <v>274</v>
      </c>
      <c r="D36" s="80"/>
      <c r="E36" s="81"/>
      <c r="F36" s="146"/>
      <c r="G36" s="17"/>
      <c r="H36" s="18" t="s">
        <v>49</v>
      </c>
      <c r="I36" s="59"/>
      <c r="J36" s="19">
        <v>5</v>
      </c>
      <c r="K36" s="19"/>
      <c r="L36" s="50"/>
      <c r="M36" s="73" t="s">
        <v>21</v>
      </c>
      <c r="N36" s="54">
        <f t="shared" si="0"/>
        <v>5</v>
      </c>
      <c r="O36" s="170"/>
      <c r="P36" s="191"/>
      <c r="Q36" s="192"/>
      <c r="R36" s="192"/>
      <c r="S36" s="192"/>
      <c r="T36" s="192"/>
      <c r="U36" s="193"/>
    </row>
    <row r="37" spans="1:21" ht="15.75" customHeight="1">
      <c r="A37" s="85"/>
      <c r="B37" s="37">
        <f>ROW()-13</f>
        <v>24</v>
      </c>
      <c r="C37" s="145" t="s">
        <v>275</v>
      </c>
      <c r="D37" s="80"/>
      <c r="E37" s="81"/>
      <c r="F37" s="146"/>
      <c r="G37" s="17"/>
      <c r="H37" s="18" t="s">
        <v>49</v>
      </c>
      <c r="I37" s="59"/>
      <c r="J37" s="19">
        <v>1</v>
      </c>
      <c r="K37" s="19"/>
      <c r="L37" s="50"/>
      <c r="M37" s="73" t="s">
        <v>21</v>
      </c>
      <c r="N37" s="54">
        <f t="shared" si="0"/>
        <v>1</v>
      </c>
      <c r="O37" s="170"/>
      <c r="P37" s="191"/>
      <c r="Q37" s="192"/>
      <c r="R37" s="192"/>
      <c r="S37" s="192"/>
      <c r="T37" s="192"/>
      <c r="U37" s="193"/>
    </row>
    <row r="38" spans="1:21" ht="15.75" customHeight="1">
      <c r="A38" s="85"/>
      <c r="B38" s="37">
        <f>ROW()-13</f>
        <v>25</v>
      </c>
      <c r="C38" s="145" t="s">
        <v>276</v>
      </c>
      <c r="D38" s="80"/>
      <c r="E38" s="81"/>
      <c r="F38" s="146"/>
      <c r="G38" s="17"/>
      <c r="H38" s="18" t="s">
        <v>49</v>
      </c>
      <c r="I38" s="59"/>
      <c r="J38" s="19">
        <v>1</v>
      </c>
      <c r="K38" s="19"/>
      <c r="L38" s="50"/>
      <c r="M38" s="73" t="s">
        <v>21</v>
      </c>
      <c r="N38" s="54">
        <f t="shared" si="0"/>
        <v>1</v>
      </c>
      <c r="O38" s="170"/>
      <c r="P38" s="191" t="s">
        <v>202</v>
      </c>
      <c r="Q38" s="192"/>
      <c r="R38" s="192"/>
      <c r="S38" s="192"/>
      <c r="T38" s="192"/>
      <c r="U38" s="193"/>
    </row>
    <row r="39" spans="1:21" ht="15.75" customHeight="1">
      <c r="A39" s="85"/>
      <c r="B39" s="37">
        <f>ROW()-13</f>
        <v>26</v>
      </c>
      <c r="C39" s="145" t="s">
        <v>277</v>
      </c>
      <c r="D39" s="80"/>
      <c r="E39" s="81"/>
      <c r="F39" s="146"/>
      <c r="G39" s="17"/>
      <c r="H39" s="18" t="s">
        <v>51</v>
      </c>
      <c r="I39" s="59"/>
      <c r="J39" s="19">
        <v>50</v>
      </c>
      <c r="K39" s="19"/>
      <c r="L39" s="50"/>
      <c r="M39" s="73" t="s">
        <v>21</v>
      </c>
      <c r="N39" s="54">
        <f t="shared" si="0"/>
        <v>50</v>
      </c>
      <c r="O39" s="170"/>
      <c r="P39" s="191" t="s">
        <v>278</v>
      </c>
      <c r="Q39" s="192"/>
      <c r="R39" s="192"/>
      <c r="S39" s="192"/>
      <c r="T39" s="192"/>
      <c r="U39" s="193"/>
    </row>
    <row r="40" spans="1:21" ht="15.75">
      <c r="A40" s="85"/>
      <c r="B40" s="37">
        <f t="shared" ref="B40:B46" si="1">ROW()-13</f>
        <v>27</v>
      </c>
      <c r="C40" s="107" t="s">
        <v>36</v>
      </c>
      <c r="D40" s="107"/>
      <c r="E40" s="108"/>
      <c r="F40" s="109" t="s">
        <v>78</v>
      </c>
      <c r="G40" s="110"/>
      <c r="H40" s="18" t="s">
        <v>51</v>
      </c>
      <c r="I40" s="59"/>
      <c r="J40" s="113">
        <v>12</v>
      </c>
      <c r="K40" s="113"/>
      <c r="L40" s="114"/>
      <c r="M40" s="115" t="s">
        <v>35</v>
      </c>
      <c r="N40" s="116">
        <f t="shared" si="0"/>
        <v>12</v>
      </c>
      <c r="O40" s="171"/>
      <c r="P40" s="197"/>
      <c r="Q40" s="198"/>
      <c r="R40" s="198"/>
      <c r="S40" s="198"/>
      <c r="T40" s="198"/>
      <c r="U40" s="199"/>
    </row>
    <row r="41" spans="1:21" ht="15.75">
      <c r="A41" s="85"/>
      <c r="B41" s="37">
        <f t="shared" si="1"/>
        <v>28</v>
      </c>
      <c r="C41" s="107" t="s">
        <v>37</v>
      </c>
      <c r="D41" s="107"/>
      <c r="E41" s="108"/>
      <c r="F41" s="109" t="s">
        <v>43</v>
      </c>
      <c r="G41" s="110"/>
      <c r="H41" s="18" t="s">
        <v>51</v>
      </c>
      <c r="I41" s="59"/>
      <c r="J41" s="113">
        <v>10</v>
      </c>
      <c r="K41" s="113"/>
      <c r="L41" s="114"/>
      <c r="M41" s="115" t="s">
        <v>21</v>
      </c>
      <c r="N41" s="116">
        <f t="shared" si="0"/>
        <v>10</v>
      </c>
      <c r="O41" s="171"/>
      <c r="P41" s="197"/>
      <c r="Q41" s="198"/>
      <c r="R41" s="198"/>
      <c r="S41" s="198"/>
      <c r="T41" s="198"/>
      <c r="U41" s="199"/>
    </row>
    <row r="42" spans="1:21" ht="15.75">
      <c r="A42" s="85"/>
      <c r="B42" s="37">
        <f t="shared" si="1"/>
        <v>29</v>
      </c>
      <c r="C42" s="107" t="s">
        <v>38</v>
      </c>
      <c r="D42" s="107"/>
      <c r="E42" s="108"/>
      <c r="F42" s="109" t="s">
        <v>80</v>
      </c>
      <c r="G42" s="110"/>
      <c r="H42" s="18" t="s">
        <v>86</v>
      </c>
      <c r="I42" s="59"/>
      <c r="J42" s="113"/>
      <c r="K42" s="113"/>
      <c r="L42" s="114"/>
      <c r="M42" s="115" t="s">
        <v>21</v>
      </c>
      <c r="N42" s="116">
        <f t="shared" si="0"/>
        <v>0</v>
      </c>
      <c r="O42" s="171"/>
      <c r="P42" s="197"/>
      <c r="Q42" s="198"/>
      <c r="R42" s="198"/>
      <c r="S42" s="198"/>
      <c r="T42" s="198"/>
      <c r="U42" s="199"/>
    </row>
    <row r="43" spans="1:21" ht="15.75">
      <c r="A43" s="85"/>
      <c r="B43" s="37">
        <f t="shared" si="1"/>
        <v>30</v>
      </c>
      <c r="C43" s="107" t="s">
        <v>39</v>
      </c>
      <c r="D43" s="107"/>
      <c r="E43" s="108"/>
      <c r="F43" s="109" t="s">
        <v>79</v>
      </c>
      <c r="G43" s="110"/>
      <c r="H43" s="18" t="s">
        <v>51</v>
      </c>
      <c r="I43" s="59"/>
      <c r="J43" s="113">
        <v>12</v>
      </c>
      <c r="K43" s="113"/>
      <c r="L43" s="114"/>
      <c r="M43" s="115" t="s">
        <v>35</v>
      </c>
      <c r="N43" s="116">
        <f t="shared" si="0"/>
        <v>12</v>
      </c>
      <c r="O43" s="171"/>
      <c r="P43" s="197"/>
      <c r="Q43" s="198"/>
      <c r="R43" s="198"/>
      <c r="S43" s="198"/>
      <c r="T43" s="198"/>
      <c r="U43" s="199"/>
    </row>
    <row r="44" spans="1:21" ht="15.75">
      <c r="A44" s="85"/>
      <c r="B44" s="37">
        <f t="shared" si="1"/>
        <v>31</v>
      </c>
      <c r="C44" s="107" t="s">
        <v>40</v>
      </c>
      <c r="D44" s="107"/>
      <c r="E44" s="108"/>
      <c r="F44" s="109" t="s">
        <v>44</v>
      </c>
      <c r="G44" s="110"/>
      <c r="H44" s="18" t="s">
        <v>51</v>
      </c>
      <c r="I44" s="59"/>
      <c r="J44" s="113">
        <v>10</v>
      </c>
      <c r="K44" s="113"/>
      <c r="L44" s="114"/>
      <c r="M44" s="115" t="s">
        <v>21</v>
      </c>
      <c r="N44" s="116">
        <f t="shared" si="0"/>
        <v>10</v>
      </c>
      <c r="O44" s="171"/>
      <c r="P44" s="197"/>
      <c r="Q44" s="198"/>
      <c r="R44" s="198"/>
      <c r="S44" s="198"/>
      <c r="T44" s="198"/>
      <c r="U44" s="199"/>
    </row>
    <row r="45" spans="1:21" ht="15.75">
      <c r="A45" s="85"/>
      <c r="B45" s="37">
        <f t="shared" si="1"/>
        <v>32</v>
      </c>
      <c r="C45" s="107" t="s">
        <v>41</v>
      </c>
      <c r="D45" s="107"/>
      <c r="E45" s="108"/>
      <c r="F45" s="109" t="s">
        <v>81</v>
      </c>
      <c r="G45" s="110"/>
      <c r="H45" s="18" t="s">
        <v>86</v>
      </c>
      <c r="I45" s="59"/>
      <c r="J45" s="113"/>
      <c r="K45" s="113"/>
      <c r="L45" s="114"/>
      <c r="M45" s="115" t="s">
        <v>21</v>
      </c>
      <c r="N45" s="116">
        <f t="shared" si="0"/>
        <v>0</v>
      </c>
      <c r="O45" s="171"/>
      <c r="P45" s="197"/>
      <c r="Q45" s="198"/>
      <c r="R45" s="198"/>
      <c r="S45" s="198"/>
      <c r="T45" s="198"/>
      <c r="U45" s="199"/>
    </row>
    <row r="46" spans="1:21" ht="15.75">
      <c r="A46" s="85"/>
      <c r="B46" s="37">
        <f t="shared" si="1"/>
        <v>33</v>
      </c>
      <c r="C46" s="80" t="s">
        <v>46</v>
      </c>
      <c r="D46" s="80"/>
      <c r="E46" s="81"/>
      <c r="F46" s="84" t="s">
        <v>71</v>
      </c>
      <c r="G46" s="17"/>
      <c r="H46" s="18" t="s">
        <v>62</v>
      </c>
      <c r="I46" s="59"/>
      <c r="J46" s="19">
        <v>8</v>
      </c>
      <c r="K46" s="19"/>
      <c r="L46" s="50" t="s">
        <v>47</v>
      </c>
      <c r="M46" s="73" t="s">
        <v>35</v>
      </c>
      <c r="N46" s="54">
        <f t="shared" si="0"/>
        <v>8</v>
      </c>
      <c r="O46" s="170">
        <v>0</v>
      </c>
      <c r="P46" s="191" t="s">
        <v>48</v>
      </c>
      <c r="Q46" s="192"/>
      <c r="R46" s="192"/>
      <c r="S46" s="192"/>
      <c r="T46" s="192"/>
      <c r="U46" s="193"/>
    </row>
    <row r="47" spans="1:21" ht="16.5" thickBot="1">
      <c r="A47" s="118"/>
      <c r="B47" s="119"/>
      <c r="C47" s="120"/>
      <c r="D47" s="120"/>
      <c r="E47" s="121"/>
      <c r="F47" s="129"/>
      <c r="G47" s="122"/>
      <c r="H47" s="147"/>
      <c r="I47" s="148"/>
      <c r="J47" s="125"/>
      <c r="K47" s="125"/>
      <c r="L47" s="126"/>
      <c r="M47" s="126"/>
      <c r="N47" s="127"/>
      <c r="O47" s="172"/>
      <c r="P47" s="194"/>
      <c r="Q47" s="195"/>
      <c r="R47" s="195"/>
      <c r="S47" s="195"/>
      <c r="T47" s="195"/>
      <c r="U47" s="196"/>
    </row>
  </sheetData>
  <mergeCells count="64">
    <mergeCell ref="P46:U46"/>
    <mergeCell ref="P47:U47"/>
    <mergeCell ref="P40:U40"/>
    <mergeCell ref="P41:U41"/>
    <mergeCell ref="P42:U42"/>
    <mergeCell ref="P43:U43"/>
    <mergeCell ref="P44:U44"/>
    <mergeCell ref="P45:U45"/>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1945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1945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1946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1946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1946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EBA3873-AA05-45C5-A1C6-14C57DEABAB8}">
            <xm:f>(AND(H14&lt;&gt;"",ISERROR(VLOOKUP(H14,system!$E:$E,1,FALSE))))</xm:f>
            <x14:dxf>
              <fill>
                <patternFill patternType="solid">
                  <bgColor rgb="FFFF0000"/>
                </patternFill>
              </fill>
            </x14:dxf>
          </x14:cfRule>
          <xm:sqref>H14:H39</xm:sqref>
        </x14:conditionalFormatting>
        <x14:conditionalFormatting xmlns:xm="http://schemas.microsoft.com/office/excel/2006/main">
          <x14:cfRule type="expression" priority="3" id="{16EBBCB8-A90F-4B54-AF28-41D2EB5E8D1C}">
            <xm:f>(AND(H14&lt;&gt;"",ISERROR(VLOOKUP(H14,system!$E:$E,1,FALSE))))</xm:f>
            <x14:dxf>
              <fill>
                <patternFill>
                  <bgColor rgb="FFFF0000"/>
                </patternFill>
              </fill>
            </x14:dxf>
          </x14:cfRule>
          <xm:sqref>I14:I39</xm:sqref>
        </x14:conditionalFormatting>
        <x14:conditionalFormatting xmlns:xm="http://schemas.microsoft.com/office/excel/2006/main">
          <x14:cfRule type="expression" priority="2" id="{8D4307B9-6FBB-4296-A675-833BE621A8FE}">
            <xm:f>(AND(H40&lt;&gt;"",ISERROR(VLOOKUP(H40,system!$E:$E,1,FALSE))))</xm:f>
            <x14:dxf>
              <fill>
                <patternFill patternType="solid">
                  <bgColor rgb="FFFF0000"/>
                </patternFill>
              </fill>
            </x14:dxf>
          </x14:cfRule>
          <xm:sqref>H40:H47</xm:sqref>
        </x14:conditionalFormatting>
        <x14:conditionalFormatting xmlns:xm="http://schemas.microsoft.com/office/excel/2006/main">
          <x14:cfRule type="expression" priority="1" id="{5A585A65-C7FE-41E8-AF36-C90579B0C5D9}">
            <xm:f>(AND(H40&lt;&gt;"",ISERROR(VLOOKUP(H40,system!$E:$E,1,FALSE))))</xm:f>
            <x14:dxf>
              <fill>
                <patternFill>
                  <bgColor rgb="FFFF0000"/>
                </patternFill>
              </fill>
            </x14:dxf>
          </x14:cfRule>
          <xm:sqref>I40:I47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U37"/>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281</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108</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SUM(N14:N38)</f>
        <v>102</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36" si="0">IF(H14="NUMBER",IF(J14&gt;0,INT((J14+1)/2+0.9),0),IF(H14="DATE",7,IF(OR(H14="LONG",H14="LONG RAW"),100000,J14)))</f>
        <v>1</v>
      </c>
      <c r="O14" s="170"/>
      <c r="P14" s="191" t="s">
        <v>175</v>
      </c>
      <c r="Q14" s="192"/>
      <c r="R14" s="192"/>
      <c r="S14" s="192"/>
      <c r="T14" s="192"/>
      <c r="U14" s="193"/>
    </row>
    <row r="15" spans="1:21" ht="15.75" customHeight="1">
      <c r="A15" s="85" t="s">
        <v>191</v>
      </c>
      <c r="B15" s="37">
        <f>ROW()-13</f>
        <v>2</v>
      </c>
      <c r="C15" s="145" t="s">
        <v>282</v>
      </c>
      <c r="D15" s="80"/>
      <c r="E15" s="81"/>
      <c r="F15" s="146"/>
      <c r="G15" s="17"/>
      <c r="H15" s="18" t="s">
        <v>49</v>
      </c>
      <c r="I15" s="59"/>
      <c r="J15" s="19">
        <v>7</v>
      </c>
      <c r="K15" s="19"/>
      <c r="L15" s="50" t="s">
        <v>190</v>
      </c>
      <c r="M15" s="73" t="s">
        <v>21</v>
      </c>
      <c r="N15" s="54">
        <f t="shared" si="0"/>
        <v>7</v>
      </c>
      <c r="O15" s="170"/>
      <c r="P15" s="191"/>
      <c r="Q15" s="192"/>
      <c r="R15" s="192"/>
      <c r="S15" s="192"/>
      <c r="T15" s="192"/>
      <c r="U15" s="193"/>
    </row>
    <row r="16" spans="1:21" ht="15.75" customHeight="1">
      <c r="A16" s="85"/>
      <c r="B16" s="37">
        <f>ROW()-13</f>
        <v>3</v>
      </c>
      <c r="C16" s="145" t="s">
        <v>196</v>
      </c>
      <c r="D16" s="80"/>
      <c r="E16" s="81"/>
      <c r="F16" s="146"/>
      <c r="G16" s="17"/>
      <c r="H16" s="18" t="s">
        <v>49</v>
      </c>
      <c r="I16" s="59"/>
      <c r="J16" s="19">
        <v>12</v>
      </c>
      <c r="K16" s="19"/>
      <c r="L16" s="50" t="s">
        <v>190</v>
      </c>
      <c r="M16" s="73" t="s">
        <v>21</v>
      </c>
      <c r="N16" s="54">
        <f t="shared" si="0"/>
        <v>12</v>
      </c>
      <c r="O16" s="170"/>
      <c r="P16" s="191"/>
      <c r="Q16" s="192"/>
      <c r="R16" s="192"/>
      <c r="S16" s="192"/>
      <c r="T16" s="192"/>
      <c r="U16" s="193"/>
    </row>
    <row r="17" spans="1:21" ht="15.75" customHeight="1">
      <c r="A17" s="85" t="s">
        <v>191</v>
      </c>
      <c r="B17" s="37">
        <f>ROW()-13</f>
        <v>4</v>
      </c>
      <c r="C17" s="145" t="s">
        <v>198</v>
      </c>
      <c r="D17" s="80"/>
      <c r="E17" s="81"/>
      <c r="F17" s="146"/>
      <c r="G17" s="17"/>
      <c r="H17" s="18" t="s">
        <v>51</v>
      </c>
      <c r="I17" s="59"/>
      <c r="J17" s="19">
        <v>25</v>
      </c>
      <c r="K17" s="19"/>
      <c r="L17" s="50" t="s">
        <v>190</v>
      </c>
      <c r="M17" s="73" t="s">
        <v>21</v>
      </c>
      <c r="N17" s="54">
        <f t="shared" si="0"/>
        <v>25</v>
      </c>
      <c r="O17" s="170"/>
      <c r="P17" s="191"/>
      <c r="Q17" s="192"/>
      <c r="R17" s="192"/>
      <c r="S17" s="192"/>
      <c r="T17" s="192"/>
      <c r="U17" s="193"/>
    </row>
    <row r="18" spans="1:21" ht="15.75" customHeight="1">
      <c r="A18" s="85" t="s">
        <v>191</v>
      </c>
      <c r="B18" s="37">
        <f>ROW()-13</f>
        <v>5</v>
      </c>
      <c r="C18" s="145" t="s">
        <v>200</v>
      </c>
      <c r="D18" s="80"/>
      <c r="E18" s="81"/>
      <c r="F18" s="146"/>
      <c r="G18" s="17"/>
      <c r="H18" s="18" t="s">
        <v>51</v>
      </c>
      <c r="I18" s="59"/>
      <c r="J18" s="19">
        <v>4</v>
      </c>
      <c r="K18" s="19"/>
      <c r="L18" s="50" t="s">
        <v>190</v>
      </c>
      <c r="M18" s="73" t="s">
        <v>21</v>
      </c>
      <c r="N18" s="54">
        <f t="shared" si="0"/>
        <v>4</v>
      </c>
      <c r="O18" s="170"/>
      <c r="P18" s="191" t="s">
        <v>202</v>
      </c>
      <c r="Q18" s="192"/>
      <c r="R18" s="192"/>
      <c r="S18" s="192"/>
      <c r="T18" s="192"/>
      <c r="U18" s="193"/>
    </row>
    <row r="19" spans="1:21" ht="62.85" customHeight="1">
      <c r="A19" s="85" t="s">
        <v>191</v>
      </c>
      <c r="B19" s="37">
        <f>ROW()-13</f>
        <v>6</v>
      </c>
      <c r="C19" s="145" t="s">
        <v>203</v>
      </c>
      <c r="D19" s="80"/>
      <c r="E19" s="81"/>
      <c r="F19" s="146"/>
      <c r="G19" s="17"/>
      <c r="H19" s="18" t="s">
        <v>49</v>
      </c>
      <c r="I19" s="59"/>
      <c r="J19" s="19">
        <v>1</v>
      </c>
      <c r="K19" s="19"/>
      <c r="L19" s="50" t="s">
        <v>190</v>
      </c>
      <c r="M19" s="73" t="s">
        <v>21</v>
      </c>
      <c r="N19" s="54">
        <f t="shared" si="0"/>
        <v>1</v>
      </c>
      <c r="O19" s="170"/>
      <c r="P19" s="251" t="s">
        <v>264</v>
      </c>
      <c r="Q19" s="192"/>
      <c r="R19" s="192"/>
      <c r="S19" s="192"/>
      <c r="T19" s="192"/>
      <c r="U19" s="193"/>
    </row>
    <row r="20" spans="1:21" ht="15.75" customHeight="1">
      <c r="A20" s="85"/>
      <c r="B20" s="37">
        <f>ROW()-13</f>
        <v>7</v>
      </c>
      <c r="C20" s="145" t="s">
        <v>283</v>
      </c>
      <c r="D20" s="80"/>
      <c r="E20" s="81"/>
      <c r="F20" s="146"/>
      <c r="G20" s="17"/>
      <c r="H20" s="18" t="s">
        <v>208</v>
      </c>
      <c r="I20" s="59"/>
      <c r="J20" s="19"/>
      <c r="K20" s="19"/>
      <c r="L20" s="50"/>
      <c r="M20" s="73" t="s">
        <v>21</v>
      </c>
      <c r="N20" s="54">
        <f t="shared" si="0"/>
        <v>0</v>
      </c>
      <c r="O20" s="170"/>
      <c r="P20" s="191"/>
      <c r="Q20" s="192"/>
      <c r="R20" s="192"/>
      <c r="S20" s="192"/>
      <c r="T20" s="192"/>
      <c r="U20" s="193"/>
    </row>
    <row r="21" spans="1:21" ht="15.75" customHeight="1">
      <c r="A21" s="85"/>
      <c r="B21" s="37">
        <f>ROW()-13</f>
        <v>8</v>
      </c>
      <c r="C21" s="145" t="s">
        <v>284</v>
      </c>
      <c r="D21" s="80"/>
      <c r="E21" s="81"/>
      <c r="F21" s="146"/>
      <c r="G21" s="17"/>
      <c r="H21" s="18" t="s">
        <v>208</v>
      </c>
      <c r="I21" s="59"/>
      <c r="J21" s="19"/>
      <c r="K21" s="19"/>
      <c r="L21" s="50"/>
      <c r="M21" s="73" t="s">
        <v>21</v>
      </c>
      <c r="N21" s="54">
        <f t="shared" si="0"/>
        <v>0</v>
      </c>
      <c r="O21" s="170"/>
      <c r="P21" s="191"/>
      <c r="Q21" s="192"/>
      <c r="R21" s="192"/>
      <c r="S21" s="192"/>
      <c r="T21" s="192"/>
      <c r="U21" s="193"/>
    </row>
    <row r="22" spans="1:21" ht="15.75" customHeight="1">
      <c r="A22" s="85"/>
      <c r="B22" s="37">
        <f>ROW()-13</f>
        <v>9</v>
      </c>
      <c r="C22" s="145" t="s">
        <v>285</v>
      </c>
      <c r="D22" s="80"/>
      <c r="E22" s="81"/>
      <c r="F22" s="146"/>
      <c r="G22" s="17"/>
      <c r="H22" s="18" t="s">
        <v>208</v>
      </c>
      <c r="I22" s="59"/>
      <c r="J22" s="19"/>
      <c r="K22" s="19"/>
      <c r="L22" s="50"/>
      <c r="M22" s="73" t="s">
        <v>21</v>
      </c>
      <c r="N22" s="54">
        <f t="shared" si="0"/>
        <v>0</v>
      </c>
      <c r="O22" s="170"/>
      <c r="P22" s="191"/>
      <c r="Q22" s="192"/>
      <c r="R22" s="192"/>
      <c r="S22" s="192"/>
      <c r="T22" s="192"/>
      <c r="U22" s="193"/>
    </row>
    <row r="23" spans="1:21" ht="15.75" customHeight="1">
      <c r="A23" s="85"/>
      <c r="B23" s="37">
        <f>ROW()-13</f>
        <v>10</v>
      </c>
      <c r="C23" s="145" t="s">
        <v>286</v>
      </c>
      <c r="D23" s="80"/>
      <c r="E23" s="81"/>
      <c r="F23" s="146"/>
      <c r="G23" s="17"/>
      <c r="H23" s="18" t="s">
        <v>208</v>
      </c>
      <c r="I23" s="59"/>
      <c r="J23" s="19"/>
      <c r="K23" s="19"/>
      <c r="L23" s="50"/>
      <c r="M23" s="73" t="s">
        <v>21</v>
      </c>
      <c r="N23" s="54">
        <f t="shared" si="0"/>
        <v>0</v>
      </c>
      <c r="O23" s="170"/>
      <c r="P23" s="191"/>
      <c r="Q23" s="192"/>
      <c r="R23" s="192"/>
      <c r="S23" s="192"/>
      <c r="T23" s="192"/>
      <c r="U23" s="193"/>
    </row>
    <row r="24" spans="1:21" ht="15.75" customHeight="1">
      <c r="A24" s="85"/>
      <c r="B24" s="37">
        <f>ROW()-13</f>
        <v>11</v>
      </c>
      <c r="C24" s="145" t="s">
        <v>287</v>
      </c>
      <c r="D24" s="80"/>
      <c r="E24" s="81"/>
      <c r="F24" s="146"/>
      <c r="G24" s="17"/>
      <c r="H24" s="18" t="s">
        <v>208</v>
      </c>
      <c r="I24" s="59"/>
      <c r="J24" s="19"/>
      <c r="K24" s="19"/>
      <c r="L24" s="50"/>
      <c r="M24" s="73" t="s">
        <v>21</v>
      </c>
      <c r="N24" s="54">
        <f t="shared" si="0"/>
        <v>0</v>
      </c>
      <c r="O24" s="170"/>
      <c r="P24" s="191"/>
      <c r="Q24" s="192"/>
      <c r="R24" s="192"/>
      <c r="S24" s="192"/>
      <c r="T24" s="192"/>
      <c r="U24" s="193"/>
    </row>
    <row r="25" spans="1:21" ht="15.75" customHeight="1">
      <c r="A25" s="85"/>
      <c r="B25" s="37">
        <f>ROW()-13</f>
        <v>12</v>
      </c>
      <c r="C25" s="145" t="s">
        <v>288</v>
      </c>
      <c r="D25" s="80"/>
      <c r="E25" s="81"/>
      <c r="F25" s="146"/>
      <c r="G25" s="17"/>
      <c r="H25" s="18" t="s">
        <v>208</v>
      </c>
      <c r="I25" s="59"/>
      <c r="J25" s="19"/>
      <c r="K25" s="19"/>
      <c r="L25" s="50"/>
      <c r="M25" s="73" t="s">
        <v>21</v>
      </c>
      <c r="N25" s="54">
        <f t="shared" si="0"/>
        <v>0</v>
      </c>
      <c r="O25" s="170"/>
      <c r="P25" s="191"/>
      <c r="Q25" s="192"/>
      <c r="R25" s="192"/>
      <c r="S25" s="192"/>
      <c r="T25" s="192"/>
      <c r="U25" s="193"/>
    </row>
    <row r="26" spans="1:21" ht="15.75" customHeight="1">
      <c r="A26" s="85"/>
      <c r="B26" s="37">
        <f>ROW()-13</f>
        <v>13</v>
      </c>
      <c r="C26" s="145" t="s">
        <v>289</v>
      </c>
      <c r="D26" s="80"/>
      <c r="E26" s="81"/>
      <c r="F26" s="146"/>
      <c r="G26" s="17"/>
      <c r="H26" s="18" t="s">
        <v>208</v>
      </c>
      <c r="I26" s="59"/>
      <c r="J26" s="19"/>
      <c r="K26" s="19"/>
      <c r="L26" s="50"/>
      <c r="M26" s="73" t="s">
        <v>21</v>
      </c>
      <c r="N26" s="54">
        <f t="shared" si="0"/>
        <v>0</v>
      </c>
      <c r="O26" s="170"/>
      <c r="P26" s="191"/>
      <c r="Q26" s="192"/>
      <c r="R26" s="192"/>
      <c r="S26" s="192"/>
      <c r="T26" s="192"/>
      <c r="U26" s="193"/>
    </row>
    <row r="27" spans="1:21" ht="15.75" customHeight="1">
      <c r="A27" s="85"/>
      <c r="B27" s="37">
        <f>ROW()-13</f>
        <v>14</v>
      </c>
      <c r="C27" s="145" t="s">
        <v>290</v>
      </c>
      <c r="D27" s="80"/>
      <c r="E27" s="81"/>
      <c r="F27" s="146"/>
      <c r="G27" s="17"/>
      <c r="H27" s="18" t="s">
        <v>208</v>
      </c>
      <c r="I27" s="59"/>
      <c r="J27" s="19"/>
      <c r="K27" s="19"/>
      <c r="L27" s="50"/>
      <c r="M27" s="73" t="s">
        <v>21</v>
      </c>
      <c r="N27" s="54">
        <f t="shared" si="0"/>
        <v>0</v>
      </c>
      <c r="O27" s="170"/>
      <c r="P27" s="191"/>
      <c r="Q27" s="192"/>
      <c r="R27" s="192"/>
      <c r="S27" s="192"/>
      <c r="T27" s="192"/>
      <c r="U27" s="193"/>
    </row>
    <row r="28" spans="1:21" ht="15.75" customHeight="1">
      <c r="A28" s="85"/>
      <c r="B28" s="37">
        <f>ROW()-13</f>
        <v>15</v>
      </c>
      <c r="C28" s="145" t="s">
        <v>291</v>
      </c>
      <c r="D28" s="80"/>
      <c r="E28" s="81"/>
      <c r="F28" s="146"/>
      <c r="G28" s="17"/>
      <c r="H28" s="18" t="s">
        <v>208</v>
      </c>
      <c r="I28" s="59"/>
      <c r="J28" s="19"/>
      <c r="K28" s="19"/>
      <c r="L28" s="50"/>
      <c r="M28" s="73" t="s">
        <v>21</v>
      </c>
      <c r="N28" s="54">
        <f t="shared" si="0"/>
        <v>0</v>
      </c>
      <c r="O28" s="170"/>
      <c r="P28" s="191"/>
      <c r="Q28" s="192"/>
      <c r="R28" s="192"/>
      <c r="S28" s="192"/>
      <c r="T28" s="192"/>
      <c r="U28" s="193"/>
    </row>
    <row r="29" spans="1:21" ht="27.6" customHeight="1">
      <c r="A29" s="85"/>
      <c r="B29" s="37">
        <f>ROW()-13</f>
        <v>16</v>
      </c>
      <c r="C29" s="145" t="s">
        <v>292</v>
      </c>
      <c r="D29" s="80"/>
      <c r="E29" s="81"/>
      <c r="F29" s="146"/>
      <c r="G29" s="17"/>
      <c r="H29" s="18" t="s">
        <v>208</v>
      </c>
      <c r="I29" s="59"/>
      <c r="J29" s="19"/>
      <c r="K29" s="19"/>
      <c r="L29" s="50"/>
      <c r="M29" s="73" t="s">
        <v>21</v>
      </c>
      <c r="N29" s="54">
        <f t="shared" si="0"/>
        <v>0</v>
      </c>
      <c r="O29" s="170"/>
      <c r="P29" s="251" t="s">
        <v>293</v>
      </c>
      <c r="Q29" s="192"/>
      <c r="R29" s="192"/>
      <c r="S29" s="192"/>
      <c r="T29" s="192"/>
      <c r="U29" s="193"/>
    </row>
    <row r="30" spans="1:21" ht="15.75">
      <c r="A30" s="85"/>
      <c r="B30" s="37">
        <f t="shared" ref="B30:B36" si="1">ROW()-13</f>
        <v>17</v>
      </c>
      <c r="C30" s="107" t="s">
        <v>36</v>
      </c>
      <c r="D30" s="107"/>
      <c r="E30" s="108"/>
      <c r="F30" s="109" t="s">
        <v>78</v>
      </c>
      <c r="G30" s="110"/>
      <c r="H30" s="18" t="s">
        <v>51</v>
      </c>
      <c r="I30" s="59"/>
      <c r="J30" s="113">
        <v>12</v>
      </c>
      <c r="K30" s="113"/>
      <c r="L30" s="114"/>
      <c r="M30" s="115" t="s">
        <v>35</v>
      </c>
      <c r="N30" s="116">
        <f t="shared" si="0"/>
        <v>12</v>
      </c>
      <c r="O30" s="171"/>
      <c r="P30" s="197"/>
      <c r="Q30" s="198"/>
      <c r="R30" s="198"/>
      <c r="S30" s="198"/>
      <c r="T30" s="198"/>
      <c r="U30" s="199"/>
    </row>
    <row r="31" spans="1:21" ht="15.75">
      <c r="A31" s="85"/>
      <c r="B31" s="37">
        <f t="shared" si="1"/>
        <v>18</v>
      </c>
      <c r="C31" s="107" t="s">
        <v>37</v>
      </c>
      <c r="D31" s="107"/>
      <c r="E31" s="108"/>
      <c r="F31" s="109" t="s">
        <v>43</v>
      </c>
      <c r="G31" s="110"/>
      <c r="H31" s="18" t="s">
        <v>51</v>
      </c>
      <c r="I31" s="59"/>
      <c r="J31" s="113">
        <v>10</v>
      </c>
      <c r="K31" s="113"/>
      <c r="L31" s="114"/>
      <c r="M31" s="115" t="s">
        <v>21</v>
      </c>
      <c r="N31" s="116">
        <f t="shared" si="0"/>
        <v>10</v>
      </c>
      <c r="O31" s="171"/>
      <c r="P31" s="197"/>
      <c r="Q31" s="198"/>
      <c r="R31" s="198"/>
      <c r="S31" s="198"/>
      <c r="T31" s="198"/>
      <c r="U31" s="199"/>
    </row>
    <row r="32" spans="1:21" ht="15.75">
      <c r="A32" s="85"/>
      <c r="B32" s="37">
        <f t="shared" si="1"/>
        <v>19</v>
      </c>
      <c r="C32" s="107" t="s">
        <v>38</v>
      </c>
      <c r="D32" s="107"/>
      <c r="E32" s="108"/>
      <c r="F32" s="109" t="s">
        <v>80</v>
      </c>
      <c r="G32" s="110"/>
      <c r="H32" s="18" t="s">
        <v>86</v>
      </c>
      <c r="I32" s="59"/>
      <c r="J32" s="113"/>
      <c r="K32" s="113"/>
      <c r="L32" s="114"/>
      <c r="M32" s="115" t="s">
        <v>21</v>
      </c>
      <c r="N32" s="116">
        <f t="shared" si="0"/>
        <v>0</v>
      </c>
      <c r="O32" s="171"/>
      <c r="P32" s="197"/>
      <c r="Q32" s="198"/>
      <c r="R32" s="198"/>
      <c r="S32" s="198"/>
      <c r="T32" s="198"/>
      <c r="U32" s="199"/>
    </row>
    <row r="33" spans="1:21" ht="15.75">
      <c r="A33" s="85"/>
      <c r="B33" s="37">
        <f t="shared" si="1"/>
        <v>20</v>
      </c>
      <c r="C33" s="107" t="s">
        <v>39</v>
      </c>
      <c r="D33" s="107"/>
      <c r="E33" s="108"/>
      <c r="F33" s="109" t="s">
        <v>79</v>
      </c>
      <c r="G33" s="110"/>
      <c r="H33" s="18" t="s">
        <v>51</v>
      </c>
      <c r="I33" s="59"/>
      <c r="J33" s="113">
        <v>12</v>
      </c>
      <c r="K33" s="113"/>
      <c r="L33" s="114"/>
      <c r="M33" s="115" t="s">
        <v>35</v>
      </c>
      <c r="N33" s="116">
        <f t="shared" si="0"/>
        <v>12</v>
      </c>
      <c r="O33" s="171"/>
      <c r="P33" s="197"/>
      <c r="Q33" s="198"/>
      <c r="R33" s="198"/>
      <c r="S33" s="198"/>
      <c r="T33" s="198"/>
      <c r="U33" s="199"/>
    </row>
    <row r="34" spans="1:21" ht="15.75">
      <c r="A34" s="85"/>
      <c r="B34" s="37">
        <f t="shared" si="1"/>
        <v>21</v>
      </c>
      <c r="C34" s="107" t="s">
        <v>40</v>
      </c>
      <c r="D34" s="107"/>
      <c r="E34" s="108"/>
      <c r="F34" s="109" t="s">
        <v>44</v>
      </c>
      <c r="G34" s="110"/>
      <c r="H34" s="18" t="s">
        <v>51</v>
      </c>
      <c r="I34" s="59"/>
      <c r="J34" s="113">
        <v>10</v>
      </c>
      <c r="K34" s="113"/>
      <c r="L34" s="114"/>
      <c r="M34" s="115" t="s">
        <v>21</v>
      </c>
      <c r="N34" s="116">
        <f t="shared" si="0"/>
        <v>10</v>
      </c>
      <c r="O34" s="171"/>
      <c r="P34" s="197"/>
      <c r="Q34" s="198"/>
      <c r="R34" s="198"/>
      <c r="S34" s="198"/>
      <c r="T34" s="198"/>
      <c r="U34" s="199"/>
    </row>
    <row r="35" spans="1:21" ht="15.75">
      <c r="A35" s="85"/>
      <c r="B35" s="37">
        <f t="shared" si="1"/>
        <v>22</v>
      </c>
      <c r="C35" s="107" t="s">
        <v>41</v>
      </c>
      <c r="D35" s="107"/>
      <c r="E35" s="108"/>
      <c r="F35" s="109" t="s">
        <v>81</v>
      </c>
      <c r="G35" s="110"/>
      <c r="H35" s="18" t="s">
        <v>86</v>
      </c>
      <c r="I35" s="59"/>
      <c r="J35" s="113"/>
      <c r="K35" s="113"/>
      <c r="L35" s="114"/>
      <c r="M35" s="115" t="s">
        <v>21</v>
      </c>
      <c r="N35" s="116">
        <f t="shared" si="0"/>
        <v>0</v>
      </c>
      <c r="O35" s="171"/>
      <c r="P35" s="197"/>
      <c r="Q35" s="198"/>
      <c r="R35" s="198"/>
      <c r="S35" s="198"/>
      <c r="T35" s="198"/>
      <c r="U35" s="199"/>
    </row>
    <row r="36" spans="1:21" ht="15.75">
      <c r="A36" s="85"/>
      <c r="B36" s="37">
        <f t="shared" si="1"/>
        <v>23</v>
      </c>
      <c r="C36" s="80" t="s">
        <v>46</v>
      </c>
      <c r="D36" s="80"/>
      <c r="E36" s="81"/>
      <c r="F36" s="84" t="s">
        <v>71</v>
      </c>
      <c r="G36" s="17"/>
      <c r="H36" s="18" t="s">
        <v>62</v>
      </c>
      <c r="I36" s="59"/>
      <c r="J36" s="19">
        <v>8</v>
      </c>
      <c r="K36" s="19"/>
      <c r="L36" s="50" t="s">
        <v>47</v>
      </c>
      <c r="M36" s="73" t="s">
        <v>35</v>
      </c>
      <c r="N36" s="54">
        <f t="shared" si="0"/>
        <v>8</v>
      </c>
      <c r="O36" s="170">
        <v>0</v>
      </c>
      <c r="P36" s="191" t="s">
        <v>48</v>
      </c>
      <c r="Q36" s="192"/>
      <c r="R36" s="192"/>
      <c r="S36" s="192"/>
      <c r="T36" s="192"/>
      <c r="U36" s="193"/>
    </row>
    <row r="37" spans="1:21" ht="16.5" thickBot="1">
      <c r="A37" s="118"/>
      <c r="B37" s="119"/>
      <c r="C37" s="120"/>
      <c r="D37" s="120"/>
      <c r="E37" s="121"/>
      <c r="F37" s="129"/>
      <c r="G37" s="122"/>
      <c r="H37" s="147"/>
      <c r="I37" s="148"/>
      <c r="J37" s="125"/>
      <c r="K37" s="125"/>
      <c r="L37" s="126"/>
      <c r="M37" s="126"/>
      <c r="N37" s="127"/>
      <c r="O37" s="172"/>
      <c r="P37" s="194"/>
      <c r="Q37" s="195"/>
      <c r="R37" s="195"/>
      <c r="S37" s="195"/>
      <c r="T37" s="195"/>
      <c r="U37" s="196"/>
    </row>
  </sheetData>
  <mergeCells count="54">
    <mergeCell ref="P34:U34"/>
    <mergeCell ref="P35:U35"/>
    <mergeCell ref="P36:U36"/>
    <mergeCell ref="P37:U37"/>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048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048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048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048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048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F93EFC85-4476-4F45-88F7-BE43C8963579}">
            <xm:f>(AND(H14&lt;&gt;"",ISERROR(VLOOKUP(H14,system!$E:$E,1,FALSE))))</xm:f>
            <x14:dxf>
              <fill>
                <patternFill patternType="solid">
                  <bgColor rgb="FFFF0000"/>
                </patternFill>
              </fill>
            </x14:dxf>
          </x14:cfRule>
          <xm:sqref>H14:H29</xm:sqref>
        </x14:conditionalFormatting>
        <x14:conditionalFormatting xmlns:xm="http://schemas.microsoft.com/office/excel/2006/main">
          <x14:cfRule type="expression" priority="3" id="{987B5BCE-A181-46C7-8119-8A0C93408E22}">
            <xm:f>(AND(H14&lt;&gt;"",ISERROR(VLOOKUP(H14,system!$E:$E,1,FALSE))))</xm:f>
            <x14:dxf>
              <fill>
                <patternFill>
                  <bgColor rgb="FFFF0000"/>
                </patternFill>
              </fill>
            </x14:dxf>
          </x14:cfRule>
          <xm:sqref>I14:I29</xm:sqref>
        </x14:conditionalFormatting>
        <x14:conditionalFormatting xmlns:xm="http://schemas.microsoft.com/office/excel/2006/main">
          <x14:cfRule type="expression" priority="2" id="{8DF0E916-1DF6-43C6-86C7-0054E5338307}">
            <xm:f>(AND(H30&lt;&gt;"",ISERROR(VLOOKUP(H30,system!$E:$E,1,FALSE))))</xm:f>
            <x14:dxf>
              <fill>
                <patternFill patternType="solid">
                  <bgColor rgb="FFFF0000"/>
                </patternFill>
              </fill>
            </x14:dxf>
          </x14:cfRule>
          <xm:sqref>H30:H37</xm:sqref>
        </x14:conditionalFormatting>
        <x14:conditionalFormatting xmlns:xm="http://schemas.microsoft.com/office/excel/2006/main">
          <x14:cfRule type="expression" priority="1" id="{141EFC9A-E3FE-4BC2-BC9F-9D783E6F3488}">
            <xm:f>(AND(H30&lt;&gt;"",ISERROR(VLOOKUP(H30,system!$E:$E,1,FALSE))))</xm:f>
            <x14:dxf>
              <fill>
                <patternFill>
                  <bgColor rgb="FFFF0000"/>
                </patternFill>
              </fill>
            </x14:dxf>
          </x14:cfRule>
          <xm:sqref>I30:I37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U39"/>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295</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110</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SUM(N14:N40)</f>
        <v>131</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38" si="0">IF(H14="NUMBER",IF(J14&gt;0,INT((J14+1)/2+0.9),0),IF(H14="DATE",7,IF(OR(H14="LONG",H14="LONG RAW"),100000,J14)))</f>
        <v>1</v>
      </c>
      <c r="O14" s="170"/>
      <c r="P14" s="191" t="s">
        <v>175</v>
      </c>
      <c r="Q14" s="192"/>
      <c r="R14" s="192"/>
      <c r="S14" s="192"/>
      <c r="T14" s="192"/>
      <c r="U14" s="193"/>
    </row>
    <row r="15" spans="1:21" ht="15.75" customHeight="1">
      <c r="A15" s="85" t="s">
        <v>191</v>
      </c>
      <c r="B15" s="37">
        <f>ROW()-13</f>
        <v>2</v>
      </c>
      <c r="C15" s="145" t="s">
        <v>296</v>
      </c>
      <c r="D15" s="80"/>
      <c r="E15" s="81"/>
      <c r="F15" s="146"/>
      <c r="G15" s="17"/>
      <c r="H15" s="18" t="s">
        <v>51</v>
      </c>
      <c r="I15" s="59"/>
      <c r="J15" s="19">
        <v>14</v>
      </c>
      <c r="K15" s="19"/>
      <c r="L15" s="50" t="s">
        <v>190</v>
      </c>
      <c r="M15" s="73" t="s">
        <v>21</v>
      </c>
      <c r="N15" s="54">
        <f t="shared" si="0"/>
        <v>14</v>
      </c>
      <c r="O15" s="170"/>
      <c r="P15" s="191" t="s">
        <v>297</v>
      </c>
      <c r="Q15" s="192"/>
      <c r="R15" s="192"/>
      <c r="S15" s="192"/>
      <c r="T15" s="192"/>
      <c r="U15" s="193"/>
    </row>
    <row r="16" spans="1:21" ht="15.75" customHeight="1">
      <c r="A16" s="85"/>
      <c r="B16" s="37">
        <f>ROW()-13</f>
        <v>3</v>
      </c>
      <c r="C16" s="145" t="s">
        <v>298</v>
      </c>
      <c r="D16" s="80"/>
      <c r="E16" s="81"/>
      <c r="F16" s="146"/>
      <c r="G16" s="17"/>
      <c r="H16" s="18" t="s">
        <v>49</v>
      </c>
      <c r="I16" s="59"/>
      <c r="J16" s="19">
        <v>7</v>
      </c>
      <c r="K16" s="19"/>
      <c r="L16" s="50"/>
      <c r="M16" s="73" t="s">
        <v>21</v>
      </c>
      <c r="N16" s="54">
        <f t="shared" si="0"/>
        <v>7</v>
      </c>
      <c r="O16" s="170"/>
      <c r="P16" s="191"/>
      <c r="Q16" s="192"/>
      <c r="R16" s="192"/>
      <c r="S16" s="192"/>
      <c r="T16" s="192"/>
      <c r="U16" s="193"/>
    </row>
    <row r="17" spans="1:21" ht="15.75" customHeight="1">
      <c r="A17" s="85"/>
      <c r="B17" s="37">
        <f>ROW()-13</f>
        <v>4</v>
      </c>
      <c r="C17" s="145" t="s">
        <v>196</v>
      </c>
      <c r="D17" s="80"/>
      <c r="E17" s="81"/>
      <c r="F17" s="146"/>
      <c r="G17" s="17"/>
      <c r="H17" s="18" t="s">
        <v>49</v>
      </c>
      <c r="I17" s="59"/>
      <c r="J17" s="19">
        <v>12</v>
      </c>
      <c r="K17" s="19"/>
      <c r="L17" s="50"/>
      <c r="M17" s="73" t="s">
        <v>21</v>
      </c>
      <c r="N17" s="54">
        <f t="shared" si="0"/>
        <v>12</v>
      </c>
      <c r="O17" s="170"/>
      <c r="P17" s="191"/>
      <c r="Q17" s="192"/>
      <c r="R17" s="192"/>
      <c r="S17" s="192"/>
      <c r="T17" s="192"/>
      <c r="U17" s="193"/>
    </row>
    <row r="18" spans="1:21" ht="15.75" customHeight="1">
      <c r="A18" s="85"/>
      <c r="B18" s="37">
        <f>ROW()-13</f>
        <v>5</v>
      </c>
      <c r="C18" s="145" t="s">
        <v>198</v>
      </c>
      <c r="D18" s="80"/>
      <c r="E18" s="81"/>
      <c r="F18" s="146"/>
      <c r="G18" s="17"/>
      <c r="H18" s="18" t="s">
        <v>51</v>
      </c>
      <c r="I18" s="59"/>
      <c r="J18" s="19">
        <v>25</v>
      </c>
      <c r="K18" s="19"/>
      <c r="L18" s="50" t="s">
        <v>190</v>
      </c>
      <c r="M18" s="73" t="s">
        <v>21</v>
      </c>
      <c r="N18" s="54">
        <f t="shared" si="0"/>
        <v>25</v>
      </c>
      <c r="O18" s="170"/>
      <c r="P18" s="191"/>
      <c r="Q18" s="192"/>
      <c r="R18" s="192"/>
      <c r="S18" s="192"/>
      <c r="T18" s="192"/>
      <c r="U18" s="193"/>
    </row>
    <row r="19" spans="1:21" ht="15.75" customHeight="1">
      <c r="A19" s="85"/>
      <c r="B19" s="37">
        <f>ROW()-13</f>
        <v>6</v>
      </c>
      <c r="C19" s="145" t="s">
        <v>200</v>
      </c>
      <c r="D19" s="80"/>
      <c r="E19" s="81"/>
      <c r="F19" s="146"/>
      <c r="G19" s="17"/>
      <c r="H19" s="18" t="s">
        <v>51</v>
      </c>
      <c r="I19" s="59"/>
      <c r="J19" s="19">
        <v>4</v>
      </c>
      <c r="K19" s="19"/>
      <c r="L19" s="50" t="s">
        <v>190</v>
      </c>
      <c r="M19" s="73" t="s">
        <v>21</v>
      </c>
      <c r="N19" s="54">
        <f t="shared" si="0"/>
        <v>4</v>
      </c>
      <c r="O19" s="170"/>
      <c r="P19" s="191" t="s">
        <v>202</v>
      </c>
      <c r="Q19" s="192"/>
      <c r="R19" s="192"/>
      <c r="S19" s="192"/>
      <c r="T19" s="192"/>
      <c r="U19" s="193"/>
    </row>
    <row r="20" spans="1:21" ht="62.85" customHeight="1">
      <c r="A20" s="85"/>
      <c r="B20" s="37">
        <f>ROW()-13</f>
        <v>7</v>
      </c>
      <c r="C20" s="145" t="s">
        <v>203</v>
      </c>
      <c r="D20" s="80"/>
      <c r="E20" s="81"/>
      <c r="F20" s="146"/>
      <c r="G20" s="17"/>
      <c r="H20" s="18" t="s">
        <v>49</v>
      </c>
      <c r="I20" s="59"/>
      <c r="J20" s="19">
        <v>1</v>
      </c>
      <c r="K20" s="19"/>
      <c r="L20" s="50" t="s">
        <v>190</v>
      </c>
      <c r="M20" s="73" t="s">
        <v>21</v>
      </c>
      <c r="N20" s="54">
        <f t="shared" si="0"/>
        <v>1</v>
      </c>
      <c r="O20" s="170"/>
      <c r="P20" s="251" t="s">
        <v>299</v>
      </c>
      <c r="Q20" s="192"/>
      <c r="R20" s="192"/>
      <c r="S20" s="192"/>
      <c r="T20" s="192"/>
      <c r="U20" s="193"/>
    </row>
    <row r="21" spans="1:21" ht="15.75" customHeight="1">
      <c r="A21" s="85"/>
      <c r="B21" s="37">
        <f>ROW()-13</f>
        <v>8</v>
      </c>
      <c r="C21" s="145" t="s">
        <v>214</v>
      </c>
      <c r="D21" s="80"/>
      <c r="E21" s="81"/>
      <c r="F21" s="146"/>
      <c r="G21" s="17"/>
      <c r="H21" s="18" t="s">
        <v>24</v>
      </c>
      <c r="I21" s="59"/>
      <c r="J21" s="19"/>
      <c r="K21" s="19"/>
      <c r="L21" s="50"/>
      <c r="M21" s="73" t="s">
        <v>21</v>
      </c>
      <c r="N21" s="54">
        <f t="shared" si="0"/>
        <v>7</v>
      </c>
      <c r="O21" s="170"/>
      <c r="P21" s="191"/>
      <c r="Q21" s="192"/>
      <c r="R21" s="192"/>
      <c r="S21" s="192"/>
      <c r="T21" s="192"/>
      <c r="U21" s="193"/>
    </row>
    <row r="22" spans="1:21" ht="15.75" customHeight="1">
      <c r="A22" s="85"/>
      <c r="B22" s="37">
        <f>ROW()-13</f>
        <v>9</v>
      </c>
      <c r="C22" s="145" t="s">
        <v>300</v>
      </c>
      <c r="D22" s="80"/>
      <c r="E22" s="81"/>
      <c r="F22" s="146"/>
      <c r="G22" s="17"/>
      <c r="H22" s="18" t="s">
        <v>54</v>
      </c>
      <c r="I22" s="59"/>
      <c r="J22" s="19"/>
      <c r="K22" s="19"/>
      <c r="L22" s="50"/>
      <c r="M22" s="73" t="s">
        <v>21</v>
      </c>
      <c r="N22" s="54">
        <f t="shared" si="0"/>
        <v>0</v>
      </c>
      <c r="O22" s="170"/>
      <c r="P22" s="191"/>
      <c r="Q22" s="192"/>
      <c r="R22" s="192"/>
      <c r="S22" s="192"/>
      <c r="T22" s="192"/>
      <c r="U22" s="193"/>
    </row>
    <row r="23" spans="1:21" ht="39.200000000000003" customHeight="1">
      <c r="A23" s="85"/>
      <c r="B23" s="37">
        <f>ROW()-13</f>
        <v>10</v>
      </c>
      <c r="C23" s="145" t="s">
        <v>301</v>
      </c>
      <c r="D23" s="80"/>
      <c r="E23" s="81"/>
      <c r="F23" s="146"/>
      <c r="G23" s="17"/>
      <c r="H23" s="18" t="s">
        <v>49</v>
      </c>
      <c r="I23" s="59"/>
      <c r="J23" s="19">
        <v>1</v>
      </c>
      <c r="K23" s="19"/>
      <c r="L23" s="50"/>
      <c r="M23" s="73" t="s">
        <v>21</v>
      </c>
      <c r="N23" s="54">
        <f t="shared" si="0"/>
        <v>1</v>
      </c>
      <c r="O23" s="170"/>
      <c r="P23" s="251" t="s">
        <v>218</v>
      </c>
      <c r="Q23" s="192"/>
      <c r="R23" s="192"/>
      <c r="S23" s="192"/>
      <c r="T23" s="192"/>
      <c r="U23" s="193"/>
    </row>
    <row r="24" spans="1:21" ht="15.75" customHeight="1">
      <c r="A24" s="85"/>
      <c r="B24" s="37">
        <f>ROW()-13</f>
        <v>11</v>
      </c>
      <c r="C24" s="145" t="s">
        <v>194</v>
      </c>
      <c r="D24" s="80"/>
      <c r="E24" s="81"/>
      <c r="F24" s="146"/>
      <c r="G24" s="17"/>
      <c r="H24" s="18" t="s">
        <v>49</v>
      </c>
      <c r="I24" s="59"/>
      <c r="J24" s="19">
        <v>2</v>
      </c>
      <c r="K24" s="19"/>
      <c r="L24" s="50"/>
      <c r="M24" s="73" t="s">
        <v>21</v>
      </c>
      <c r="N24" s="54">
        <f t="shared" si="0"/>
        <v>2</v>
      </c>
      <c r="O24" s="170"/>
      <c r="P24" s="191" t="s">
        <v>155</v>
      </c>
      <c r="Q24" s="192"/>
      <c r="R24" s="192"/>
      <c r="S24" s="192"/>
      <c r="T24" s="192"/>
      <c r="U24" s="193"/>
    </row>
    <row r="25" spans="1:21" ht="15.75" customHeight="1">
      <c r="A25" s="85"/>
      <c r="B25" s="37">
        <f>ROW()-13</f>
        <v>12</v>
      </c>
      <c r="C25" s="145" t="s">
        <v>206</v>
      </c>
      <c r="D25" s="80"/>
      <c r="E25" s="81"/>
      <c r="F25" s="146"/>
      <c r="G25" s="17"/>
      <c r="H25" s="18" t="s">
        <v>208</v>
      </c>
      <c r="I25" s="59"/>
      <c r="J25" s="19"/>
      <c r="K25" s="19"/>
      <c r="L25" s="50"/>
      <c r="M25" s="73" t="s">
        <v>21</v>
      </c>
      <c r="N25" s="54">
        <f t="shared" si="0"/>
        <v>0</v>
      </c>
      <c r="O25" s="170"/>
      <c r="P25" s="191"/>
      <c r="Q25" s="192"/>
      <c r="R25" s="192"/>
      <c r="S25" s="192"/>
      <c r="T25" s="192"/>
      <c r="U25" s="193"/>
    </row>
    <row r="26" spans="1:21" ht="27.6" customHeight="1">
      <c r="A26" s="85"/>
      <c r="B26" s="37">
        <f>ROW()-13</f>
        <v>13</v>
      </c>
      <c r="C26" s="145" t="s">
        <v>302</v>
      </c>
      <c r="D26" s="80"/>
      <c r="E26" s="81"/>
      <c r="F26" s="146"/>
      <c r="G26" s="17"/>
      <c r="H26" s="18" t="s">
        <v>49</v>
      </c>
      <c r="I26" s="59"/>
      <c r="J26" s="19">
        <v>1</v>
      </c>
      <c r="K26" s="19"/>
      <c r="L26" s="50"/>
      <c r="M26" s="73" t="s">
        <v>21</v>
      </c>
      <c r="N26" s="54">
        <f t="shared" si="0"/>
        <v>1</v>
      </c>
      <c r="O26" s="170"/>
      <c r="P26" s="251" t="s">
        <v>303</v>
      </c>
      <c r="Q26" s="192"/>
      <c r="R26" s="192"/>
      <c r="S26" s="192"/>
      <c r="T26" s="192"/>
      <c r="U26" s="193"/>
    </row>
    <row r="27" spans="1:21" ht="27.6" customHeight="1">
      <c r="A27" s="85"/>
      <c r="B27" s="37">
        <f>ROW()-13</f>
        <v>14</v>
      </c>
      <c r="C27" s="145" t="s">
        <v>304</v>
      </c>
      <c r="D27" s="80"/>
      <c r="E27" s="81"/>
      <c r="F27" s="146"/>
      <c r="G27" s="17"/>
      <c r="H27" s="18" t="s">
        <v>49</v>
      </c>
      <c r="I27" s="59"/>
      <c r="J27" s="19">
        <v>1</v>
      </c>
      <c r="K27" s="19"/>
      <c r="L27" s="50"/>
      <c r="M27" s="73" t="s">
        <v>21</v>
      </c>
      <c r="N27" s="54">
        <f t="shared" si="0"/>
        <v>1</v>
      </c>
      <c r="O27" s="170"/>
      <c r="P27" s="251" t="s">
        <v>305</v>
      </c>
      <c r="Q27" s="192"/>
      <c r="R27" s="192"/>
      <c r="S27" s="192"/>
      <c r="T27" s="192"/>
      <c r="U27" s="193"/>
    </row>
    <row r="28" spans="1:21" ht="27.6" customHeight="1">
      <c r="A28" s="85"/>
      <c r="B28" s="37">
        <f>ROW()-13</f>
        <v>15</v>
      </c>
      <c r="C28" s="145" t="s">
        <v>306</v>
      </c>
      <c r="D28" s="80"/>
      <c r="E28" s="81"/>
      <c r="F28" s="146"/>
      <c r="G28" s="17"/>
      <c r="H28" s="18" t="s">
        <v>49</v>
      </c>
      <c r="I28" s="59"/>
      <c r="J28" s="19">
        <v>1</v>
      </c>
      <c r="K28" s="19"/>
      <c r="L28" s="50"/>
      <c r="M28" s="73" t="s">
        <v>21</v>
      </c>
      <c r="N28" s="54">
        <f t="shared" si="0"/>
        <v>1</v>
      </c>
      <c r="O28" s="170"/>
      <c r="P28" s="251" t="s">
        <v>307</v>
      </c>
      <c r="Q28" s="192"/>
      <c r="R28" s="192"/>
      <c r="S28" s="192"/>
      <c r="T28" s="192"/>
      <c r="U28" s="193"/>
    </row>
    <row r="29" spans="1:21" ht="27.6" customHeight="1">
      <c r="A29" s="85"/>
      <c r="B29" s="37">
        <f>ROW()-13</f>
        <v>16</v>
      </c>
      <c r="C29" s="145" t="s">
        <v>308</v>
      </c>
      <c r="D29" s="80"/>
      <c r="E29" s="81"/>
      <c r="F29" s="146"/>
      <c r="G29" s="17"/>
      <c r="H29" s="18" t="s">
        <v>49</v>
      </c>
      <c r="I29" s="59"/>
      <c r="J29" s="19">
        <v>1</v>
      </c>
      <c r="K29" s="19"/>
      <c r="L29" s="50"/>
      <c r="M29" s="73" t="s">
        <v>21</v>
      </c>
      <c r="N29" s="54">
        <f t="shared" si="0"/>
        <v>1</v>
      </c>
      <c r="O29" s="170"/>
      <c r="P29" s="251" t="s">
        <v>309</v>
      </c>
      <c r="Q29" s="192"/>
      <c r="R29" s="192"/>
      <c r="S29" s="192"/>
      <c r="T29" s="192"/>
      <c r="U29" s="193"/>
    </row>
    <row r="30" spans="1:21" ht="15.75" customHeight="1">
      <c r="A30" s="85"/>
      <c r="B30" s="37">
        <f>ROW()-13</f>
        <v>17</v>
      </c>
      <c r="C30" s="145" t="s">
        <v>310</v>
      </c>
      <c r="D30" s="80"/>
      <c r="E30" s="81"/>
      <c r="F30" s="146"/>
      <c r="G30" s="17"/>
      <c r="H30" s="18" t="s">
        <v>208</v>
      </c>
      <c r="I30" s="59"/>
      <c r="J30" s="19"/>
      <c r="K30" s="19"/>
      <c r="L30" s="50"/>
      <c r="M30" s="73" t="s">
        <v>21</v>
      </c>
      <c r="N30" s="54">
        <f t="shared" si="0"/>
        <v>0</v>
      </c>
      <c r="O30" s="170"/>
      <c r="P30" s="191" t="s">
        <v>311</v>
      </c>
      <c r="Q30" s="192"/>
      <c r="R30" s="192"/>
      <c r="S30" s="192"/>
      <c r="T30" s="192"/>
      <c r="U30" s="193"/>
    </row>
    <row r="31" spans="1:21" ht="27.6" customHeight="1">
      <c r="A31" s="85"/>
      <c r="B31" s="37">
        <f>ROW()-13</f>
        <v>18</v>
      </c>
      <c r="C31" s="145" t="s">
        <v>312</v>
      </c>
      <c r="D31" s="80"/>
      <c r="E31" s="81"/>
      <c r="F31" s="146"/>
      <c r="G31" s="17"/>
      <c r="H31" s="18" t="s">
        <v>49</v>
      </c>
      <c r="I31" s="59"/>
      <c r="J31" s="19">
        <v>1</v>
      </c>
      <c r="K31" s="19"/>
      <c r="L31" s="50" t="s">
        <v>190</v>
      </c>
      <c r="M31" s="73" t="s">
        <v>21</v>
      </c>
      <c r="N31" s="54">
        <f t="shared" si="0"/>
        <v>1</v>
      </c>
      <c r="O31" s="170"/>
      <c r="P31" s="251" t="s">
        <v>313</v>
      </c>
      <c r="Q31" s="192"/>
      <c r="R31" s="192"/>
      <c r="S31" s="192"/>
      <c r="T31" s="192"/>
      <c r="U31" s="193"/>
    </row>
    <row r="32" spans="1:21" ht="15.75">
      <c r="A32" s="85"/>
      <c r="B32" s="37">
        <f t="shared" ref="B32:B38" si="1">ROW()-13</f>
        <v>19</v>
      </c>
      <c r="C32" s="107" t="s">
        <v>36</v>
      </c>
      <c r="D32" s="107"/>
      <c r="E32" s="108"/>
      <c r="F32" s="109" t="s">
        <v>78</v>
      </c>
      <c r="G32" s="110"/>
      <c r="H32" s="18" t="s">
        <v>51</v>
      </c>
      <c r="I32" s="59"/>
      <c r="J32" s="113">
        <v>12</v>
      </c>
      <c r="K32" s="113"/>
      <c r="L32" s="114"/>
      <c r="M32" s="115" t="s">
        <v>35</v>
      </c>
      <c r="N32" s="116">
        <f t="shared" si="0"/>
        <v>12</v>
      </c>
      <c r="O32" s="171"/>
      <c r="P32" s="197"/>
      <c r="Q32" s="198"/>
      <c r="R32" s="198"/>
      <c r="S32" s="198"/>
      <c r="T32" s="198"/>
      <c r="U32" s="199"/>
    </row>
    <row r="33" spans="1:21" ht="15.75">
      <c r="A33" s="85"/>
      <c r="B33" s="37">
        <f t="shared" si="1"/>
        <v>20</v>
      </c>
      <c r="C33" s="107" t="s">
        <v>37</v>
      </c>
      <c r="D33" s="107"/>
      <c r="E33" s="108"/>
      <c r="F33" s="109" t="s">
        <v>43</v>
      </c>
      <c r="G33" s="110"/>
      <c r="H33" s="18" t="s">
        <v>51</v>
      </c>
      <c r="I33" s="59"/>
      <c r="J33" s="113">
        <v>10</v>
      </c>
      <c r="K33" s="113"/>
      <c r="L33" s="114"/>
      <c r="M33" s="115" t="s">
        <v>21</v>
      </c>
      <c r="N33" s="116">
        <f t="shared" si="0"/>
        <v>10</v>
      </c>
      <c r="O33" s="171"/>
      <c r="P33" s="197"/>
      <c r="Q33" s="198"/>
      <c r="R33" s="198"/>
      <c r="S33" s="198"/>
      <c r="T33" s="198"/>
      <c r="U33" s="199"/>
    </row>
    <row r="34" spans="1:21" ht="15.75">
      <c r="A34" s="85"/>
      <c r="B34" s="37">
        <f t="shared" si="1"/>
        <v>21</v>
      </c>
      <c r="C34" s="107" t="s">
        <v>38</v>
      </c>
      <c r="D34" s="107"/>
      <c r="E34" s="108"/>
      <c r="F34" s="109" t="s">
        <v>80</v>
      </c>
      <c r="G34" s="110"/>
      <c r="H34" s="18" t="s">
        <v>86</v>
      </c>
      <c r="I34" s="59"/>
      <c r="J34" s="113"/>
      <c r="K34" s="113"/>
      <c r="L34" s="114"/>
      <c r="M34" s="115" t="s">
        <v>21</v>
      </c>
      <c r="N34" s="116">
        <f t="shared" si="0"/>
        <v>0</v>
      </c>
      <c r="O34" s="171"/>
      <c r="P34" s="197"/>
      <c r="Q34" s="198"/>
      <c r="R34" s="198"/>
      <c r="S34" s="198"/>
      <c r="T34" s="198"/>
      <c r="U34" s="199"/>
    </row>
    <row r="35" spans="1:21" ht="15.75">
      <c r="A35" s="85"/>
      <c r="B35" s="37">
        <f t="shared" si="1"/>
        <v>22</v>
      </c>
      <c r="C35" s="107" t="s">
        <v>39</v>
      </c>
      <c r="D35" s="107"/>
      <c r="E35" s="108"/>
      <c r="F35" s="109" t="s">
        <v>79</v>
      </c>
      <c r="G35" s="110"/>
      <c r="H35" s="18" t="s">
        <v>51</v>
      </c>
      <c r="I35" s="59"/>
      <c r="J35" s="113">
        <v>12</v>
      </c>
      <c r="K35" s="113"/>
      <c r="L35" s="114"/>
      <c r="M35" s="115" t="s">
        <v>35</v>
      </c>
      <c r="N35" s="116">
        <f t="shared" si="0"/>
        <v>12</v>
      </c>
      <c r="O35" s="171"/>
      <c r="P35" s="197"/>
      <c r="Q35" s="198"/>
      <c r="R35" s="198"/>
      <c r="S35" s="198"/>
      <c r="T35" s="198"/>
      <c r="U35" s="199"/>
    </row>
    <row r="36" spans="1:21" ht="15.75">
      <c r="A36" s="85"/>
      <c r="B36" s="37">
        <f t="shared" si="1"/>
        <v>23</v>
      </c>
      <c r="C36" s="107" t="s">
        <v>40</v>
      </c>
      <c r="D36" s="107"/>
      <c r="E36" s="108"/>
      <c r="F36" s="109" t="s">
        <v>44</v>
      </c>
      <c r="G36" s="110"/>
      <c r="H36" s="18" t="s">
        <v>51</v>
      </c>
      <c r="I36" s="59"/>
      <c r="J36" s="113">
        <v>10</v>
      </c>
      <c r="K36" s="113"/>
      <c r="L36" s="114"/>
      <c r="M36" s="115" t="s">
        <v>21</v>
      </c>
      <c r="N36" s="116">
        <f t="shared" si="0"/>
        <v>10</v>
      </c>
      <c r="O36" s="171"/>
      <c r="P36" s="197"/>
      <c r="Q36" s="198"/>
      <c r="R36" s="198"/>
      <c r="S36" s="198"/>
      <c r="T36" s="198"/>
      <c r="U36" s="199"/>
    </row>
    <row r="37" spans="1:21" ht="15.75">
      <c r="A37" s="85"/>
      <c r="B37" s="37">
        <f t="shared" si="1"/>
        <v>24</v>
      </c>
      <c r="C37" s="107" t="s">
        <v>41</v>
      </c>
      <c r="D37" s="107"/>
      <c r="E37" s="108"/>
      <c r="F37" s="109" t="s">
        <v>81</v>
      </c>
      <c r="G37" s="110"/>
      <c r="H37" s="18" t="s">
        <v>86</v>
      </c>
      <c r="I37" s="59"/>
      <c r="J37" s="113"/>
      <c r="K37" s="113"/>
      <c r="L37" s="114"/>
      <c r="M37" s="115" t="s">
        <v>21</v>
      </c>
      <c r="N37" s="116">
        <f t="shared" si="0"/>
        <v>0</v>
      </c>
      <c r="O37" s="171"/>
      <c r="P37" s="197"/>
      <c r="Q37" s="198"/>
      <c r="R37" s="198"/>
      <c r="S37" s="198"/>
      <c r="T37" s="198"/>
      <c r="U37" s="199"/>
    </row>
    <row r="38" spans="1:21" ht="15.75">
      <c r="A38" s="85"/>
      <c r="B38" s="37">
        <f t="shared" si="1"/>
        <v>25</v>
      </c>
      <c r="C38" s="80" t="s">
        <v>46</v>
      </c>
      <c r="D38" s="80"/>
      <c r="E38" s="81"/>
      <c r="F38" s="84" t="s">
        <v>71</v>
      </c>
      <c r="G38" s="17"/>
      <c r="H38" s="18" t="s">
        <v>62</v>
      </c>
      <c r="I38" s="59"/>
      <c r="J38" s="19">
        <v>8</v>
      </c>
      <c r="K38" s="19"/>
      <c r="L38" s="50" t="s">
        <v>47</v>
      </c>
      <c r="M38" s="73" t="s">
        <v>35</v>
      </c>
      <c r="N38" s="54">
        <f t="shared" si="0"/>
        <v>8</v>
      </c>
      <c r="O38" s="170">
        <v>0</v>
      </c>
      <c r="P38" s="191" t="s">
        <v>48</v>
      </c>
      <c r="Q38" s="192"/>
      <c r="R38" s="192"/>
      <c r="S38" s="192"/>
      <c r="T38" s="192"/>
      <c r="U38" s="193"/>
    </row>
    <row r="39" spans="1:21" ht="16.5" thickBot="1">
      <c r="A39" s="118"/>
      <c r="B39" s="119"/>
      <c r="C39" s="120"/>
      <c r="D39" s="120"/>
      <c r="E39" s="121"/>
      <c r="F39" s="129"/>
      <c r="G39" s="122"/>
      <c r="H39" s="147"/>
      <c r="I39" s="148"/>
      <c r="J39" s="125"/>
      <c r="K39" s="125"/>
      <c r="L39" s="126"/>
      <c r="M39" s="126"/>
      <c r="N39" s="127"/>
      <c r="O39" s="172"/>
      <c r="P39" s="194"/>
      <c r="Q39" s="195"/>
      <c r="R39" s="195"/>
      <c r="S39" s="195"/>
      <c r="T39" s="195"/>
      <c r="U39" s="196"/>
    </row>
  </sheetData>
  <mergeCells count="56">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150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150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150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150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151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FAB66C62-1832-4DD8-AB43-5248E22BE970}">
            <xm:f>(AND(H14&lt;&gt;"",ISERROR(VLOOKUP(H14,system!$E:$E,1,FALSE))))</xm:f>
            <x14:dxf>
              <fill>
                <patternFill patternType="solid">
                  <bgColor rgb="FFFF0000"/>
                </patternFill>
              </fill>
            </x14:dxf>
          </x14:cfRule>
          <xm:sqref>H14:H31</xm:sqref>
        </x14:conditionalFormatting>
        <x14:conditionalFormatting xmlns:xm="http://schemas.microsoft.com/office/excel/2006/main">
          <x14:cfRule type="expression" priority="3" id="{5405C066-BEF4-4DA4-A538-B8EF9B778FE4}">
            <xm:f>(AND(H14&lt;&gt;"",ISERROR(VLOOKUP(H14,system!$E:$E,1,FALSE))))</xm:f>
            <x14:dxf>
              <fill>
                <patternFill>
                  <bgColor rgb="FFFF0000"/>
                </patternFill>
              </fill>
            </x14:dxf>
          </x14:cfRule>
          <xm:sqref>I14:I31</xm:sqref>
        </x14:conditionalFormatting>
        <x14:conditionalFormatting xmlns:xm="http://schemas.microsoft.com/office/excel/2006/main">
          <x14:cfRule type="expression" priority="2" id="{66F23D85-90D1-4511-83D8-5FF12D287EC4}">
            <xm:f>(AND(H32&lt;&gt;"",ISERROR(VLOOKUP(H32,system!$E:$E,1,FALSE))))</xm:f>
            <x14:dxf>
              <fill>
                <patternFill patternType="solid">
                  <bgColor rgb="FFFF0000"/>
                </patternFill>
              </fill>
            </x14:dxf>
          </x14:cfRule>
          <xm:sqref>H32:H39</xm:sqref>
        </x14:conditionalFormatting>
        <x14:conditionalFormatting xmlns:xm="http://schemas.microsoft.com/office/excel/2006/main">
          <x14:cfRule type="expression" priority="1" id="{9EC8327D-B8EB-4979-A9D6-984FDC559C62}">
            <xm:f>(AND(H32&lt;&gt;"",ISERROR(VLOOKUP(H32,system!$E:$E,1,FALSE))))</xm:f>
            <x14:dxf>
              <fill>
                <patternFill>
                  <bgColor rgb="FFFF0000"/>
                </patternFill>
              </fill>
            </x14:dxf>
          </x14:cfRule>
          <xm:sqref>I32:I39</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U28"/>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315</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112</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SUM(N14:N29)</f>
        <v>115</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27" si="0">IF(H14="NUMBER",IF(J14&gt;0,INT((J14+1)/2+0.9),0),IF(H14="DATE",7,IF(OR(H14="LONG",H14="LONG RAW"),100000,J14)))</f>
        <v>1</v>
      </c>
      <c r="O14" s="170"/>
      <c r="P14" s="191" t="s">
        <v>175</v>
      </c>
      <c r="Q14" s="192"/>
      <c r="R14" s="192"/>
      <c r="S14" s="192"/>
      <c r="T14" s="192"/>
      <c r="U14" s="193"/>
    </row>
    <row r="15" spans="1:21" ht="15.75" customHeight="1">
      <c r="A15" s="85" t="s">
        <v>191</v>
      </c>
      <c r="B15" s="37">
        <f>ROW()-13</f>
        <v>2</v>
      </c>
      <c r="C15" s="145" t="s">
        <v>316</v>
      </c>
      <c r="D15" s="80"/>
      <c r="E15" s="81"/>
      <c r="F15" s="146"/>
      <c r="G15" s="17"/>
      <c r="H15" s="18" t="s">
        <v>51</v>
      </c>
      <c r="I15" s="59"/>
      <c r="J15" s="19">
        <v>14</v>
      </c>
      <c r="K15" s="19"/>
      <c r="L15" s="50" t="s">
        <v>190</v>
      </c>
      <c r="M15" s="73" t="s">
        <v>21</v>
      </c>
      <c r="N15" s="54">
        <f t="shared" si="0"/>
        <v>14</v>
      </c>
      <c r="O15" s="170"/>
      <c r="P15" s="191" t="s">
        <v>297</v>
      </c>
      <c r="Q15" s="192"/>
      <c r="R15" s="192"/>
      <c r="S15" s="192"/>
      <c r="T15" s="192"/>
      <c r="U15" s="193"/>
    </row>
    <row r="16" spans="1:21" ht="15.75" customHeight="1">
      <c r="A16" s="85"/>
      <c r="B16" s="37">
        <f>ROW()-13</f>
        <v>3</v>
      </c>
      <c r="C16" s="145" t="s">
        <v>317</v>
      </c>
      <c r="D16" s="80"/>
      <c r="E16" s="81"/>
      <c r="F16" s="146"/>
      <c r="G16" s="17"/>
      <c r="H16" s="18" t="s">
        <v>51</v>
      </c>
      <c r="I16" s="59"/>
      <c r="J16" s="19">
        <v>14</v>
      </c>
      <c r="K16" s="19"/>
      <c r="L16" s="50"/>
      <c r="M16" s="73" t="s">
        <v>21</v>
      </c>
      <c r="N16" s="54">
        <f t="shared" si="0"/>
        <v>14</v>
      </c>
      <c r="O16" s="170"/>
      <c r="P16" s="191"/>
      <c r="Q16" s="192"/>
      <c r="R16" s="192"/>
      <c r="S16" s="192"/>
      <c r="T16" s="192"/>
      <c r="U16" s="193"/>
    </row>
    <row r="17" spans="1:21" ht="15.75" customHeight="1">
      <c r="A17" s="85"/>
      <c r="B17" s="37">
        <f>ROW()-13</f>
        <v>4</v>
      </c>
      <c r="C17" s="145" t="s">
        <v>198</v>
      </c>
      <c r="D17" s="80"/>
      <c r="E17" s="81"/>
      <c r="F17" s="146"/>
      <c r="G17" s="17"/>
      <c r="H17" s="18" t="s">
        <v>51</v>
      </c>
      <c r="I17" s="59"/>
      <c r="J17" s="19">
        <v>25</v>
      </c>
      <c r="K17" s="19"/>
      <c r="L17" s="50" t="s">
        <v>190</v>
      </c>
      <c r="M17" s="73" t="s">
        <v>21</v>
      </c>
      <c r="N17" s="54">
        <f t="shared" si="0"/>
        <v>25</v>
      </c>
      <c r="O17" s="170"/>
      <c r="P17" s="191"/>
      <c r="Q17" s="192"/>
      <c r="R17" s="192"/>
      <c r="S17" s="192"/>
      <c r="T17" s="192"/>
      <c r="U17" s="193"/>
    </row>
    <row r="18" spans="1:21" ht="15.75" customHeight="1">
      <c r="A18" s="85"/>
      <c r="B18" s="37">
        <f>ROW()-13</f>
        <v>5</v>
      </c>
      <c r="C18" s="145" t="s">
        <v>200</v>
      </c>
      <c r="D18" s="80"/>
      <c r="E18" s="81"/>
      <c r="F18" s="146"/>
      <c r="G18" s="17"/>
      <c r="H18" s="18" t="s">
        <v>51</v>
      </c>
      <c r="I18" s="59"/>
      <c r="J18" s="19">
        <v>4</v>
      </c>
      <c r="K18" s="19"/>
      <c r="L18" s="50" t="s">
        <v>190</v>
      </c>
      <c r="M18" s="73" t="s">
        <v>21</v>
      </c>
      <c r="N18" s="54">
        <f t="shared" si="0"/>
        <v>4</v>
      </c>
      <c r="O18" s="170"/>
      <c r="P18" s="191" t="s">
        <v>202</v>
      </c>
      <c r="Q18" s="192"/>
      <c r="R18" s="192"/>
      <c r="S18" s="192"/>
      <c r="T18" s="192"/>
      <c r="U18" s="193"/>
    </row>
    <row r="19" spans="1:21" ht="15.75" customHeight="1">
      <c r="A19" s="85" t="s">
        <v>191</v>
      </c>
      <c r="B19" s="37">
        <f>ROW()-13</f>
        <v>6</v>
      </c>
      <c r="C19" s="145" t="s">
        <v>318</v>
      </c>
      <c r="D19" s="80"/>
      <c r="E19" s="81"/>
      <c r="F19" s="146"/>
      <c r="G19" s="17"/>
      <c r="H19" s="18" t="s">
        <v>51</v>
      </c>
      <c r="I19" s="59"/>
      <c r="J19" s="19">
        <v>4</v>
      </c>
      <c r="K19" s="19"/>
      <c r="L19" s="50" t="s">
        <v>190</v>
      </c>
      <c r="M19" s="73" t="s">
        <v>21</v>
      </c>
      <c r="N19" s="54">
        <f t="shared" si="0"/>
        <v>4</v>
      </c>
      <c r="O19" s="170"/>
      <c r="P19" s="191" t="s">
        <v>319</v>
      </c>
      <c r="Q19" s="192"/>
      <c r="R19" s="192"/>
      <c r="S19" s="192"/>
      <c r="T19" s="192"/>
      <c r="U19" s="193"/>
    </row>
    <row r="20" spans="1:21" ht="27.6" customHeight="1">
      <c r="A20" s="85"/>
      <c r="B20" s="37">
        <f>ROW()-13</f>
        <v>7</v>
      </c>
      <c r="C20" s="145" t="s">
        <v>320</v>
      </c>
      <c r="D20" s="80"/>
      <c r="E20" s="81"/>
      <c r="F20" s="146"/>
      <c r="G20" s="17"/>
      <c r="H20" s="18" t="s">
        <v>49</v>
      </c>
      <c r="I20" s="59"/>
      <c r="J20" s="19">
        <v>1</v>
      </c>
      <c r="K20" s="19"/>
      <c r="L20" s="50"/>
      <c r="M20" s="73" t="s">
        <v>21</v>
      </c>
      <c r="N20" s="54">
        <f t="shared" si="0"/>
        <v>1</v>
      </c>
      <c r="O20" s="170"/>
      <c r="P20" s="251" t="s">
        <v>321</v>
      </c>
      <c r="Q20" s="192"/>
      <c r="R20" s="192"/>
      <c r="S20" s="192"/>
      <c r="T20" s="192"/>
      <c r="U20" s="193"/>
    </row>
    <row r="21" spans="1:21" ht="15.75">
      <c r="A21" s="85"/>
      <c r="B21" s="37">
        <f t="shared" ref="B21:B27" si="1">ROW()-13</f>
        <v>8</v>
      </c>
      <c r="C21" s="107" t="s">
        <v>36</v>
      </c>
      <c r="D21" s="107"/>
      <c r="E21" s="108"/>
      <c r="F21" s="109" t="s">
        <v>78</v>
      </c>
      <c r="G21" s="110"/>
      <c r="H21" s="18" t="s">
        <v>51</v>
      </c>
      <c r="I21" s="59"/>
      <c r="J21" s="113">
        <v>12</v>
      </c>
      <c r="K21" s="113"/>
      <c r="L21" s="114"/>
      <c r="M21" s="115" t="s">
        <v>35</v>
      </c>
      <c r="N21" s="116">
        <f t="shared" si="0"/>
        <v>12</v>
      </c>
      <c r="O21" s="171"/>
      <c r="P21" s="197"/>
      <c r="Q21" s="198"/>
      <c r="R21" s="198"/>
      <c r="S21" s="198"/>
      <c r="T21" s="198"/>
      <c r="U21" s="199"/>
    </row>
    <row r="22" spans="1:21" ht="15.75">
      <c r="A22" s="85"/>
      <c r="B22" s="37">
        <f t="shared" si="1"/>
        <v>9</v>
      </c>
      <c r="C22" s="107" t="s">
        <v>37</v>
      </c>
      <c r="D22" s="107"/>
      <c r="E22" s="108"/>
      <c r="F22" s="109" t="s">
        <v>43</v>
      </c>
      <c r="G22" s="110"/>
      <c r="H22" s="18" t="s">
        <v>51</v>
      </c>
      <c r="I22" s="59"/>
      <c r="J22" s="113">
        <v>10</v>
      </c>
      <c r="K22" s="113"/>
      <c r="L22" s="114"/>
      <c r="M22" s="115" t="s">
        <v>21</v>
      </c>
      <c r="N22" s="116">
        <f t="shared" si="0"/>
        <v>10</v>
      </c>
      <c r="O22" s="171"/>
      <c r="P22" s="197"/>
      <c r="Q22" s="198"/>
      <c r="R22" s="198"/>
      <c r="S22" s="198"/>
      <c r="T22" s="198"/>
      <c r="U22" s="199"/>
    </row>
    <row r="23" spans="1:21" ht="15.75">
      <c r="A23" s="85"/>
      <c r="B23" s="37">
        <f t="shared" si="1"/>
        <v>10</v>
      </c>
      <c r="C23" s="107" t="s">
        <v>38</v>
      </c>
      <c r="D23" s="107"/>
      <c r="E23" s="108"/>
      <c r="F23" s="109" t="s">
        <v>80</v>
      </c>
      <c r="G23" s="110"/>
      <c r="H23" s="18" t="s">
        <v>86</v>
      </c>
      <c r="I23" s="59"/>
      <c r="J23" s="113"/>
      <c r="K23" s="113"/>
      <c r="L23" s="114"/>
      <c r="M23" s="115" t="s">
        <v>21</v>
      </c>
      <c r="N23" s="116">
        <f t="shared" si="0"/>
        <v>0</v>
      </c>
      <c r="O23" s="171"/>
      <c r="P23" s="197"/>
      <c r="Q23" s="198"/>
      <c r="R23" s="198"/>
      <c r="S23" s="198"/>
      <c r="T23" s="198"/>
      <c r="U23" s="199"/>
    </row>
    <row r="24" spans="1:21" ht="15.75">
      <c r="A24" s="85"/>
      <c r="B24" s="37">
        <f t="shared" si="1"/>
        <v>11</v>
      </c>
      <c r="C24" s="107" t="s">
        <v>39</v>
      </c>
      <c r="D24" s="107"/>
      <c r="E24" s="108"/>
      <c r="F24" s="109" t="s">
        <v>79</v>
      </c>
      <c r="G24" s="110"/>
      <c r="H24" s="18" t="s">
        <v>51</v>
      </c>
      <c r="I24" s="59"/>
      <c r="J24" s="113">
        <v>12</v>
      </c>
      <c r="K24" s="113"/>
      <c r="L24" s="114"/>
      <c r="M24" s="115" t="s">
        <v>35</v>
      </c>
      <c r="N24" s="116">
        <f t="shared" si="0"/>
        <v>12</v>
      </c>
      <c r="O24" s="171"/>
      <c r="P24" s="197"/>
      <c r="Q24" s="198"/>
      <c r="R24" s="198"/>
      <c r="S24" s="198"/>
      <c r="T24" s="198"/>
      <c r="U24" s="199"/>
    </row>
    <row r="25" spans="1:21" ht="15.75">
      <c r="A25" s="85"/>
      <c r="B25" s="37">
        <f t="shared" si="1"/>
        <v>12</v>
      </c>
      <c r="C25" s="107" t="s">
        <v>40</v>
      </c>
      <c r="D25" s="107"/>
      <c r="E25" s="108"/>
      <c r="F25" s="109" t="s">
        <v>44</v>
      </c>
      <c r="G25" s="110"/>
      <c r="H25" s="18" t="s">
        <v>51</v>
      </c>
      <c r="I25" s="59"/>
      <c r="J25" s="113">
        <v>10</v>
      </c>
      <c r="K25" s="113"/>
      <c r="L25" s="114"/>
      <c r="M25" s="115" t="s">
        <v>21</v>
      </c>
      <c r="N25" s="116">
        <f t="shared" si="0"/>
        <v>10</v>
      </c>
      <c r="O25" s="171"/>
      <c r="P25" s="197"/>
      <c r="Q25" s="198"/>
      <c r="R25" s="198"/>
      <c r="S25" s="198"/>
      <c r="T25" s="198"/>
      <c r="U25" s="199"/>
    </row>
    <row r="26" spans="1:21" ht="15.75">
      <c r="A26" s="85"/>
      <c r="B26" s="37">
        <f t="shared" si="1"/>
        <v>13</v>
      </c>
      <c r="C26" s="107" t="s">
        <v>41</v>
      </c>
      <c r="D26" s="107"/>
      <c r="E26" s="108"/>
      <c r="F26" s="109" t="s">
        <v>81</v>
      </c>
      <c r="G26" s="110"/>
      <c r="H26" s="18" t="s">
        <v>86</v>
      </c>
      <c r="I26" s="59"/>
      <c r="J26" s="113"/>
      <c r="K26" s="113"/>
      <c r="L26" s="114"/>
      <c r="M26" s="115" t="s">
        <v>21</v>
      </c>
      <c r="N26" s="116">
        <f t="shared" si="0"/>
        <v>0</v>
      </c>
      <c r="O26" s="171"/>
      <c r="P26" s="197"/>
      <c r="Q26" s="198"/>
      <c r="R26" s="198"/>
      <c r="S26" s="198"/>
      <c r="T26" s="198"/>
      <c r="U26" s="199"/>
    </row>
    <row r="27" spans="1:21" ht="15.75">
      <c r="A27" s="85"/>
      <c r="B27" s="37">
        <f t="shared" si="1"/>
        <v>14</v>
      </c>
      <c r="C27" s="80" t="s">
        <v>46</v>
      </c>
      <c r="D27" s="80"/>
      <c r="E27" s="81"/>
      <c r="F27" s="84" t="s">
        <v>71</v>
      </c>
      <c r="G27" s="17"/>
      <c r="H27" s="18" t="s">
        <v>62</v>
      </c>
      <c r="I27" s="59"/>
      <c r="J27" s="19">
        <v>8</v>
      </c>
      <c r="K27" s="19"/>
      <c r="L27" s="50" t="s">
        <v>47</v>
      </c>
      <c r="M27" s="73" t="s">
        <v>35</v>
      </c>
      <c r="N27" s="54">
        <f t="shared" si="0"/>
        <v>8</v>
      </c>
      <c r="O27" s="170">
        <v>0</v>
      </c>
      <c r="P27" s="191" t="s">
        <v>48</v>
      </c>
      <c r="Q27" s="192"/>
      <c r="R27" s="192"/>
      <c r="S27" s="192"/>
      <c r="T27" s="192"/>
      <c r="U27" s="193"/>
    </row>
    <row r="28" spans="1:21" ht="16.5" thickBot="1">
      <c r="A28" s="118"/>
      <c r="B28" s="119"/>
      <c r="C28" s="120"/>
      <c r="D28" s="120"/>
      <c r="E28" s="121"/>
      <c r="F28" s="129"/>
      <c r="G28" s="122"/>
      <c r="H28" s="147"/>
      <c r="I28" s="148"/>
      <c r="J28" s="125"/>
      <c r="K28" s="125"/>
      <c r="L28" s="126"/>
      <c r="M28" s="126"/>
      <c r="N28" s="127"/>
      <c r="O28" s="172"/>
      <c r="P28" s="194"/>
      <c r="Q28" s="195"/>
      <c r="R28" s="195"/>
      <c r="S28" s="195"/>
      <c r="T28" s="195"/>
      <c r="U28" s="196"/>
    </row>
  </sheetData>
  <mergeCells count="45">
    <mergeCell ref="P28:U28"/>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253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253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253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253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253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DD49413-0106-49D1-8137-ECEB40262ACC}">
            <xm:f>(AND(H14&lt;&gt;"",ISERROR(VLOOKUP(H14,system!$E:$E,1,FALSE))))</xm:f>
            <x14:dxf>
              <fill>
                <patternFill patternType="solid">
                  <bgColor rgb="FFFF0000"/>
                </patternFill>
              </fill>
            </x14:dxf>
          </x14:cfRule>
          <xm:sqref>H14:H20</xm:sqref>
        </x14:conditionalFormatting>
        <x14:conditionalFormatting xmlns:xm="http://schemas.microsoft.com/office/excel/2006/main">
          <x14:cfRule type="expression" priority="3" id="{F7C886A4-9E52-474F-976C-91E909292B1B}">
            <xm:f>(AND(H14&lt;&gt;"",ISERROR(VLOOKUP(H14,system!$E:$E,1,FALSE))))</xm:f>
            <x14:dxf>
              <fill>
                <patternFill>
                  <bgColor rgb="FFFF0000"/>
                </patternFill>
              </fill>
            </x14:dxf>
          </x14:cfRule>
          <xm:sqref>I14:I20</xm:sqref>
        </x14:conditionalFormatting>
        <x14:conditionalFormatting xmlns:xm="http://schemas.microsoft.com/office/excel/2006/main">
          <x14:cfRule type="expression" priority="2" id="{A54B8A72-FDBE-40AE-9F18-D1B5EF9E602A}">
            <xm:f>(AND(H21&lt;&gt;"",ISERROR(VLOOKUP(H21,system!$E:$E,1,FALSE))))</xm:f>
            <x14:dxf>
              <fill>
                <patternFill patternType="solid">
                  <bgColor rgb="FFFF0000"/>
                </patternFill>
              </fill>
            </x14:dxf>
          </x14:cfRule>
          <xm:sqref>H21:H28</xm:sqref>
        </x14:conditionalFormatting>
        <x14:conditionalFormatting xmlns:xm="http://schemas.microsoft.com/office/excel/2006/main">
          <x14:cfRule type="expression" priority="1" id="{81530B6A-4F6D-4FCA-B85A-93252FE4AF21}">
            <xm:f>(AND(H21&lt;&gt;"",ISERROR(VLOOKUP(H21,system!$E:$E,1,FALSE))))</xm:f>
            <x14:dxf>
              <fill>
                <patternFill>
                  <bgColor rgb="FFFF0000"/>
                </patternFill>
              </fill>
            </x14:dxf>
          </x14:cfRule>
          <xm:sqref>I21:I28</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U48"/>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324</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114</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SUM(N14:N49)</f>
        <v>192</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47" si="0">IF(H14="NUMBER",IF(J14&gt;0,INT((J14+1)/2+0.9),0),IF(H14="DATE",7,IF(OR(H14="LONG",H14="LONG RAW"),100000,J14)))</f>
        <v>1</v>
      </c>
      <c r="O14" s="170"/>
      <c r="P14" s="191" t="s">
        <v>175</v>
      </c>
      <c r="Q14" s="192"/>
      <c r="R14" s="192"/>
      <c r="S14" s="192"/>
      <c r="T14" s="192"/>
      <c r="U14" s="193"/>
    </row>
    <row r="15" spans="1:21" ht="15.75" customHeight="1">
      <c r="A15" s="85" t="s">
        <v>191</v>
      </c>
      <c r="B15" s="37">
        <f>ROW()-13</f>
        <v>2</v>
      </c>
      <c r="C15" s="145" t="s">
        <v>325</v>
      </c>
      <c r="D15" s="80"/>
      <c r="E15" s="81"/>
      <c r="F15" s="146"/>
      <c r="G15" s="17"/>
      <c r="H15" s="18" t="s">
        <v>51</v>
      </c>
      <c r="I15" s="59"/>
      <c r="J15" s="19">
        <v>14</v>
      </c>
      <c r="K15" s="19"/>
      <c r="L15" s="50" t="s">
        <v>190</v>
      </c>
      <c r="M15" s="73" t="s">
        <v>21</v>
      </c>
      <c r="N15" s="54">
        <f t="shared" si="0"/>
        <v>14</v>
      </c>
      <c r="O15" s="170"/>
      <c r="P15" s="191"/>
      <c r="Q15" s="192"/>
      <c r="R15" s="192"/>
      <c r="S15" s="192"/>
      <c r="T15" s="192"/>
      <c r="U15" s="193"/>
    </row>
    <row r="16" spans="1:21" ht="15.75" customHeight="1">
      <c r="A16" s="85"/>
      <c r="B16" s="37">
        <f>ROW()-13</f>
        <v>3</v>
      </c>
      <c r="C16" s="145" t="s">
        <v>326</v>
      </c>
      <c r="D16" s="80"/>
      <c r="E16" s="81"/>
      <c r="F16" s="146"/>
      <c r="G16" s="17"/>
      <c r="H16" s="18" t="s">
        <v>49</v>
      </c>
      <c r="I16" s="59"/>
      <c r="J16" s="19">
        <v>11</v>
      </c>
      <c r="K16" s="19"/>
      <c r="L16" s="50"/>
      <c r="M16" s="73" t="s">
        <v>21</v>
      </c>
      <c r="N16" s="54">
        <f t="shared" si="0"/>
        <v>11</v>
      </c>
      <c r="O16" s="170"/>
      <c r="P16" s="191"/>
      <c r="Q16" s="192"/>
      <c r="R16" s="192"/>
      <c r="S16" s="192"/>
      <c r="T16" s="192"/>
      <c r="U16" s="193"/>
    </row>
    <row r="17" spans="1:21" ht="15.75" customHeight="1">
      <c r="A17" s="85"/>
      <c r="B17" s="37">
        <f>ROW()-13</f>
        <v>4</v>
      </c>
      <c r="C17" s="145" t="s">
        <v>196</v>
      </c>
      <c r="D17" s="80"/>
      <c r="E17" s="81"/>
      <c r="F17" s="146"/>
      <c r="G17" s="17"/>
      <c r="H17" s="18" t="s">
        <v>49</v>
      </c>
      <c r="I17" s="59"/>
      <c r="J17" s="19">
        <v>12</v>
      </c>
      <c r="K17" s="19"/>
      <c r="L17" s="50" t="s">
        <v>190</v>
      </c>
      <c r="M17" s="73" t="s">
        <v>21</v>
      </c>
      <c r="N17" s="54">
        <f t="shared" si="0"/>
        <v>12</v>
      </c>
      <c r="O17" s="170"/>
      <c r="P17" s="191"/>
      <c r="Q17" s="192"/>
      <c r="R17" s="192"/>
      <c r="S17" s="192"/>
      <c r="T17" s="192"/>
      <c r="U17" s="193"/>
    </row>
    <row r="18" spans="1:21" ht="15.75" customHeight="1">
      <c r="A18" s="85"/>
      <c r="B18" s="37">
        <f>ROW()-13</f>
        <v>5</v>
      </c>
      <c r="C18" s="145" t="s">
        <v>198</v>
      </c>
      <c r="D18" s="80"/>
      <c r="E18" s="81"/>
      <c r="F18" s="146"/>
      <c r="G18" s="17"/>
      <c r="H18" s="18" t="s">
        <v>51</v>
      </c>
      <c r="I18" s="59"/>
      <c r="J18" s="19">
        <v>25</v>
      </c>
      <c r="K18" s="19"/>
      <c r="L18" s="50" t="s">
        <v>190</v>
      </c>
      <c r="M18" s="73" t="s">
        <v>21</v>
      </c>
      <c r="N18" s="54">
        <f t="shared" si="0"/>
        <v>25</v>
      </c>
      <c r="O18" s="170"/>
      <c r="P18" s="191"/>
      <c r="Q18" s="192"/>
      <c r="R18" s="192"/>
      <c r="S18" s="192"/>
      <c r="T18" s="192"/>
      <c r="U18" s="193"/>
    </row>
    <row r="19" spans="1:21" ht="15.75" customHeight="1">
      <c r="A19" s="85"/>
      <c r="B19" s="37">
        <f>ROW()-13</f>
        <v>6</v>
      </c>
      <c r="C19" s="145" t="s">
        <v>200</v>
      </c>
      <c r="D19" s="80"/>
      <c r="E19" s="81"/>
      <c r="F19" s="146"/>
      <c r="G19" s="17"/>
      <c r="H19" s="18" t="s">
        <v>51</v>
      </c>
      <c r="I19" s="59"/>
      <c r="J19" s="19">
        <v>4</v>
      </c>
      <c r="K19" s="19"/>
      <c r="L19" s="50" t="s">
        <v>190</v>
      </c>
      <c r="M19" s="73" t="s">
        <v>21</v>
      </c>
      <c r="N19" s="54">
        <f t="shared" si="0"/>
        <v>4</v>
      </c>
      <c r="O19" s="170"/>
      <c r="P19" s="191" t="s">
        <v>202</v>
      </c>
      <c r="Q19" s="192"/>
      <c r="R19" s="192"/>
      <c r="S19" s="192"/>
      <c r="T19" s="192"/>
      <c r="U19" s="193"/>
    </row>
    <row r="20" spans="1:21" ht="62.85" customHeight="1">
      <c r="A20" s="85"/>
      <c r="B20" s="37">
        <f>ROW()-13</f>
        <v>7</v>
      </c>
      <c r="C20" s="145" t="s">
        <v>203</v>
      </c>
      <c r="D20" s="80"/>
      <c r="E20" s="81"/>
      <c r="F20" s="146"/>
      <c r="G20" s="17"/>
      <c r="H20" s="18" t="s">
        <v>49</v>
      </c>
      <c r="I20" s="59"/>
      <c r="J20" s="19">
        <v>1</v>
      </c>
      <c r="K20" s="19"/>
      <c r="L20" s="50" t="s">
        <v>190</v>
      </c>
      <c r="M20" s="73" t="s">
        <v>21</v>
      </c>
      <c r="N20" s="54">
        <f t="shared" si="0"/>
        <v>1</v>
      </c>
      <c r="O20" s="170"/>
      <c r="P20" s="251" t="s">
        <v>264</v>
      </c>
      <c r="Q20" s="192"/>
      <c r="R20" s="192"/>
      <c r="S20" s="192"/>
      <c r="T20" s="192"/>
      <c r="U20" s="193"/>
    </row>
    <row r="21" spans="1:21" ht="15.75" customHeight="1">
      <c r="A21" s="85"/>
      <c r="B21" s="37">
        <f>ROW()-13</f>
        <v>8</v>
      </c>
      <c r="C21" s="145" t="s">
        <v>318</v>
      </c>
      <c r="D21" s="80"/>
      <c r="E21" s="81"/>
      <c r="F21" s="146"/>
      <c r="G21" s="17"/>
      <c r="H21" s="18" t="s">
        <v>51</v>
      </c>
      <c r="I21" s="59"/>
      <c r="J21" s="19">
        <v>4</v>
      </c>
      <c r="K21" s="19"/>
      <c r="L21" s="50" t="s">
        <v>190</v>
      </c>
      <c r="M21" s="73" t="s">
        <v>21</v>
      </c>
      <c r="N21" s="54">
        <f t="shared" si="0"/>
        <v>4</v>
      </c>
      <c r="O21" s="170"/>
      <c r="P21" s="191" t="s">
        <v>202</v>
      </c>
      <c r="Q21" s="192"/>
      <c r="R21" s="192"/>
      <c r="S21" s="192"/>
      <c r="T21" s="192"/>
      <c r="U21" s="193"/>
    </row>
    <row r="22" spans="1:21" ht="15.75" customHeight="1">
      <c r="A22" s="85"/>
      <c r="B22" s="37">
        <f>ROW()-13</f>
        <v>9</v>
      </c>
      <c r="C22" s="145" t="s">
        <v>327</v>
      </c>
      <c r="D22" s="80"/>
      <c r="E22" s="81"/>
      <c r="F22" s="146"/>
      <c r="G22" s="17"/>
      <c r="H22" s="18" t="s">
        <v>208</v>
      </c>
      <c r="I22" s="59"/>
      <c r="J22" s="19">
        <v>4</v>
      </c>
      <c r="K22" s="19"/>
      <c r="L22" s="50" t="s">
        <v>190</v>
      </c>
      <c r="M22" s="73" t="s">
        <v>21</v>
      </c>
      <c r="N22" s="54">
        <f t="shared" si="0"/>
        <v>4</v>
      </c>
      <c r="O22" s="170"/>
      <c r="P22" s="191" t="s">
        <v>328</v>
      </c>
      <c r="Q22" s="192"/>
      <c r="R22" s="192"/>
      <c r="S22" s="192"/>
      <c r="T22" s="192"/>
      <c r="U22" s="193"/>
    </row>
    <row r="23" spans="1:21" ht="15.75" customHeight="1">
      <c r="A23" s="85"/>
      <c r="B23" s="37">
        <f>ROW()-13</f>
        <v>10</v>
      </c>
      <c r="C23" s="145" t="s">
        <v>214</v>
      </c>
      <c r="D23" s="80"/>
      <c r="E23" s="81"/>
      <c r="F23" s="146"/>
      <c r="G23" s="17"/>
      <c r="H23" s="18" t="s">
        <v>24</v>
      </c>
      <c r="I23" s="59"/>
      <c r="J23" s="19"/>
      <c r="K23" s="19"/>
      <c r="L23" s="50" t="s">
        <v>190</v>
      </c>
      <c r="M23" s="73" t="s">
        <v>21</v>
      </c>
      <c r="N23" s="54">
        <f t="shared" si="0"/>
        <v>7</v>
      </c>
      <c r="O23" s="170"/>
      <c r="P23" s="191"/>
      <c r="Q23" s="192"/>
      <c r="R23" s="192"/>
      <c r="S23" s="192"/>
      <c r="T23" s="192"/>
      <c r="U23" s="193"/>
    </row>
    <row r="24" spans="1:21" ht="15.75" customHeight="1">
      <c r="A24" s="85"/>
      <c r="B24" s="37">
        <f>ROW()-13</f>
        <v>11</v>
      </c>
      <c r="C24" s="145" t="s">
        <v>300</v>
      </c>
      <c r="D24" s="80"/>
      <c r="E24" s="81"/>
      <c r="F24" s="146"/>
      <c r="G24" s="17"/>
      <c r="H24" s="18" t="s">
        <v>54</v>
      </c>
      <c r="I24" s="59"/>
      <c r="J24" s="19"/>
      <c r="K24" s="19"/>
      <c r="L24" s="50" t="s">
        <v>190</v>
      </c>
      <c r="M24" s="73" t="s">
        <v>21</v>
      </c>
      <c r="N24" s="54">
        <f t="shared" si="0"/>
        <v>0</v>
      </c>
      <c r="O24" s="170"/>
      <c r="P24" s="191"/>
      <c r="Q24" s="192"/>
      <c r="R24" s="192"/>
      <c r="S24" s="192"/>
      <c r="T24" s="192"/>
      <c r="U24" s="193"/>
    </row>
    <row r="25" spans="1:21" ht="15.75" customHeight="1">
      <c r="A25" s="85"/>
      <c r="B25" s="37">
        <f>ROW()-13</f>
        <v>12</v>
      </c>
      <c r="C25" s="145" t="s">
        <v>282</v>
      </c>
      <c r="D25" s="80"/>
      <c r="E25" s="81"/>
      <c r="F25" s="146"/>
      <c r="G25" s="17"/>
      <c r="H25" s="18" t="s">
        <v>49</v>
      </c>
      <c r="I25" s="59"/>
      <c r="J25" s="19">
        <v>7</v>
      </c>
      <c r="K25" s="19"/>
      <c r="L25" s="50" t="s">
        <v>190</v>
      </c>
      <c r="M25" s="73" t="s">
        <v>21</v>
      </c>
      <c r="N25" s="54">
        <f t="shared" si="0"/>
        <v>7</v>
      </c>
      <c r="O25" s="170"/>
      <c r="P25" s="191"/>
      <c r="Q25" s="192"/>
      <c r="R25" s="192"/>
      <c r="S25" s="192"/>
      <c r="T25" s="192"/>
      <c r="U25" s="193"/>
    </row>
    <row r="26" spans="1:21" ht="15.75" customHeight="1">
      <c r="A26" s="85"/>
      <c r="B26" s="37">
        <f>ROW()-13</f>
        <v>13</v>
      </c>
      <c r="C26" s="145" t="s">
        <v>194</v>
      </c>
      <c r="D26" s="80"/>
      <c r="E26" s="81"/>
      <c r="F26" s="146"/>
      <c r="G26" s="17"/>
      <c r="H26" s="18" t="s">
        <v>49</v>
      </c>
      <c r="I26" s="59"/>
      <c r="J26" s="19">
        <v>2</v>
      </c>
      <c r="K26" s="19"/>
      <c r="L26" s="50" t="s">
        <v>190</v>
      </c>
      <c r="M26" s="73" t="s">
        <v>21</v>
      </c>
      <c r="N26" s="54">
        <f t="shared" si="0"/>
        <v>2</v>
      </c>
      <c r="O26" s="170"/>
      <c r="P26" s="191" t="s">
        <v>155</v>
      </c>
      <c r="Q26" s="192"/>
      <c r="R26" s="192"/>
      <c r="S26" s="192"/>
      <c r="T26" s="192"/>
      <c r="U26" s="193"/>
    </row>
    <row r="27" spans="1:21" ht="15.75" customHeight="1">
      <c r="A27" s="85"/>
      <c r="B27" s="37">
        <f>ROW()-13</f>
        <v>14</v>
      </c>
      <c r="C27" s="145" t="s">
        <v>329</v>
      </c>
      <c r="D27" s="80"/>
      <c r="E27" s="81"/>
      <c r="F27" s="146"/>
      <c r="G27" s="17"/>
      <c r="H27" s="18" t="s">
        <v>51</v>
      </c>
      <c r="I27" s="59"/>
      <c r="J27" s="19">
        <v>10</v>
      </c>
      <c r="K27" s="19"/>
      <c r="L27" s="50" t="s">
        <v>190</v>
      </c>
      <c r="M27" s="73" t="s">
        <v>21</v>
      </c>
      <c r="N27" s="54">
        <f t="shared" si="0"/>
        <v>10</v>
      </c>
      <c r="O27" s="170"/>
      <c r="P27" s="191" t="s">
        <v>157</v>
      </c>
      <c r="Q27" s="192"/>
      <c r="R27" s="192"/>
      <c r="S27" s="192"/>
      <c r="T27" s="192"/>
      <c r="U27" s="193"/>
    </row>
    <row r="28" spans="1:21" ht="15.75" customHeight="1">
      <c r="A28" s="85"/>
      <c r="B28" s="37">
        <f>ROW()-13</f>
        <v>15</v>
      </c>
      <c r="C28" s="145" t="s">
        <v>330</v>
      </c>
      <c r="D28" s="80"/>
      <c r="E28" s="81"/>
      <c r="F28" s="146"/>
      <c r="G28" s="17"/>
      <c r="H28" s="18" t="s">
        <v>208</v>
      </c>
      <c r="I28" s="59"/>
      <c r="J28" s="19">
        <v>4</v>
      </c>
      <c r="K28" s="19"/>
      <c r="L28" s="50"/>
      <c r="M28" s="73" t="s">
        <v>21</v>
      </c>
      <c r="N28" s="54">
        <f t="shared" si="0"/>
        <v>4</v>
      </c>
      <c r="O28" s="170"/>
      <c r="P28" s="191"/>
      <c r="Q28" s="192"/>
      <c r="R28" s="192"/>
      <c r="S28" s="192"/>
      <c r="T28" s="192"/>
      <c r="U28" s="193"/>
    </row>
    <row r="29" spans="1:21" ht="15.75" customHeight="1">
      <c r="A29" s="85"/>
      <c r="B29" s="37">
        <f>ROW()-13</f>
        <v>16</v>
      </c>
      <c r="C29" s="145" t="s">
        <v>331</v>
      </c>
      <c r="D29" s="80"/>
      <c r="E29" s="81"/>
      <c r="F29" s="146"/>
      <c r="G29" s="17"/>
      <c r="H29" s="18" t="s">
        <v>208</v>
      </c>
      <c r="I29" s="59"/>
      <c r="J29" s="19">
        <v>4</v>
      </c>
      <c r="K29" s="19"/>
      <c r="L29" s="50"/>
      <c r="M29" s="73" t="s">
        <v>21</v>
      </c>
      <c r="N29" s="54">
        <f t="shared" si="0"/>
        <v>4</v>
      </c>
      <c r="O29" s="170"/>
      <c r="P29" s="191"/>
      <c r="Q29" s="192"/>
      <c r="R29" s="192"/>
      <c r="S29" s="192"/>
      <c r="T29" s="192"/>
      <c r="U29" s="193"/>
    </row>
    <row r="30" spans="1:21" ht="144.94999999999999" customHeight="1">
      <c r="A30" s="85"/>
      <c r="B30" s="37">
        <f>ROW()-13</f>
        <v>17</v>
      </c>
      <c r="C30" s="145" t="s">
        <v>332</v>
      </c>
      <c r="D30" s="80"/>
      <c r="E30" s="81"/>
      <c r="F30" s="146"/>
      <c r="G30" s="17"/>
      <c r="H30" s="18" t="s">
        <v>49</v>
      </c>
      <c r="I30" s="59"/>
      <c r="J30" s="19">
        <v>1</v>
      </c>
      <c r="K30" s="19"/>
      <c r="L30" s="50"/>
      <c r="M30" s="73" t="s">
        <v>21</v>
      </c>
      <c r="N30" s="54">
        <f t="shared" si="0"/>
        <v>1</v>
      </c>
      <c r="O30" s="170"/>
      <c r="P30" s="251" t="s">
        <v>333</v>
      </c>
      <c r="Q30" s="192"/>
      <c r="R30" s="192"/>
      <c r="S30" s="192"/>
      <c r="T30" s="192"/>
      <c r="U30" s="193"/>
    </row>
    <row r="31" spans="1:21" ht="15.75" customHeight="1">
      <c r="A31" s="85"/>
      <c r="B31" s="37">
        <f>ROW()-13</f>
        <v>18</v>
      </c>
      <c r="C31" s="145" t="s">
        <v>334</v>
      </c>
      <c r="D31" s="80"/>
      <c r="E31" s="81"/>
      <c r="F31" s="146"/>
      <c r="G31" s="17"/>
      <c r="H31" s="18" t="s">
        <v>51</v>
      </c>
      <c r="I31" s="59"/>
      <c r="J31" s="19">
        <v>4</v>
      </c>
      <c r="K31" s="19"/>
      <c r="L31" s="50"/>
      <c r="M31" s="73" t="s">
        <v>21</v>
      </c>
      <c r="N31" s="54">
        <f t="shared" si="0"/>
        <v>4</v>
      </c>
      <c r="O31" s="170"/>
      <c r="P31" s="191" t="s">
        <v>165</v>
      </c>
      <c r="Q31" s="192"/>
      <c r="R31" s="192"/>
      <c r="S31" s="192"/>
      <c r="T31" s="192"/>
      <c r="U31" s="193"/>
    </row>
    <row r="32" spans="1:21" ht="192" customHeight="1">
      <c r="A32" s="85"/>
      <c r="B32" s="37">
        <f>ROW()-13</f>
        <v>19</v>
      </c>
      <c r="C32" s="145" t="s">
        <v>335</v>
      </c>
      <c r="D32" s="80"/>
      <c r="E32" s="81"/>
      <c r="F32" s="146"/>
      <c r="G32" s="17"/>
      <c r="H32" s="18" t="s">
        <v>51</v>
      </c>
      <c r="I32" s="59"/>
      <c r="J32" s="19">
        <v>2</v>
      </c>
      <c r="K32" s="19"/>
      <c r="L32" s="50"/>
      <c r="M32" s="73" t="s">
        <v>21</v>
      </c>
      <c r="N32" s="54">
        <f t="shared" si="0"/>
        <v>2</v>
      </c>
      <c r="O32" s="170"/>
      <c r="P32" s="251" t="s">
        <v>336</v>
      </c>
      <c r="Q32" s="192"/>
      <c r="R32" s="192"/>
      <c r="S32" s="192"/>
      <c r="T32" s="192"/>
      <c r="U32" s="193"/>
    </row>
    <row r="33" spans="1:21" ht="39.200000000000003" customHeight="1">
      <c r="A33" s="85"/>
      <c r="B33" s="37">
        <f>ROW()-13</f>
        <v>20</v>
      </c>
      <c r="C33" s="145" t="s">
        <v>337</v>
      </c>
      <c r="D33" s="80"/>
      <c r="E33" s="81"/>
      <c r="F33" s="146"/>
      <c r="G33" s="17"/>
      <c r="H33" s="18" t="s">
        <v>49</v>
      </c>
      <c r="I33" s="59"/>
      <c r="J33" s="19">
        <v>1</v>
      </c>
      <c r="K33" s="19"/>
      <c r="L33" s="50"/>
      <c r="M33" s="73" t="s">
        <v>21</v>
      </c>
      <c r="N33" s="54">
        <f t="shared" si="0"/>
        <v>1</v>
      </c>
      <c r="O33" s="170"/>
      <c r="P33" s="251" t="s">
        <v>338</v>
      </c>
      <c r="Q33" s="192"/>
      <c r="R33" s="192"/>
      <c r="S33" s="192"/>
      <c r="T33" s="192"/>
      <c r="U33" s="193"/>
    </row>
    <row r="34" spans="1:21" ht="51" customHeight="1">
      <c r="A34" s="85"/>
      <c r="B34" s="37">
        <f>ROW()-13</f>
        <v>21</v>
      </c>
      <c r="C34" s="145" t="s">
        <v>339</v>
      </c>
      <c r="D34" s="80"/>
      <c r="E34" s="81"/>
      <c r="F34" s="146"/>
      <c r="G34" s="17"/>
      <c r="H34" s="18" t="s">
        <v>49</v>
      </c>
      <c r="I34" s="59"/>
      <c r="J34" s="19">
        <v>1</v>
      </c>
      <c r="K34" s="19"/>
      <c r="L34" s="50"/>
      <c r="M34" s="73" t="s">
        <v>21</v>
      </c>
      <c r="N34" s="54">
        <f t="shared" si="0"/>
        <v>1</v>
      </c>
      <c r="O34" s="170"/>
      <c r="P34" s="251" t="s">
        <v>340</v>
      </c>
      <c r="Q34" s="192"/>
      <c r="R34" s="192"/>
      <c r="S34" s="192"/>
      <c r="T34" s="192"/>
      <c r="U34" s="193"/>
    </row>
    <row r="35" spans="1:21" ht="15.75" customHeight="1">
      <c r="A35" s="85"/>
      <c r="B35" s="37">
        <f>ROW()-13</f>
        <v>22</v>
      </c>
      <c r="C35" s="145" t="s">
        <v>341</v>
      </c>
      <c r="D35" s="80"/>
      <c r="E35" s="81"/>
      <c r="F35" s="146"/>
      <c r="G35" s="17"/>
      <c r="H35" s="18" t="s">
        <v>51</v>
      </c>
      <c r="I35" s="59"/>
      <c r="J35" s="19">
        <v>4</v>
      </c>
      <c r="K35" s="19"/>
      <c r="L35" s="50"/>
      <c r="M35" s="73" t="s">
        <v>21</v>
      </c>
      <c r="N35" s="54">
        <f t="shared" si="0"/>
        <v>4</v>
      </c>
      <c r="O35" s="170"/>
      <c r="P35" s="191" t="s">
        <v>342</v>
      </c>
      <c r="Q35" s="192"/>
      <c r="R35" s="192"/>
      <c r="S35" s="192"/>
      <c r="T35" s="192"/>
      <c r="U35" s="193"/>
    </row>
    <row r="36" spans="1:21" ht="15.75" customHeight="1">
      <c r="A36" s="85"/>
      <c r="B36" s="37">
        <f>ROW()-13</f>
        <v>23</v>
      </c>
      <c r="C36" s="145" t="s">
        <v>343</v>
      </c>
      <c r="D36" s="80"/>
      <c r="E36" s="81"/>
      <c r="F36" s="146"/>
      <c r="G36" s="17"/>
      <c r="H36" s="18" t="s">
        <v>49</v>
      </c>
      <c r="I36" s="59"/>
      <c r="J36" s="19">
        <v>7</v>
      </c>
      <c r="K36" s="19"/>
      <c r="L36" s="50"/>
      <c r="M36" s="73" t="s">
        <v>21</v>
      </c>
      <c r="N36" s="54">
        <f t="shared" si="0"/>
        <v>7</v>
      </c>
      <c r="O36" s="170"/>
      <c r="P36" s="191"/>
      <c r="Q36" s="192"/>
      <c r="R36" s="192"/>
      <c r="S36" s="192"/>
      <c r="T36" s="192"/>
      <c r="U36" s="193"/>
    </row>
    <row r="37" spans="1:21" ht="15.75" customHeight="1">
      <c r="A37" s="85"/>
      <c r="B37" s="37">
        <f>ROW()-13</f>
        <v>24</v>
      </c>
      <c r="C37" s="145" t="s">
        <v>344</v>
      </c>
      <c r="D37" s="80"/>
      <c r="E37" s="81"/>
      <c r="F37" s="146"/>
      <c r="G37" s="17"/>
      <c r="H37" s="18" t="s">
        <v>49</v>
      </c>
      <c r="I37" s="59"/>
      <c r="J37" s="19">
        <v>4</v>
      </c>
      <c r="K37" s="19"/>
      <c r="L37" s="50"/>
      <c r="M37" s="73" t="s">
        <v>21</v>
      </c>
      <c r="N37" s="54">
        <f t="shared" si="0"/>
        <v>4</v>
      </c>
      <c r="O37" s="170"/>
      <c r="P37" s="191"/>
      <c r="Q37" s="192"/>
      <c r="R37" s="192"/>
      <c r="S37" s="192"/>
      <c r="T37" s="192"/>
      <c r="U37" s="193"/>
    </row>
    <row r="38" spans="1:21" ht="15.75" customHeight="1">
      <c r="A38" s="85"/>
      <c r="B38" s="37">
        <f>ROW()-13</f>
        <v>25</v>
      </c>
      <c r="C38" s="145" t="s">
        <v>345</v>
      </c>
      <c r="D38" s="80"/>
      <c r="E38" s="81"/>
      <c r="F38" s="146"/>
      <c r="G38" s="17"/>
      <c r="H38" s="18" t="s">
        <v>49</v>
      </c>
      <c r="I38" s="59"/>
      <c r="J38" s="19">
        <v>5</v>
      </c>
      <c r="K38" s="19"/>
      <c r="L38" s="50"/>
      <c r="M38" s="73" t="s">
        <v>21</v>
      </c>
      <c r="N38" s="54">
        <f t="shared" si="0"/>
        <v>5</v>
      </c>
      <c r="O38" s="170"/>
      <c r="P38" s="191"/>
      <c r="Q38" s="192"/>
      <c r="R38" s="192"/>
      <c r="S38" s="192"/>
      <c r="T38" s="192"/>
      <c r="U38" s="193"/>
    </row>
    <row r="39" spans="1:21" ht="15.75" customHeight="1">
      <c r="A39" s="85"/>
      <c r="B39" s="37">
        <f>ROW()-13</f>
        <v>26</v>
      </c>
      <c r="C39" s="145" t="s">
        <v>276</v>
      </c>
      <c r="D39" s="80"/>
      <c r="E39" s="81"/>
      <c r="F39" s="146"/>
      <c r="G39" s="17"/>
      <c r="H39" s="18" t="s">
        <v>49</v>
      </c>
      <c r="I39" s="59"/>
      <c r="J39" s="19">
        <v>1</v>
      </c>
      <c r="K39" s="19"/>
      <c r="L39" s="50"/>
      <c r="M39" s="73" t="s">
        <v>21</v>
      </c>
      <c r="N39" s="54">
        <f t="shared" si="0"/>
        <v>1</v>
      </c>
      <c r="O39" s="170"/>
      <c r="P39" s="191" t="s">
        <v>346</v>
      </c>
      <c r="Q39" s="192"/>
      <c r="R39" s="192"/>
      <c r="S39" s="192"/>
      <c r="T39" s="192"/>
      <c r="U39" s="193"/>
    </row>
    <row r="40" spans="1:21" ht="15.75" customHeight="1">
      <c r="A40" s="85"/>
      <c r="B40" s="37">
        <f>ROW()-13</f>
        <v>27</v>
      </c>
      <c r="C40" s="145" t="s">
        <v>347</v>
      </c>
      <c r="D40" s="80"/>
      <c r="E40" s="81"/>
      <c r="F40" s="146"/>
      <c r="G40" s="17"/>
      <c r="H40" s="18" t="s">
        <v>208</v>
      </c>
      <c r="I40" s="59"/>
      <c r="J40" s="19"/>
      <c r="K40" s="19"/>
      <c r="L40" s="50"/>
      <c r="M40" s="73" t="s">
        <v>21</v>
      </c>
      <c r="N40" s="54">
        <f t="shared" si="0"/>
        <v>0</v>
      </c>
      <c r="O40" s="170"/>
      <c r="P40" s="191" t="s">
        <v>348</v>
      </c>
      <c r="Q40" s="192"/>
      <c r="R40" s="192"/>
      <c r="S40" s="192"/>
      <c r="T40" s="192"/>
      <c r="U40" s="193"/>
    </row>
    <row r="41" spans="1:21" ht="15.75">
      <c r="A41" s="85"/>
      <c r="B41" s="37">
        <f t="shared" ref="B41:B47" si="1">ROW()-13</f>
        <v>28</v>
      </c>
      <c r="C41" s="107" t="s">
        <v>36</v>
      </c>
      <c r="D41" s="107"/>
      <c r="E41" s="108"/>
      <c r="F41" s="109" t="s">
        <v>78</v>
      </c>
      <c r="G41" s="110"/>
      <c r="H41" s="18" t="s">
        <v>51</v>
      </c>
      <c r="I41" s="59"/>
      <c r="J41" s="113">
        <v>12</v>
      </c>
      <c r="K41" s="113"/>
      <c r="L41" s="114"/>
      <c r="M41" s="115" t="s">
        <v>35</v>
      </c>
      <c r="N41" s="116">
        <f t="shared" si="0"/>
        <v>12</v>
      </c>
      <c r="O41" s="171"/>
      <c r="P41" s="197"/>
      <c r="Q41" s="198"/>
      <c r="R41" s="198"/>
      <c r="S41" s="198"/>
      <c r="T41" s="198"/>
      <c r="U41" s="199"/>
    </row>
    <row r="42" spans="1:21" ht="15.75">
      <c r="A42" s="85"/>
      <c r="B42" s="37">
        <f t="shared" si="1"/>
        <v>29</v>
      </c>
      <c r="C42" s="107" t="s">
        <v>37</v>
      </c>
      <c r="D42" s="107"/>
      <c r="E42" s="108"/>
      <c r="F42" s="109" t="s">
        <v>43</v>
      </c>
      <c r="G42" s="110"/>
      <c r="H42" s="18" t="s">
        <v>51</v>
      </c>
      <c r="I42" s="59"/>
      <c r="J42" s="113">
        <v>10</v>
      </c>
      <c r="K42" s="113"/>
      <c r="L42" s="114"/>
      <c r="M42" s="115" t="s">
        <v>21</v>
      </c>
      <c r="N42" s="116">
        <f t="shared" si="0"/>
        <v>10</v>
      </c>
      <c r="O42" s="171"/>
      <c r="P42" s="197"/>
      <c r="Q42" s="198"/>
      <c r="R42" s="198"/>
      <c r="S42" s="198"/>
      <c r="T42" s="198"/>
      <c r="U42" s="199"/>
    </row>
    <row r="43" spans="1:21" ht="15.75">
      <c r="A43" s="85"/>
      <c r="B43" s="37">
        <f t="shared" si="1"/>
        <v>30</v>
      </c>
      <c r="C43" s="107" t="s">
        <v>38</v>
      </c>
      <c r="D43" s="107"/>
      <c r="E43" s="108"/>
      <c r="F43" s="109" t="s">
        <v>80</v>
      </c>
      <c r="G43" s="110"/>
      <c r="H43" s="18" t="s">
        <v>86</v>
      </c>
      <c r="I43" s="59"/>
      <c r="J43" s="113"/>
      <c r="K43" s="113"/>
      <c r="L43" s="114"/>
      <c r="M43" s="115" t="s">
        <v>21</v>
      </c>
      <c r="N43" s="116">
        <f t="shared" si="0"/>
        <v>0</v>
      </c>
      <c r="O43" s="171"/>
      <c r="P43" s="197"/>
      <c r="Q43" s="198"/>
      <c r="R43" s="198"/>
      <c r="S43" s="198"/>
      <c r="T43" s="198"/>
      <c r="U43" s="199"/>
    </row>
    <row r="44" spans="1:21" ht="15.75">
      <c r="A44" s="85"/>
      <c r="B44" s="37">
        <f t="shared" si="1"/>
        <v>31</v>
      </c>
      <c r="C44" s="107" t="s">
        <v>39</v>
      </c>
      <c r="D44" s="107"/>
      <c r="E44" s="108"/>
      <c r="F44" s="109" t="s">
        <v>79</v>
      </c>
      <c r="G44" s="110"/>
      <c r="H44" s="18" t="s">
        <v>51</v>
      </c>
      <c r="I44" s="59"/>
      <c r="J44" s="113">
        <v>12</v>
      </c>
      <c r="K44" s="113"/>
      <c r="L44" s="114"/>
      <c r="M44" s="115" t="s">
        <v>35</v>
      </c>
      <c r="N44" s="116">
        <f t="shared" si="0"/>
        <v>12</v>
      </c>
      <c r="O44" s="171"/>
      <c r="P44" s="197"/>
      <c r="Q44" s="198"/>
      <c r="R44" s="198"/>
      <c r="S44" s="198"/>
      <c r="T44" s="198"/>
      <c r="U44" s="199"/>
    </row>
    <row r="45" spans="1:21" ht="15.75">
      <c r="A45" s="85"/>
      <c r="B45" s="37">
        <f t="shared" si="1"/>
        <v>32</v>
      </c>
      <c r="C45" s="107" t="s">
        <v>40</v>
      </c>
      <c r="D45" s="107"/>
      <c r="E45" s="108"/>
      <c r="F45" s="109" t="s">
        <v>44</v>
      </c>
      <c r="G45" s="110"/>
      <c r="H45" s="18" t="s">
        <v>51</v>
      </c>
      <c r="I45" s="59"/>
      <c r="J45" s="113">
        <v>10</v>
      </c>
      <c r="K45" s="113"/>
      <c r="L45" s="114"/>
      <c r="M45" s="115" t="s">
        <v>21</v>
      </c>
      <c r="N45" s="116">
        <f t="shared" si="0"/>
        <v>10</v>
      </c>
      <c r="O45" s="171"/>
      <c r="P45" s="197"/>
      <c r="Q45" s="198"/>
      <c r="R45" s="198"/>
      <c r="S45" s="198"/>
      <c r="T45" s="198"/>
      <c r="U45" s="199"/>
    </row>
    <row r="46" spans="1:21" ht="15.75">
      <c r="A46" s="85"/>
      <c r="B46" s="37">
        <f t="shared" si="1"/>
        <v>33</v>
      </c>
      <c r="C46" s="107" t="s">
        <v>41</v>
      </c>
      <c r="D46" s="107"/>
      <c r="E46" s="108"/>
      <c r="F46" s="109" t="s">
        <v>81</v>
      </c>
      <c r="G46" s="110"/>
      <c r="H46" s="18" t="s">
        <v>86</v>
      </c>
      <c r="I46" s="59"/>
      <c r="J46" s="113"/>
      <c r="K46" s="113"/>
      <c r="L46" s="114"/>
      <c r="M46" s="115" t="s">
        <v>21</v>
      </c>
      <c r="N46" s="116">
        <f t="shared" si="0"/>
        <v>0</v>
      </c>
      <c r="O46" s="171"/>
      <c r="P46" s="197"/>
      <c r="Q46" s="198"/>
      <c r="R46" s="198"/>
      <c r="S46" s="198"/>
      <c r="T46" s="198"/>
      <c r="U46" s="199"/>
    </row>
    <row r="47" spans="1:21" ht="15.75">
      <c r="A47" s="85"/>
      <c r="B47" s="37">
        <f t="shared" si="1"/>
        <v>34</v>
      </c>
      <c r="C47" s="80" t="s">
        <v>46</v>
      </c>
      <c r="D47" s="80"/>
      <c r="E47" s="81"/>
      <c r="F47" s="84" t="s">
        <v>71</v>
      </c>
      <c r="G47" s="17"/>
      <c r="H47" s="18" t="s">
        <v>62</v>
      </c>
      <c r="I47" s="59"/>
      <c r="J47" s="19">
        <v>8</v>
      </c>
      <c r="K47" s="19"/>
      <c r="L47" s="50" t="s">
        <v>47</v>
      </c>
      <c r="M47" s="73" t="s">
        <v>35</v>
      </c>
      <c r="N47" s="54">
        <f t="shared" si="0"/>
        <v>8</v>
      </c>
      <c r="O47" s="170">
        <v>0</v>
      </c>
      <c r="P47" s="191" t="s">
        <v>48</v>
      </c>
      <c r="Q47" s="192"/>
      <c r="R47" s="192"/>
      <c r="S47" s="192"/>
      <c r="T47" s="192"/>
      <c r="U47" s="193"/>
    </row>
    <row r="48" spans="1:21" ht="16.5" thickBot="1">
      <c r="A48" s="118"/>
      <c r="B48" s="119"/>
      <c r="C48" s="120"/>
      <c r="D48" s="120"/>
      <c r="E48" s="121"/>
      <c r="F48" s="129"/>
      <c r="G48" s="122"/>
      <c r="H48" s="147"/>
      <c r="I48" s="148"/>
      <c r="J48" s="125"/>
      <c r="K48" s="125"/>
      <c r="L48" s="126"/>
      <c r="M48" s="126"/>
      <c r="N48" s="127"/>
      <c r="O48" s="172"/>
      <c r="P48" s="194"/>
      <c r="Q48" s="195"/>
      <c r="R48" s="195"/>
      <c r="S48" s="195"/>
      <c r="T48" s="195"/>
      <c r="U48" s="196"/>
    </row>
  </sheetData>
  <mergeCells count="65">
    <mergeCell ref="P46:U46"/>
    <mergeCell ref="P47:U47"/>
    <mergeCell ref="P48:U48"/>
    <mergeCell ref="P40:U40"/>
    <mergeCell ref="P41:U41"/>
    <mergeCell ref="P42:U42"/>
    <mergeCell ref="P43:U43"/>
    <mergeCell ref="P44:U44"/>
    <mergeCell ref="P45:U45"/>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355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355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355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355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355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C2ABB3F6-64F9-4476-81C7-408DC24E4F9F}">
            <xm:f>(AND(H14&lt;&gt;"",ISERROR(VLOOKUP(H14,system!$E:$E,1,FALSE))))</xm:f>
            <x14:dxf>
              <fill>
                <patternFill patternType="solid">
                  <bgColor rgb="FFFF0000"/>
                </patternFill>
              </fill>
            </x14:dxf>
          </x14:cfRule>
          <xm:sqref>H14:H40</xm:sqref>
        </x14:conditionalFormatting>
        <x14:conditionalFormatting xmlns:xm="http://schemas.microsoft.com/office/excel/2006/main">
          <x14:cfRule type="expression" priority="3" id="{C749015A-70ED-4F59-BBF1-ABA20CFB7490}">
            <xm:f>(AND(H14&lt;&gt;"",ISERROR(VLOOKUP(H14,system!$E:$E,1,FALSE))))</xm:f>
            <x14:dxf>
              <fill>
                <patternFill>
                  <bgColor rgb="FFFF0000"/>
                </patternFill>
              </fill>
            </x14:dxf>
          </x14:cfRule>
          <xm:sqref>I14:I40</xm:sqref>
        </x14:conditionalFormatting>
        <x14:conditionalFormatting xmlns:xm="http://schemas.microsoft.com/office/excel/2006/main">
          <x14:cfRule type="expression" priority="2" id="{59C0D341-11EB-4ABD-81A0-8A8DE5E90FD6}">
            <xm:f>(AND(H41&lt;&gt;"",ISERROR(VLOOKUP(H41,system!$E:$E,1,FALSE))))</xm:f>
            <x14:dxf>
              <fill>
                <patternFill patternType="solid">
                  <bgColor rgb="FFFF0000"/>
                </patternFill>
              </fill>
            </x14:dxf>
          </x14:cfRule>
          <xm:sqref>H41:H48</xm:sqref>
        </x14:conditionalFormatting>
        <x14:conditionalFormatting xmlns:xm="http://schemas.microsoft.com/office/excel/2006/main">
          <x14:cfRule type="expression" priority="1" id="{1B6A62BA-AEE0-48FA-8EF3-2C76E5B576A5}">
            <xm:f>(AND(H41&lt;&gt;"",ISERROR(VLOOKUP(H41,system!$E:$E,1,FALSE))))</xm:f>
            <x14:dxf>
              <fill>
                <patternFill>
                  <bgColor rgb="FFFF0000"/>
                </patternFill>
              </fill>
            </x14:dxf>
          </x14:cfRule>
          <xm:sqref>I41:I48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U40"/>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350</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116</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SUM(N14:N41)</f>
        <v>168</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39" si="0">IF(H14="NUMBER",IF(J14&gt;0,INT((J14+1)/2+0.9),0),IF(H14="DATE",7,IF(OR(H14="LONG",H14="LONG RAW"),100000,J14)))</f>
        <v>1</v>
      </c>
      <c r="O14" s="170"/>
      <c r="P14" s="191" t="s">
        <v>175</v>
      </c>
      <c r="Q14" s="192"/>
      <c r="R14" s="192"/>
      <c r="S14" s="192"/>
      <c r="T14" s="192"/>
      <c r="U14" s="193"/>
    </row>
    <row r="15" spans="1:21" ht="15.75" customHeight="1">
      <c r="A15" s="85" t="s">
        <v>191</v>
      </c>
      <c r="B15" s="37">
        <f>ROW()-13</f>
        <v>2</v>
      </c>
      <c r="C15" s="145" t="s">
        <v>296</v>
      </c>
      <c r="D15" s="80"/>
      <c r="E15" s="81"/>
      <c r="F15" s="146"/>
      <c r="G15" s="17"/>
      <c r="H15" s="18" t="s">
        <v>51</v>
      </c>
      <c r="I15" s="59"/>
      <c r="J15" s="19">
        <v>14</v>
      </c>
      <c r="K15" s="19"/>
      <c r="L15" s="50" t="s">
        <v>190</v>
      </c>
      <c r="M15" s="73" t="s">
        <v>21</v>
      </c>
      <c r="N15" s="54">
        <f t="shared" si="0"/>
        <v>14</v>
      </c>
      <c r="O15" s="170"/>
      <c r="P15" s="191"/>
      <c r="Q15" s="192"/>
      <c r="R15" s="192"/>
      <c r="S15" s="192"/>
      <c r="T15" s="192"/>
      <c r="U15" s="193"/>
    </row>
    <row r="16" spans="1:21" ht="15.75" customHeight="1">
      <c r="A16" s="85" t="s">
        <v>191</v>
      </c>
      <c r="B16" s="37">
        <f>ROW()-13</f>
        <v>3</v>
      </c>
      <c r="C16" s="145" t="s">
        <v>310</v>
      </c>
      <c r="D16" s="80"/>
      <c r="E16" s="81"/>
      <c r="F16" s="146"/>
      <c r="G16" s="17"/>
      <c r="H16" s="18" t="s">
        <v>208</v>
      </c>
      <c r="I16" s="59"/>
      <c r="J16" s="19"/>
      <c r="K16" s="19"/>
      <c r="L16" s="50" t="s">
        <v>190</v>
      </c>
      <c r="M16" s="73" t="s">
        <v>21</v>
      </c>
      <c r="N16" s="54">
        <f t="shared" si="0"/>
        <v>0</v>
      </c>
      <c r="O16" s="170"/>
      <c r="P16" s="191" t="s">
        <v>351</v>
      </c>
      <c r="Q16" s="192"/>
      <c r="R16" s="192"/>
      <c r="S16" s="192"/>
      <c r="T16" s="192"/>
      <c r="U16" s="193"/>
    </row>
    <row r="17" spans="1:21" ht="15.75" customHeight="1">
      <c r="A17" s="85"/>
      <c r="B17" s="37">
        <f>ROW()-13</f>
        <v>4</v>
      </c>
      <c r="C17" s="145" t="s">
        <v>352</v>
      </c>
      <c r="D17" s="80"/>
      <c r="E17" s="81"/>
      <c r="F17" s="146"/>
      <c r="G17" s="17"/>
      <c r="H17" s="18" t="s">
        <v>51</v>
      </c>
      <c r="I17" s="59"/>
      <c r="J17" s="19">
        <v>14</v>
      </c>
      <c r="K17" s="19"/>
      <c r="L17" s="50" t="s">
        <v>190</v>
      </c>
      <c r="M17" s="73" t="s">
        <v>21</v>
      </c>
      <c r="N17" s="54">
        <f t="shared" si="0"/>
        <v>14</v>
      </c>
      <c r="O17" s="170"/>
      <c r="P17" s="191"/>
      <c r="Q17" s="192"/>
      <c r="R17" s="192"/>
      <c r="S17" s="192"/>
      <c r="T17" s="192"/>
      <c r="U17" s="193"/>
    </row>
    <row r="18" spans="1:21" ht="15.75" customHeight="1">
      <c r="A18" s="85"/>
      <c r="B18" s="37">
        <f>ROW()-13</f>
        <v>5</v>
      </c>
      <c r="C18" s="145" t="s">
        <v>353</v>
      </c>
      <c r="D18" s="80"/>
      <c r="E18" s="81"/>
      <c r="F18" s="146"/>
      <c r="G18" s="17"/>
      <c r="H18" s="18" t="s">
        <v>49</v>
      </c>
      <c r="I18" s="59"/>
      <c r="J18" s="19">
        <v>3</v>
      </c>
      <c r="K18" s="19"/>
      <c r="L18" s="50" t="s">
        <v>190</v>
      </c>
      <c r="M18" s="73" t="s">
        <v>21</v>
      </c>
      <c r="N18" s="54">
        <f t="shared" si="0"/>
        <v>3</v>
      </c>
      <c r="O18" s="170"/>
      <c r="P18" s="191" t="s">
        <v>153</v>
      </c>
      <c r="Q18" s="192"/>
      <c r="R18" s="192"/>
      <c r="S18" s="192"/>
      <c r="T18" s="192"/>
      <c r="U18" s="193"/>
    </row>
    <row r="19" spans="1:21" ht="15.75" customHeight="1">
      <c r="A19" s="85"/>
      <c r="B19" s="37">
        <f>ROW()-13</f>
        <v>6</v>
      </c>
      <c r="C19" s="145" t="s">
        <v>282</v>
      </c>
      <c r="D19" s="80"/>
      <c r="E19" s="81"/>
      <c r="F19" s="146"/>
      <c r="G19" s="17"/>
      <c r="H19" s="18" t="s">
        <v>49</v>
      </c>
      <c r="I19" s="59"/>
      <c r="J19" s="19">
        <v>7</v>
      </c>
      <c r="K19" s="19"/>
      <c r="L19" s="50" t="s">
        <v>190</v>
      </c>
      <c r="M19" s="73" t="s">
        <v>21</v>
      </c>
      <c r="N19" s="54">
        <f t="shared" si="0"/>
        <v>7</v>
      </c>
      <c r="O19" s="170"/>
      <c r="P19" s="191"/>
      <c r="Q19" s="192"/>
      <c r="R19" s="192"/>
      <c r="S19" s="192"/>
      <c r="T19" s="192"/>
      <c r="U19" s="193"/>
    </row>
    <row r="20" spans="1:21" ht="15.75" customHeight="1">
      <c r="A20" s="85"/>
      <c r="B20" s="37">
        <f>ROW()-13</f>
        <v>7</v>
      </c>
      <c r="C20" s="145" t="s">
        <v>214</v>
      </c>
      <c r="D20" s="80"/>
      <c r="E20" s="81"/>
      <c r="F20" s="146"/>
      <c r="G20" s="17"/>
      <c r="H20" s="18" t="s">
        <v>24</v>
      </c>
      <c r="I20" s="59"/>
      <c r="J20" s="19"/>
      <c r="K20" s="19"/>
      <c r="L20" s="50" t="s">
        <v>190</v>
      </c>
      <c r="M20" s="73" t="s">
        <v>21</v>
      </c>
      <c r="N20" s="54">
        <f t="shared" si="0"/>
        <v>7</v>
      </c>
      <c r="O20" s="170"/>
      <c r="P20" s="191"/>
      <c r="Q20" s="192"/>
      <c r="R20" s="192"/>
      <c r="S20" s="192"/>
      <c r="T20" s="192"/>
      <c r="U20" s="193"/>
    </row>
    <row r="21" spans="1:21" ht="15.75" customHeight="1">
      <c r="A21" s="85"/>
      <c r="B21" s="37">
        <f>ROW()-13</f>
        <v>8</v>
      </c>
      <c r="C21" s="145" t="s">
        <v>300</v>
      </c>
      <c r="D21" s="80"/>
      <c r="E21" s="81"/>
      <c r="F21" s="146"/>
      <c r="G21" s="17"/>
      <c r="H21" s="18" t="s">
        <v>54</v>
      </c>
      <c r="I21" s="59"/>
      <c r="J21" s="19"/>
      <c r="K21" s="19"/>
      <c r="L21" s="50" t="s">
        <v>190</v>
      </c>
      <c r="M21" s="73" t="s">
        <v>21</v>
      </c>
      <c r="N21" s="54">
        <f t="shared" si="0"/>
        <v>0</v>
      </c>
      <c r="O21" s="170"/>
      <c r="P21" s="191"/>
      <c r="Q21" s="192"/>
      <c r="R21" s="192"/>
      <c r="S21" s="192"/>
      <c r="T21" s="192"/>
      <c r="U21" s="193"/>
    </row>
    <row r="22" spans="1:21" ht="15.75" customHeight="1">
      <c r="A22" s="85"/>
      <c r="B22" s="37">
        <f>ROW()-13</f>
        <v>9</v>
      </c>
      <c r="C22" s="145" t="s">
        <v>196</v>
      </c>
      <c r="D22" s="80"/>
      <c r="E22" s="81"/>
      <c r="F22" s="146"/>
      <c r="G22" s="17"/>
      <c r="H22" s="18" t="s">
        <v>49</v>
      </c>
      <c r="I22" s="59"/>
      <c r="J22" s="19">
        <v>12</v>
      </c>
      <c r="K22" s="19"/>
      <c r="L22" s="50" t="s">
        <v>190</v>
      </c>
      <c r="M22" s="73" t="s">
        <v>21</v>
      </c>
      <c r="N22" s="54">
        <f t="shared" si="0"/>
        <v>12</v>
      </c>
      <c r="O22" s="170"/>
      <c r="P22" s="191"/>
      <c r="Q22" s="192"/>
      <c r="R22" s="192"/>
      <c r="S22" s="192"/>
      <c r="T22" s="192"/>
      <c r="U22" s="193"/>
    </row>
    <row r="23" spans="1:21" ht="15.75" customHeight="1">
      <c r="A23" s="85"/>
      <c r="B23" s="37">
        <f>ROW()-13</f>
        <v>10</v>
      </c>
      <c r="C23" s="145" t="s">
        <v>198</v>
      </c>
      <c r="D23" s="80"/>
      <c r="E23" s="81"/>
      <c r="F23" s="146"/>
      <c r="G23" s="17"/>
      <c r="H23" s="18" t="s">
        <v>51</v>
      </c>
      <c r="I23" s="59"/>
      <c r="J23" s="19">
        <v>25</v>
      </c>
      <c r="K23" s="19"/>
      <c r="L23" s="50" t="s">
        <v>190</v>
      </c>
      <c r="M23" s="73" t="s">
        <v>21</v>
      </c>
      <c r="N23" s="54">
        <f t="shared" si="0"/>
        <v>25</v>
      </c>
      <c r="O23" s="170"/>
      <c r="P23" s="191"/>
      <c r="Q23" s="192"/>
      <c r="R23" s="192"/>
      <c r="S23" s="192"/>
      <c r="T23" s="192"/>
      <c r="U23" s="193"/>
    </row>
    <row r="24" spans="1:21" ht="15.75" customHeight="1">
      <c r="A24" s="85"/>
      <c r="B24" s="37">
        <f>ROW()-13</f>
        <v>11</v>
      </c>
      <c r="C24" s="145" t="s">
        <v>200</v>
      </c>
      <c r="D24" s="80"/>
      <c r="E24" s="81"/>
      <c r="F24" s="146"/>
      <c r="G24" s="17"/>
      <c r="H24" s="18" t="s">
        <v>51</v>
      </c>
      <c r="I24" s="59"/>
      <c r="J24" s="19">
        <v>4</v>
      </c>
      <c r="K24" s="19"/>
      <c r="L24" s="50" t="s">
        <v>190</v>
      </c>
      <c r="M24" s="73" t="s">
        <v>21</v>
      </c>
      <c r="N24" s="54">
        <f t="shared" si="0"/>
        <v>4</v>
      </c>
      <c r="O24" s="170"/>
      <c r="P24" s="191" t="s">
        <v>202</v>
      </c>
      <c r="Q24" s="192"/>
      <c r="R24" s="192"/>
      <c r="S24" s="192"/>
      <c r="T24" s="192"/>
      <c r="U24" s="193"/>
    </row>
    <row r="25" spans="1:21" ht="62.85" customHeight="1">
      <c r="A25" s="85"/>
      <c r="B25" s="37">
        <f>ROW()-13</f>
        <v>12</v>
      </c>
      <c r="C25" s="145" t="s">
        <v>203</v>
      </c>
      <c r="D25" s="80"/>
      <c r="E25" s="81"/>
      <c r="F25" s="146"/>
      <c r="G25" s="17"/>
      <c r="H25" s="18" t="s">
        <v>49</v>
      </c>
      <c r="I25" s="59"/>
      <c r="J25" s="19">
        <v>1</v>
      </c>
      <c r="K25" s="19"/>
      <c r="L25" s="50" t="s">
        <v>190</v>
      </c>
      <c r="M25" s="73" t="s">
        <v>21</v>
      </c>
      <c r="N25" s="54">
        <f t="shared" si="0"/>
        <v>1</v>
      </c>
      <c r="O25" s="170"/>
      <c r="P25" s="251" t="s">
        <v>264</v>
      </c>
      <c r="Q25" s="192"/>
      <c r="R25" s="192"/>
      <c r="S25" s="192"/>
      <c r="T25" s="192"/>
      <c r="U25" s="193"/>
    </row>
    <row r="26" spans="1:21" ht="15.75" customHeight="1">
      <c r="A26" s="85"/>
      <c r="B26" s="37">
        <f>ROW()-13</f>
        <v>13</v>
      </c>
      <c r="C26" s="145" t="s">
        <v>318</v>
      </c>
      <c r="D26" s="80"/>
      <c r="E26" s="81"/>
      <c r="F26" s="146"/>
      <c r="G26" s="17"/>
      <c r="H26" s="18" t="s">
        <v>51</v>
      </c>
      <c r="I26" s="59"/>
      <c r="J26" s="19">
        <v>4</v>
      </c>
      <c r="K26" s="19"/>
      <c r="L26" s="50" t="s">
        <v>190</v>
      </c>
      <c r="M26" s="73" t="s">
        <v>21</v>
      </c>
      <c r="N26" s="54">
        <f t="shared" si="0"/>
        <v>4</v>
      </c>
      <c r="O26" s="170"/>
      <c r="P26" s="191" t="s">
        <v>202</v>
      </c>
      <c r="Q26" s="192"/>
      <c r="R26" s="192"/>
      <c r="S26" s="192"/>
      <c r="T26" s="192"/>
      <c r="U26" s="193"/>
    </row>
    <row r="27" spans="1:21" ht="15.75" customHeight="1">
      <c r="A27" s="85"/>
      <c r="B27" s="37">
        <f>ROW()-13</f>
        <v>14</v>
      </c>
      <c r="C27" s="145" t="s">
        <v>329</v>
      </c>
      <c r="D27" s="80"/>
      <c r="E27" s="81"/>
      <c r="F27" s="146"/>
      <c r="G27" s="17"/>
      <c r="H27" s="18" t="s">
        <v>51</v>
      </c>
      <c r="I27" s="59"/>
      <c r="J27" s="19">
        <v>10</v>
      </c>
      <c r="K27" s="19"/>
      <c r="L27" s="50" t="s">
        <v>190</v>
      </c>
      <c r="M27" s="73" t="s">
        <v>21</v>
      </c>
      <c r="N27" s="54">
        <f t="shared" si="0"/>
        <v>10</v>
      </c>
      <c r="O27" s="170"/>
      <c r="P27" s="191" t="s">
        <v>157</v>
      </c>
      <c r="Q27" s="192"/>
      <c r="R27" s="192"/>
      <c r="S27" s="192"/>
      <c r="T27" s="192"/>
      <c r="U27" s="193"/>
    </row>
    <row r="28" spans="1:21" ht="144.94999999999999" customHeight="1">
      <c r="A28" s="85"/>
      <c r="B28" s="37">
        <f>ROW()-13</f>
        <v>15</v>
      </c>
      <c r="C28" s="145" t="s">
        <v>332</v>
      </c>
      <c r="D28" s="80"/>
      <c r="E28" s="81"/>
      <c r="F28" s="146"/>
      <c r="G28" s="17"/>
      <c r="H28" s="18" t="s">
        <v>49</v>
      </c>
      <c r="I28" s="59"/>
      <c r="J28" s="19">
        <v>1</v>
      </c>
      <c r="K28" s="19"/>
      <c r="L28" s="50" t="s">
        <v>190</v>
      </c>
      <c r="M28" s="73" t="s">
        <v>21</v>
      </c>
      <c r="N28" s="54">
        <f t="shared" si="0"/>
        <v>1</v>
      </c>
      <c r="O28" s="170"/>
      <c r="P28" s="251" t="s">
        <v>333</v>
      </c>
      <c r="Q28" s="192"/>
      <c r="R28" s="192"/>
      <c r="S28" s="192"/>
      <c r="T28" s="192"/>
      <c r="U28" s="193"/>
    </row>
    <row r="29" spans="1:21" ht="15.75" customHeight="1">
      <c r="A29" s="85"/>
      <c r="B29" s="37">
        <f>ROW()-13</f>
        <v>16</v>
      </c>
      <c r="C29" s="145" t="s">
        <v>334</v>
      </c>
      <c r="D29" s="80"/>
      <c r="E29" s="81"/>
      <c r="F29" s="146"/>
      <c r="G29" s="17"/>
      <c r="H29" s="18" t="s">
        <v>51</v>
      </c>
      <c r="I29" s="59"/>
      <c r="J29" s="19">
        <v>4</v>
      </c>
      <c r="K29" s="19"/>
      <c r="L29" s="50"/>
      <c r="M29" s="73" t="s">
        <v>21</v>
      </c>
      <c r="N29" s="54">
        <f t="shared" si="0"/>
        <v>4</v>
      </c>
      <c r="O29" s="170"/>
      <c r="P29" s="191" t="s">
        <v>165</v>
      </c>
      <c r="Q29" s="192"/>
      <c r="R29" s="192"/>
      <c r="S29" s="192"/>
      <c r="T29" s="192"/>
      <c r="U29" s="193"/>
    </row>
    <row r="30" spans="1:21" ht="297.75" customHeight="1">
      <c r="A30" s="85"/>
      <c r="B30" s="37">
        <f>ROW()-13</f>
        <v>17</v>
      </c>
      <c r="C30" s="145" t="s">
        <v>354</v>
      </c>
      <c r="D30" s="80"/>
      <c r="E30" s="81"/>
      <c r="F30" s="146"/>
      <c r="G30" s="17"/>
      <c r="H30" s="18" t="s">
        <v>51</v>
      </c>
      <c r="I30" s="59"/>
      <c r="J30" s="19">
        <v>2</v>
      </c>
      <c r="K30" s="19"/>
      <c r="L30" s="50" t="s">
        <v>190</v>
      </c>
      <c r="M30" s="73" t="s">
        <v>21</v>
      </c>
      <c r="N30" s="54">
        <f t="shared" si="0"/>
        <v>2</v>
      </c>
      <c r="O30" s="170"/>
      <c r="P30" s="251" t="s">
        <v>355</v>
      </c>
      <c r="Q30" s="192"/>
      <c r="R30" s="192"/>
      <c r="S30" s="192"/>
      <c r="T30" s="192"/>
      <c r="U30" s="193"/>
    </row>
    <row r="31" spans="1:21" ht="27.6" customHeight="1">
      <c r="A31" s="85"/>
      <c r="B31" s="37">
        <f>ROW()-13</f>
        <v>18</v>
      </c>
      <c r="C31" s="145" t="s">
        <v>356</v>
      </c>
      <c r="D31" s="80"/>
      <c r="E31" s="81"/>
      <c r="F31" s="146"/>
      <c r="G31" s="17"/>
      <c r="H31" s="18" t="s">
        <v>49</v>
      </c>
      <c r="I31" s="59"/>
      <c r="J31" s="19">
        <v>1</v>
      </c>
      <c r="K31" s="19"/>
      <c r="L31" s="50"/>
      <c r="M31" s="73" t="s">
        <v>21</v>
      </c>
      <c r="N31" s="54">
        <f t="shared" si="0"/>
        <v>1</v>
      </c>
      <c r="O31" s="170"/>
      <c r="P31" s="251" t="s">
        <v>357</v>
      </c>
      <c r="Q31" s="192"/>
      <c r="R31" s="192"/>
      <c r="S31" s="192"/>
      <c r="T31" s="192"/>
      <c r="U31" s="193"/>
    </row>
    <row r="32" spans="1:21" ht="15.75" customHeight="1">
      <c r="A32" s="85"/>
      <c r="B32" s="37">
        <f>ROW()-13</f>
        <v>19</v>
      </c>
      <c r="C32" s="145" t="s">
        <v>359</v>
      </c>
      <c r="D32" s="80"/>
      <c r="E32" s="81"/>
      <c r="F32" s="146"/>
      <c r="G32" s="17"/>
      <c r="H32" s="18" t="s">
        <v>51</v>
      </c>
      <c r="I32" s="59"/>
      <c r="J32" s="19">
        <v>6</v>
      </c>
      <c r="K32" s="19"/>
      <c r="L32" s="50"/>
      <c r="M32" s="73" t="s">
        <v>21</v>
      </c>
      <c r="N32" s="54">
        <f t="shared" si="0"/>
        <v>6</v>
      </c>
      <c r="O32" s="170"/>
      <c r="P32" s="191" t="s">
        <v>169</v>
      </c>
      <c r="Q32" s="192"/>
      <c r="R32" s="192"/>
      <c r="S32" s="192"/>
      <c r="T32" s="192"/>
      <c r="U32" s="193"/>
    </row>
    <row r="33" spans="1:21" ht="15.75">
      <c r="A33" s="85"/>
      <c r="B33" s="37">
        <f t="shared" ref="B33:B39" si="1">ROW()-13</f>
        <v>20</v>
      </c>
      <c r="C33" s="107" t="s">
        <v>36</v>
      </c>
      <c r="D33" s="107"/>
      <c r="E33" s="108"/>
      <c r="F33" s="109" t="s">
        <v>78</v>
      </c>
      <c r="G33" s="110"/>
      <c r="H33" s="18" t="s">
        <v>51</v>
      </c>
      <c r="I33" s="59"/>
      <c r="J33" s="113">
        <v>12</v>
      </c>
      <c r="K33" s="113"/>
      <c r="L33" s="114"/>
      <c r="M33" s="115" t="s">
        <v>35</v>
      </c>
      <c r="N33" s="116">
        <f t="shared" si="0"/>
        <v>12</v>
      </c>
      <c r="O33" s="171"/>
      <c r="P33" s="197"/>
      <c r="Q33" s="198"/>
      <c r="R33" s="198"/>
      <c r="S33" s="198"/>
      <c r="T33" s="198"/>
      <c r="U33" s="199"/>
    </row>
    <row r="34" spans="1:21" ht="15.75">
      <c r="A34" s="85"/>
      <c r="B34" s="37">
        <f t="shared" si="1"/>
        <v>21</v>
      </c>
      <c r="C34" s="107" t="s">
        <v>37</v>
      </c>
      <c r="D34" s="107"/>
      <c r="E34" s="108"/>
      <c r="F34" s="109" t="s">
        <v>43</v>
      </c>
      <c r="G34" s="110"/>
      <c r="H34" s="18" t="s">
        <v>51</v>
      </c>
      <c r="I34" s="59"/>
      <c r="J34" s="113">
        <v>10</v>
      </c>
      <c r="K34" s="113"/>
      <c r="L34" s="114"/>
      <c r="M34" s="115" t="s">
        <v>21</v>
      </c>
      <c r="N34" s="116">
        <f t="shared" si="0"/>
        <v>10</v>
      </c>
      <c r="O34" s="171"/>
      <c r="P34" s="197"/>
      <c r="Q34" s="198"/>
      <c r="R34" s="198"/>
      <c r="S34" s="198"/>
      <c r="T34" s="198"/>
      <c r="U34" s="199"/>
    </row>
    <row r="35" spans="1:21" ht="15.75">
      <c r="A35" s="85"/>
      <c r="B35" s="37">
        <f t="shared" si="1"/>
        <v>22</v>
      </c>
      <c r="C35" s="107" t="s">
        <v>38</v>
      </c>
      <c r="D35" s="107"/>
      <c r="E35" s="108"/>
      <c r="F35" s="109" t="s">
        <v>80</v>
      </c>
      <c r="G35" s="110"/>
      <c r="H35" s="18" t="s">
        <v>86</v>
      </c>
      <c r="I35" s="59"/>
      <c r="J35" s="113"/>
      <c r="K35" s="113"/>
      <c r="L35" s="114"/>
      <c r="M35" s="115" t="s">
        <v>21</v>
      </c>
      <c r="N35" s="116">
        <f t="shared" si="0"/>
        <v>0</v>
      </c>
      <c r="O35" s="171"/>
      <c r="P35" s="197"/>
      <c r="Q35" s="198"/>
      <c r="R35" s="198"/>
      <c r="S35" s="198"/>
      <c r="T35" s="198"/>
      <c r="U35" s="199"/>
    </row>
    <row r="36" spans="1:21" ht="15.75">
      <c r="A36" s="85"/>
      <c r="B36" s="37">
        <f t="shared" si="1"/>
        <v>23</v>
      </c>
      <c r="C36" s="107" t="s">
        <v>39</v>
      </c>
      <c r="D36" s="107"/>
      <c r="E36" s="108"/>
      <c r="F36" s="109" t="s">
        <v>79</v>
      </c>
      <c r="G36" s="110"/>
      <c r="H36" s="18" t="s">
        <v>51</v>
      </c>
      <c r="I36" s="59"/>
      <c r="J36" s="113">
        <v>12</v>
      </c>
      <c r="K36" s="113"/>
      <c r="L36" s="114"/>
      <c r="M36" s="115" t="s">
        <v>35</v>
      </c>
      <c r="N36" s="116">
        <f t="shared" si="0"/>
        <v>12</v>
      </c>
      <c r="O36" s="171"/>
      <c r="P36" s="197"/>
      <c r="Q36" s="198"/>
      <c r="R36" s="198"/>
      <c r="S36" s="198"/>
      <c r="T36" s="198"/>
      <c r="U36" s="199"/>
    </row>
    <row r="37" spans="1:21" ht="15.75">
      <c r="A37" s="85"/>
      <c r="B37" s="37">
        <f t="shared" si="1"/>
        <v>24</v>
      </c>
      <c r="C37" s="107" t="s">
        <v>40</v>
      </c>
      <c r="D37" s="107"/>
      <c r="E37" s="108"/>
      <c r="F37" s="109" t="s">
        <v>44</v>
      </c>
      <c r="G37" s="110"/>
      <c r="H37" s="18" t="s">
        <v>51</v>
      </c>
      <c r="I37" s="59"/>
      <c r="J37" s="113">
        <v>10</v>
      </c>
      <c r="K37" s="113"/>
      <c r="L37" s="114"/>
      <c r="M37" s="115" t="s">
        <v>21</v>
      </c>
      <c r="N37" s="116">
        <f t="shared" si="0"/>
        <v>10</v>
      </c>
      <c r="O37" s="171"/>
      <c r="P37" s="197"/>
      <c r="Q37" s="198"/>
      <c r="R37" s="198"/>
      <c r="S37" s="198"/>
      <c r="T37" s="198"/>
      <c r="U37" s="199"/>
    </row>
    <row r="38" spans="1:21" ht="15.75">
      <c r="A38" s="85"/>
      <c r="B38" s="37">
        <f t="shared" si="1"/>
        <v>25</v>
      </c>
      <c r="C38" s="107" t="s">
        <v>41</v>
      </c>
      <c r="D38" s="107"/>
      <c r="E38" s="108"/>
      <c r="F38" s="109" t="s">
        <v>81</v>
      </c>
      <c r="G38" s="110"/>
      <c r="H38" s="18" t="s">
        <v>86</v>
      </c>
      <c r="I38" s="59"/>
      <c r="J38" s="113"/>
      <c r="K38" s="113"/>
      <c r="L38" s="114"/>
      <c r="M38" s="115" t="s">
        <v>21</v>
      </c>
      <c r="N38" s="116">
        <f t="shared" si="0"/>
        <v>0</v>
      </c>
      <c r="O38" s="171"/>
      <c r="P38" s="197"/>
      <c r="Q38" s="198"/>
      <c r="R38" s="198"/>
      <c r="S38" s="198"/>
      <c r="T38" s="198"/>
      <c r="U38" s="199"/>
    </row>
    <row r="39" spans="1:21" ht="15.75">
      <c r="A39" s="85"/>
      <c r="B39" s="37">
        <f t="shared" si="1"/>
        <v>26</v>
      </c>
      <c r="C39" s="80" t="s">
        <v>46</v>
      </c>
      <c r="D39" s="80"/>
      <c r="E39" s="81"/>
      <c r="F39" s="84" t="s">
        <v>71</v>
      </c>
      <c r="G39" s="17"/>
      <c r="H39" s="18" t="s">
        <v>62</v>
      </c>
      <c r="I39" s="59"/>
      <c r="J39" s="19">
        <v>8</v>
      </c>
      <c r="K39" s="19"/>
      <c r="L39" s="50" t="s">
        <v>47</v>
      </c>
      <c r="M39" s="73" t="s">
        <v>35</v>
      </c>
      <c r="N39" s="54">
        <f t="shared" si="0"/>
        <v>8</v>
      </c>
      <c r="O39" s="170">
        <v>0</v>
      </c>
      <c r="P39" s="191" t="s">
        <v>48</v>
      </c>
      <c r="Q39" s="192"/>
      <c r="R39" s="192"/>
      <c r="S39" s="192"/>
      <c r="T39" s="192"/>
      <c r="U39" s="193"/>
    </row>
    <row r="40" spans="1:21" ht="16.5" thickBot="1">
      <c r="A40" s="118"/>
      <c r="B40" s="119"/>
      <c r="C40" s="120"/>
      <c r="D40" s="120"/>
      <c r="E40" s="121"/>
      <c r="F40" s="129"/>
      <c r="G40" s="122"/>
      <c r="H40" s="147"/>
      <c r="I40" s="148"/>
      <c r="J40" s="125"/>
      <c r="K40" s="125"/>
      <c r="L40" s="126"/>
      <c r="M40" s="126"/>
      <c r="N40" s="127"/>
      <c r="O40" s="172"/>
      <c r="P40" s="194"/>
      <c r="Q40" s="195"/>
      <c r="R40" s="195"/>
      <c r="S40" s="195"/>
      <c r="T40" s="195"/>
      <c r="U40" s="196"/>
    </row>
  </sheetData>
  <mergeCells count="57">
    <mergeCell ref="P40:U40"/>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457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457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458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458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458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B9BA1791-F139-4C8A-AE21-45228DC9EC0E}">
            <xm:f>(AND(H14&lt;&gt;"",ISERROR(VLOOKUP(H14,system!$E:$E,1,FALSE))))</xm:f>
            <x14:dxf>
              <fill>
                <patternFill patternType="solid">
                  <bgColor rgb="FFFF0000"/>
                </patternFill>
              </fill>
            </x14:dxf>
          </x14:cfRule>
          <xm:sqref>H14:H32</xm:sqref>
        </x14:conditionalFormatting>
        <x14:conditionalFormatting xmlns:xm="http://schemas.microsoft.com/office/excel/2006/main">
          <x14:cfRule type="expression" priority="3" id="{EF4CB1FF-CC10-4CA7-B1D8-9C97E788073F}">
            <xm:f>(AND(H14&lt;&gt;"",ISERROR(VLOOKUP(H14,system!$E:$E,1,FALSE))))</xm:f>
            <x14:dxf>
              <fill>
                <patternFill>
                  <bgColor rgb="FFFF0000"/>
                </patternFill>
              </fill>
            </x14:dxf>
          </x14:cfRule>
          <xm:sqref>I14:I32</xm:sqref>
        </x14:conditionalFormatting>
        <x14:conditionalFormatting xmlns:xm="http://schemas.microsoft.com/office/excel/2006/main">
          <x14:cfRule type="expression" priority="2" id="{AA066AC5-0808-4BEE-8501-E912EC13AE7E}">
            <xm:f>(AND(H33&lt;&gt;"",ISERROR(VLOOKUP(H33,system!$E:$E,1,FALSE))))</xm:f>
            <x14:dxf>
              <fill>
                <patternFill patternType="solid">
                  <bgColor rgb="FFFF0000"/>
                </patternFill>
              </fill>
            </x14:dxf>
          </x14:cfRule>
          <xm:sqref>H33:H40</xm:sqref>
        </x14:conditionalFormatting>
        <x14:conditionalFormatting xmlns:xm="http://schemas.microsoft.com/office/excel/2006/main">
          <x14:cfRule type="expression" priority="1" id="{6045310D-7FFD-4F22-AA2E-9E57751044BC}">
            <xm:f>(AND(H33&lt;&gt;"",ISERROR(VLOOKUP(H33,system!$E:$E,1,FALSE))))</xm:f>
            <x14:dxf>
              <fill>
                <patternFill>
                  <bgColor rgb="FFFF0000"/>
                </patternFill>
              </fill>
            </x14:dxf>
          </x14:cfRule>
          <xm:sqref>I33:I40</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U26"/>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361</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117</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SUM(N14:N27)</f>
        <v>86</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25" si="0">IF(H14="NUMBER",IF(J14&gt;0,INT((J14+1)/2+0.9),0),IF(H14="DATE",7,IF(OR(H14="LONG",H14="LONG RAW"),100000,J14)))</f>
        <v>1</v>
      </c>
      <c r="O14" s="170"/>
      <c r="P14" s="191" t="s">
        <v>175</v>
      </c>
      <c r="Q14" s="192"/>
      <c r="R14" s="192"/>
      <c r="S14" s="192"/>
      <c r="T14" s="192"/>
      <c r="U14" s="193"/>
    </row>
    <row r="15" spans="1:21" ht="15.75" customHeight="1">
      <c r="A15" s="85" t="s">
        <v>191</v>
      </c>
      <c r="B15" s="37">
        <f>ROW()-13</f>
        <v>2</v>
      </c>
      <c r="C15" s="145" t="s">
        <v>362</v>
      </c>
      <c r="D15" s="80"/>
      <c r="E15" s="81"/>
      <c r="F15" s="146"/>
      <c r="G15" s="17"/>
      <c r="H15" s="18" t="s">
        <v>51</v>
      </c>
      <c r="I15" s="59"/>
      <c r="J15" s="19">
        <v>14</v>
      </c>
      <c r="K15" s="19"/>
      <c r="L15" s="50" t="s">
        <v>190</v>
      </c>
      <c r="M15" s="73" t="s">
        <v>21</v>
      </c>
      <c r="N15" s="54">
        <f t="shared" si="0"/>
        <v>14</v>
      </c>
      <c r="O15" s="170"/>
      <c r="P15" s="191" t="s">
        <v>363</v>
      </c>
      <c r="Q15" s="192"/>
      <c r="R15" s="192"/>
      <c r="S15" s="192"/>
      <c r="T15" s="192"/>
      <c r="U15" s="193"/>
    </row>
    <row r="16" spans="1:21" ht="39.200000000000003" customHeight="1">
      <c r="A16" s="85" t="s">
        <v>191</v>
      </c>
      <c r="B16" s="37">
        <f>ROW()-13</f>
        <v>3</v>
      </c>
      <c r="C16" s="145" t="s">
        <v>364</v>
      </c>
      <c r="D16" s="80"/>
      <c r="E16" s="81"/>
      <c r="F16" s="146"/>
      <c r="G16" s="17"/>
      <c r="H16" s="18" t="s">
        <v>49</v>
      </c>
      <c r="I16" s="59"/>
      <c r="J16" s="19">
        <v>1</v>
      </c>
      <c r="K16" s="19"/>
      <c r="L16" s="50" t="s">
        <v>190</v>
      </c>
      <c r="M16" s="73" t="s">
        <v>21</v>
      </c>
      <c r="N16" s="54">
        <f t="shared" si="0"/>
        <v>1</v>
      </c>
      <c r="O16" s="170"/>
      <c r="P16" s="251" t="s">
        <v>365</v>
      </c>
      <c r="Q16" s="192"/>
      <c r="R16" s="192"/>
      <c r="S16" s="192"/>
      <c r="T16" s="192"/>
      <c r="U16" s="193"/>
    </row>
    <row r="17" spans="1:21" ht="15.75" customHeight="1">
      <c r="A17" s="85"/>
      <c r="B17" s="37">
        <f>ROW()-13</f>
        <v>4</v>
      </c>
      <c r="C17" s="145" t="s">
        <v>352</v>
      </c>
      <c r="D17" s="80"/>
      <c r="E17" s="81"/>
      <c r="F17" s="146"/>
      <c r="G17" s="17"/>
      <c r="H17" s="18" t="s">
        <v>51</v>
      </c>
      <c r="I17" s="59"/>
      <c r="J17" s="19">
        <v>14</v>
      </c>
      <c r="K17" s="19"/>
      <c r="L17" s="50" t="s">
        <v>190</v>
      </c>
      <c r="M17" s="73" t="s">
        <v>21</v>
      </c>
      <c r="N17" s="54">
        <f t="shared" si="0"/>
        <v>14</v>
      </c>
      <c r="O17" s="170"/>
      <c r="P17" s="191" t="s">
        <v>366</v>
      </c>
      <c r="Q17" s="192"/>
      <c r="R17" s="192"/>
      <c r="S17" s="192"/>
      <c r="T17" s="192"/>
      <c r="U17" s="193"/>
    </row>
    <row r="18" spans="1:21" ht="27.6" customHeight="1">
      <c r="A18" s="85"/>
      <c r="B18" s="37">
        <f>ROW()-13</f>
        <v>5</v>
      </c>
      <c r="C18" s="145" t="s">
        <v>318</v>
      </c>
      <c r="D18" s="80"/>
      <c r="E18" s="81"/>
      <c r="F18" s="146"/>
      <c r="G18" s="17"/>
      <c r="H18" s="18" t="s">
        <v>51</v>
      </c>
      <c r="I18" s="59"/>
      <c r="J18" s="19">
        <v>4</v>
      </c>
      <c r="K18" s="19"/>
      <c r="L18" s="50" t="s">
        <v>190</v>
      </c>
      <c r="M18" s="73" t="s">
        <v>21</v>
      </c>
      <c r="N18" s="54">
        <f t="shared" si="0"/>
        <v>4</v>
      </c>
      <c r="O18" s="170"/>
      <c r="P18" s="251" t="s">
        <v>367</v>
      </c>
      <c r="Q18" s="192"/>
      <c r="R18" s="192"/>
      <c r="S18" s="192"/>
      <c r="T18" s="192"/>
      <c r="U18" s="193"/>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71"/>
      <c r="P19" s="197"/>
      <c r="Q19" s="198"/>
      <c r="R19" s="198"/>
      <c r="S19" s="198"/>
      <c r="T19" s="198"/>
      <c r="U19" s="199"/>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71"/>
      <c r="P20" s="197"/>
      <c r="Q20" s="198"/>
      <c r="R20" s="198"/>
      <c r="S20" s="198"/>
      <c r="T20" s="198"/>
      <c r="U20" s="199"/>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71"/>
      <c r="P21" s="197"/>
      <c r="Q21" s="198"/>
      <c r="R21" s="198"/>
      <c r="S21" s="198"/>
      <c r="T21" s="198"/>
      <c r="U21" s="199"/>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71"/>
      <c r="P22" s="197"/>
      <c r="Q22" s="198"/>
      <c r="R22" s="198"/>
      <c r="S22" s="198"/>
      <c r="T22" s="198"/>
      <c r="U22" s="199"/>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71"/>
      <c r="P23" s="197"/>
      <c r="Q23" s="198"/>
      <c r="R23" s="198"/>
      <c r="S23" s="198"/>
      <c r="T23" s="198"/>
      <c r="U23" s="199"/>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71"/>
      <c r="P24" s="197"/>
      <c r="Q24" s="198"/>
      <c r="R24" s="198"/>
      <c r="S24" s="198"/>
      <c r="T24" s="198"/>
      <c r="U24" s="199"/>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70">
        <v>0</v>
      </c>
      <c r="P25" s="191" t="s">
        <v>48</v>
      </c>
      <c r="Q25" s="192"/>
      <c r="R25" s="192"/>
      <c r="S25" s="192"/>
      <c r="T25" s="192"/>
      <c r="U25" s="193"/>
    </row>
    <row r="26" spans="1:21" ht="16.5" thickBot="1">
      <c r="A26" s="118"/>
      <c r="B26" s="119"/>
      <c r="C26" s="120"/>
      <c r="D26" s="120"/>
      <c r="E26" s="121"/>
      <c r="F26" s="129"/>
      <c r="G26" s="122"/>
      <c r="H26" s="147"/>
      <c r="I26" s="148"/>
      <c r="J26" s="125"/>
      <c r="K26" s="125"/>
      <c r="L26" s="126"/>
      <c r="M26" s="126"/>
      <c r="N26" s="127"/>
      <c r="O26" s="172"/>
      <c r="P26" s="194"/>
      <c r="Q26" s="195"/>
      <c r="R26" s="195"/>
      <c r="S26" s="195"/>
      <c r="T26" s="195"/>
      <c r="U26" s="196"/>
    </row>
  </sheetData>
  <mergeCells count="43">
    <mergeCell ref="P22:U22"/>
    <mergeCell ref="P23:U23"/>
    <mergeCell ref="P24:U24"/>
    <mergeCell ref="P25:U25"/>
    <mergeCell ref="P26:U26"/>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560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560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560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560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560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7398C49E-4EB1-40B6-BD37-26D7FEB2E791}">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2593022D-DD82-472D-9C3B-21F294D01CDA}">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3A4330A8-C042-46B1-8E6D-CEE1D34CE645}">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07D85F6E-819F-48B1-BCB4-2FD43EC36EB4}">
            <xm:f>(AND(H19&lt;&gt;"",ISERROR(VLOOKUP(H19,system!$E:$E,1,FALSE))))</xm:f>
            <x14:dxf>
              <fill>
                <patternFill>
                  <bgColor rgb="FFFF0000"/>
                </patternFill>
              </fill>
            </x14:dxf>
          </x14:cfRule>
          <xm:sqref>I19:I26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U43"/>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369</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119</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SUM(N14:N44)</f>
        <v>204</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370</v>
      </c>
      <c r="D14" s="80"/>
      <c r="E14" s="81"/>
      <c r="F14" s="146"/>
      <c r="G14" s="17"/>
      <c r="H14" s="18" t="s">
        <v>49</v>
      </c>
      <c r="I14" s="59"/>
      <c r="J14" s="19">
        <v>3</v>
      </c>
      <c r="K14" s="19"/>
      <c r="L14" s="50" t="s">
        <v>190</v>
      </c>
      <c r="M14" s="73" t="s">
        <v>21</v>
      </c>
      <c r="N14" s="54">
        <f t="shared" ref="N14:N42" si="0">IF(H14="NUMBER",IF(J14&gt;0,INT((J14+1)/2+0.9),0),IF(H14="DATE",7,IF(OR(H14="LONG",H14="LONG RAW"),100000,J14)))</f>
        <v>3</v>
      </c>
      <c r="O14" s="170"/>
      <c r="P14" s="191"/>
      <c r="Q14" s="192"/>
      <c r="R14" s="192"/>
      <c r="S14" s="192"/>
      <c r="T14" s="192"/>
      <c r="U14" s="193"/>
    </row>
    <row r="15" spans="1:21" ht="15.75" customHeight="1">
      <c r="A15" s="85" t="s">
        <v>191</v>
      </c>
      <c r="B15" s="37">
        <f>ROW()-13</f>
        <v>2</v>
      </c>
      <c r="C15" s="145" t="s">
        <v>371</v>
      </c>
      <c r="D15" s="80"/>
      <c r="E15" s="81"/>
      <c r="F15" s="146"/>
      <c r="G15" s="17"/>
      <c r="H15" s="18" t="s">
        <v>49</v>
      </c>
      <c r="I15" s="59"/>
      <c r="J15" s="19">
        <v>7</v>
      </c>
      <c r="K15" s="19"/>
      <c r="L15" s="50" t="s">
        <v>190</v>
      </c>
      <c r="M15" s="73" t="s">
        <v>21</v>
      </c>
      <c r="N15" s="54">
        <f t="shared" si="0"/>
        <v>7</v>
      </c>
      <c r="O15" s="170"/>
      <c r="P15" s="191"/>
      <c r="Q15" s="192"/>
      <c r="R15" s="192"/>
      <c r="S15" s="192"/>
      <c r="T15" s="192"/>
      <c r="U15" s="193"/>
    </row>
    <row r="16" spans="1:21" ht="15.75" customHeight="1">
      <c r="A16" s="85"/>
      <c r="B16" s="37">
        <f>ROW()-13</f>
        <v>3</v>
      </c>
      <c r="C16" s="145" t="s">
        <v>372</v>
      </c>
      <c r="D16" s="80"/>
      <c r="E16" s="81"/>
      <c r="F16" s="146"/>
      <c r="G16" s="17"/>
      <c r="H16" s="18" t="s">
        <v>49</v>
      </c>
      <c r="I16" s="59"/>
      <c r="J16" s="19">
        <v>1</v>
      </c>
      <c r="K16" s="19"/>
      <c r="L16" s="50"/>
      <c r="M16" s="73" t="s">
        <v>21</v>
      </c>
      <c r="N16" s="54">
        <f t="shared" si="0"/>
        <v>1</v>
      </c>
      <c r="O16" s="170"/>
      <c r="P16" s="191"/>
      <c r="Q16" s="192"/>
      <c r="R16" s="192"/>
      <c r="S16" s="192"/>
      <c r="T16" s="192"/>
      <c r="U16" s="193"/>
    </row>
    <row r="17" spans="1:21" ht="15.75" customHeight="1">
      <c r="A17" s="85"/>
      <c r="B17" s="37">
        <f>ROW()-13</f>
        <v>4</v>
      </c>
      <c r="C17" s="145" t="s">
        <v>196</v>
      </c>
      <c r="D17" s="80"/>
      <c r="E17" s="81"/>
      <c r="F17" s="146"/>
      <c r="G17" s="17"/>
      <c r="H17" s="18" t="s">
        <v>49</v>
      </c>
      <c r="I17" s="59"/>
      <c r="J17" s="19">
        <v>12</v>
      </c>
      <c r="K17" s="19"/>
      <c r="L17" s="50"/>
      <c r="M17" s="73" t="s">
        <v>21</v>
      </c>
      <c r="N17" s="54">
        <f t="shared" si="0"/>
        <v>12</v>
      </c>
      <c r="O17" s="170"/>
      <c r="P17" s="191"/>
      <c r="Q17" s="192"/>
      <c r="R17" s="192"/>
      <c r="S17" s="192"/>
      <c r="T17" s="192"/>
      <c r="U17" s="193"/>
    </row>
    <row r="18" spans="1:21" ht="15.75" customHeight="1">
      <c r="A18" s="85" t="s">
        <v>191</v>
      </c>
      <c r="B18" s="37">
        <f>ROW()-13</f>
        <v>5</v>
      </c>
      <c r="C18" s="145" t="s">
        <v>198</v>
      </c>
      <c r="D18" s="80"/>
      <c r="E18" s="81"/>
      <c r="F18" s="146"/>
      <c r="G18" s="17"/>
      <c r="H18" s="18" t="s">
        <v>51</v>
      </c>
      <c r="I18" s="59"/>
      <c r="J18" s="19">
        <v>25</v>
      </c>
      <c r="K18" s="19"/>
      <c r="L18" s="50" t="s">
        <v>190</v>
      </c>
      <c r="M18" s="73" t="s">
        <v>21</v>
      </c>
      <c r="N18" s="54">
        <f t="shared" si="0"/>
        <v>25</v>
      </c>
      <c r="O18" s="170"/>
      <c r="P18" s="191"/>
      <c r="Q18" s="192"/>
      <c r="R18" s="192"/>
      <c r="S18" s="192"/>
      <c r="T18" s="192"/>
      <c r="U18" s="193"/>
    </row>
    <row r="19" spans="1:21" ht="15.75" customHeight="1">
      <c r="A19" s="85" t="s">
        <v>191</v>
      </c>
      <c r="B19" s="37">
        <f>ROW()-13</f>
        <v>6</v>
      </c>
      <c r="C19" s="145" t="s">
        <v>200</v>
      </c>
      <c r="D19" s="80"/>
      <c r="E19" s="81"/>
      <c r="F19" s="146"/>
      <c r="G19" s="17"/>
      <c r="H19" s="18" t="s">
        <v>51</v>
      </c>
      <c r="I19" s="59"/>
      <c r="J19" s="19">
        <v>4</v>
      </c>
      <c r="K19" s="19"/>
      <c r="L19" s="50" t="s">
        <v>190</v>
      </c>
      <c r="M19" s="73" t="s">
        <v>21</v>
      </c>
      <c r="N19" s="54">
        <f t="shared" si="0"/>
        <v>4</v>
      </c>
      <c r="O19" s="170"/>
      <c r="P19" s="191" t="s">
        <v>202</v>
      </c>
      <c r="Q19" s="192"/>
      <c r="R19" s="192"/>
      <c r="S19" s="192"/>
      <c r="T19" s="192"/>
      <c r="U19" s="193"/>
    </row>
    <row r="20" spans="1:21" ht="62.85" customHeight="1">
      <c r="A20" s="85" t="s">
        <v>191</v>
      </c>
      <c r="B20" s="37">
        <f>ROW()-13</f>
        <v>7</v>
      </c>
      <c r="C20" s="145" t="s">
        <v>203</v>
      </c>
      <c r="D20" s="80"/>
      <c r="E20" s="81"/>
      <c r="F20" s="146"/>
      <c r="G20" s="17"/>
      <c r="H20" s="18" t="s">
        <v>49</v>
      </c>
      <c r="I20" s="59"/>
      <c r="J20" s="19">
        <v>1</v>
      </c>
      <c r="K20" s="19"/>
      <c r="L20" s="50" t="s">
        <v>190</v>
      </c>
      <c r="M20" s="73" t="s">
        <v>21</v>
      </c>
      <c r="N20" s="54">
        <f t="shared" si="0"/>
        <v>1</v>
      </c>
      <c r="O20" s="170"/>
      <c r="P20" s="251" t="s">
        <v>264</v>
      </c>
      <c r="Q20" s="192"/>
      <c r="R20" s="192"/>
      <c r="S20" s="192"/>
      <c r="T20" s="192"/>
      <c r="U20" s="193"/>
    </row>
    <row r="21" spans="1:21" ht="15.75" customHeight="1">
      <c r="A21" s="85"/>
      <c r="B21" s="37">
        <f>ROW()-13</f>
        <v>8</v>
      </c>
      <c r="C21" s="145" t="s">
        <v>373</v>
      </c>
      <c r="D21" s="80"/>
      <c r="E21" s="81"/>
      <c r="F21" s="146"/>
      <c r="G21" s="17"/>
      <c r="H21" s="18" t="s">
        <v>49</v>
      </c>
      <c r="I21" s="59"/>
      <c r="J21" s="19">
        <v>2</v>
      </c>
      <c r="K21" s="19"/>
      <c r="L21" s="50"/>
      <c r="M21" s="73" t="s">
        <v>21</v>
      </c>
      <c r="N21" s="54">
        <f t="shared" si="0"/>
        <v>2</v>
      </c>
      <c r="O21" s="170"/>
      <c r="P21" s="191"/>
      <c r="Q21" s="192"/>
      <c r="R21" s="192"/>
      <c r="S21" s="192"/>
      <c r="T21" s="192"/>
      <c r="U21" s="193"/>
    </row>
    <row r="22" spans="1:21" ht="15.75" customHeight="1">
      <c r="A22" s="85"/>
      <c r="B22" s="37">
        <f>ROW()-13</f>
        <v>9</v>
      </c>
      <c r="C22" s="145" t="s">
        <v>374</v>
      </c>
      <c r="D22" s="80"/>
      <c r="E22" s="81"/>
      <c r="F22" s="146"/>
      <c r="G22" s="17"/>
      <c r="H22" s="18" t="s">
        <v>54</v>
      </c>
      <c r="I22" s="59"/>
      <c r="J22" s="19"/>
      <c r="K22" s="19"/>
      <c r="L22" s="50"/>
      <c r="M22" s="73" t="s">
        <v>21</v>
      </c>
      <c r="N22" s="54">
        <f t="shared" si="0"/>
        <v>0</v>
      </c>
      <c r="O22" s="170"/>
      <c r="P22" s="191"/>
      <c r="Q22" s="192"/>
      <c r="R22" s="192"/>
      <c r="S22" s="192"/>
      <c r="T22" s="192"/>
      <c r="U22" s="193"/>
    </row>
    <row r="23" spans="1:21" ht="15.75" customHeight="1">
      <c r="A23" s="85"/>
      <c r="B23" s="37">
        <f>ROW()-13</f>
        <v>10</v>
      </c>
      <c r="C23" s="145" t="s">
        <v>375</v>
      </c>
      <c r="D23" s="80"/>
      <c r="E23" s="81"/>
      <c r="F23" s="146"/>
      <c r="G23" s="17"/>
      <c r="H23" s="18" t="s">
        <v>54</v>
      </c>
      <c r="I23" s="59"/>
      <c r="J23" s="19"/>
      <c r="K23" s="19"/>
      <c r="L23" s="50"/>
      <c r="M23" s="73" t="s">
        <v>21</v>
      </c>
      <c r="N23" s="54">
        <f t="shared" si="0"/>
        <v>0</v>
      </c>
      <c r="O23" s="170"/>
      <c r="P23" s="191"/>
      <c r="Q23" s="192"/>
      <c r="R23" s="192"/>
      <c r="S23" s="192"/>
      <c r="T23" s="192"/>
      <c r="U23" s="193"/>
    </row>
    <row r="24" spans="1:21" ht="15.75" customHeight="1">
      <c r="A24" s="85"/>
      <c r="B24" s="37">
        <f>ROW()-13</f>
        <v>11</v>
      </c>
      <c r="C24" s="145" t="s">
        <v>376</v>
      </c>
      <c r="D24" s="80"/>
      <c r="E24" s="81"/>
      <c r="F24" s="146"/>
      <c r="G24" s="17"/>
      <c r="H24" s="18" t="s">
        <v>24</v>
      </c>
      <c r="I24" s="59"/>
      <c r="J24" s="19"/>
      <c r="K24" s="19"/>
      <c r="L24" s="50"/>
      <c r="M24" s="73" t="s">
        <v>21</v>
      </c>
      <c r="N24" s="54">
        <f t="shared" si="0"/>
        <v>7</v>
      </c>
      <c r="O24" s="170"/>
      <c r="P24" s="191"/>
      <c r="Q24" s="192"/>
      <c r="R24" s="192"/>
      <c r="S24" s="192"/>
      <c r="T24" s="192"/>
      <c r="U24" s="193"/>
    </row>
    <row r="25" spans="1:21" ht="15.75" customHeight="1">
      <c r="A25" s="85"/>
      <c r="B25" s="37">
        <f>ROW()-13</f>
        <v>12</v>
      </c>
      <c r="C25" s="145" t="s">
        <v>377</v>
      </c>
      <c r="D25" s="80"/>
      <c r="E25" s="81"/>
      <c r="F25" s="146"/>
      <c r="G25" s="17"/>
      <c r="H25" s="18" t="s">
        <v>24</v>
      </c>
      <c r="I25" s="59"/>
      <c r="J25" s="19"/>
      <c r="K25" s="19"/>
      <c r="L25" s="50"/>
      <c r="M25" s="73" t="s">
        <v>21</v>
      </c>
      <c r="N25" s="54">
        <f t="shared" si="0"/>
        <v>7</v>
      </c>
      <c r="O25" s="170"/>
      <c r="P25" s="191"/>
      <c r="Q25" s="192"/>
      <c r="R25" s="192"/>
      <c r="S25" s="192"/>
      <c r="T25" s="192"/>
      <c r="U25" s="193"/>
    </row>
    <row r="26" spans="1:21" ht="15.75" customHeight="1">
      <c r="A26" s="85"/>
      <c r="B26" s="37">
        <f>ROW()-13</f>
        <v>13</v>
      </c>
      <c r="C26" s="145" t="s">
        <v>359</v>
      </c>
      <c r="D26" s="80"/>
      <c r="E26" s="81"/>
      <c r="F26" s="146"/>
      <c r="G26" s="17"/>
      <c r="H26" s="18" t="s">
        <v>51</v>
      </c>
      <c r="I26" s="59"/>
      <c r="J26" s="19">
        <v>6</v>
      </c>
      <c r="K26" s="19"/>
      <c r="L26" s="50"/>
      <c r="M26" s="73" t="s">
        <v>21</v>
      </c>
      <c r="N26" s="54">
        <f t="shared" si="0"/>
        <v>6</v>
      </c>
      <c r="O26" s="170"/>
      <c r="P26" s="191"/>
      <c r="Q26" s="192"/>
      <c r="R26" s="192"/>
      <c r="S26" s="192"/>
      <c r="T26" s="192"/>
      <c r="U26" s="193"/>
    </row>
    <row r="27" spans="1:21" ht="15.75" customHeight="1">
      <c r="A27" s="85"/>
      <c r="B27" s="37">
        <f>ROW()-13</f>
        <v>14</v>
      </c>
      <c r="C27" s="145" t="s">
        <v>378</v>
      </c>
      <c r="D27" s="80"/>
      <c r="E27" s="81"/>
      <c r="F27" s="146"/>
      <c r="G27" s="17"/>
      <c r="H27" s="18" t="s">
        <v>56</v>
      </c>
      <c r="I27" s="59"/>
      <c r="J27" s="19">
        <v>5</v>
      </c>
      <c r="K27" s="19">
        <v>2</v>
      </c>
      <c r="L27" s="50"/>
      <c r="M27" s="73" t="s">
        <v>21</v>
      </c>
      <c r="N27" s="54">
        <f t="shared" si="0"/>
        <v>5</v>
      </c>
      <c r="O27" s="170"/>
      <c r="P27" s="191"/>
      <c r="Q27" s="192"/>
      <c r="R27" s="192"/>
      <c r="S27" s="192"/>
      <c r="T27" s="192"/>
      <c r="U27" s="193"/>
    </row>
    <row r="28" spans="1:21" ht="15.75" customHeight="1">
      <c r="A28" s="85"/>
      <c r="B28" s="37">
        <f>ROW()-13</f>
        <v>15</v>
      </c>
      <c r="C28" s="145" t="s">
        <v>379</v>
      </c>
      <c r="D28" s="80"/>
      <c r="E28" s="81"/>
      <c r="F28" s="146"/>
      <c r="G28" s="17"/>
      <c r="H28" s="18" t="s">
        <v>86</v>
      </c>
      <c r="I28" s="59"/>
      <c r="J28" s="19"/>
      <c r="K28" s="19"/>
      <c r="L28" s="50"/>
      <c r="M28" s="73" t="s">
        <v>21</v>
      </c>
      <c r="N28" s="54">
        <f t="shared" si="0"/>
        <v>0</v>
      </c>
      <c r="O28" s="170" t="s">
        <v>380</v>
      </c>
      <c r="P28" s="191"/>
      <c r="Q28" s="192"/>
      <c r="R28" s="192"/>
      <c r="S28" s="192"/>
      <c r="T28" s="192"/>
      <c r="U28" s="193"/>
    </row>
    <row r="29" spans="1:21" ht="15.75" customHeight="1">
      <c r="A29" s="85"/>
      <c r="B29" s="37">
        <f>ROW()-13</f>
        <v>16</v>
      </c>
      <c r="C29" s="145" t="s">
        <v>381</v>
      </c>
      <c r="D29" s="80"/>
      <c r="E29" s="81"/>
      <c r="F29" s="146"/>
      <c r="G29" s="17"/>
      <c r="H29" s="18" t="s">
        <v>86</v>
      </c>
      <c r="I29" s="59"/>
      <c r="J29" s="19"/>
      <c r="K29" s="19"/>
      <c r="L29" s="50"/>
      <c r="M29" s="73" t="s">
        <v>21</v>
      </c>
      <c r="N29" s="54">
        <f t="shared" si="0"/>
        <v>0</v>
      </c>
      <c r="O29" s="170"/>
      <c r="P29" s="191"/>
      <c r="Q29" s="192"/>
      <c r="R29" s="192"/>
      <c r="S29" s="192"/>
      <c r="T29" s="192"/>
      <c r="U29" s="193"/>
    </row>
    <row r="30" spans="1:21" ht="15.75" customHeight="1">
      <c r="A30" s="85"/>
      <c r="B30" s="37">
        <f>ROW()-13</f>
        <v>17</v>
      </c>
      <c r="C30" s="145" t="s">
        <v>382</v>
      </c>
      <c r="D30" s="80"/>
      <c r="E30" s="81"/>
      <c r="F30" s="146"/>
      <c r="G30" s="17"/>
      <c r="H30" s="18" t="s">
        <v>24</v>
      </c>
      <c r="I30" s="59"/>
      <c r="J30" s="19"/>
      <c r="K30" s="19"/>
      <c r="L30" s="50"/>
      <c r="M30" s="73" t="s">
        <v>21</v>
      </c>
      <c r="N30" s="54">
        <f t="shared" si="0"/>
        <v>7</v>
      </c>
      <c r="O30" s="170"/>
      <c r="P30" s="191"/>
      <c r="Q30" s="192"/>
      <c r="R30" s="192"/>
      <c r="S30" s="192"/>
      <c r="T30" s="192"/>
      <c r="U30" s="193"/>
    </row>
    <row r="31" spans="1:21" ht="15.75" customHeight="1">
      <c r="A31" s="85"/>
      <c r="B31" s="37">
        <f>ROW()-13</f>
        <v>18</v>
      </c>
      <c r="C31" s="145" t="s">
        <v>383</v>
      </c>
      <c r="D31" s="80"/>
      <c r="E31" s="81"/>
      <c r="F31" s="146"/>
      <c r="G31" s="17"/>
      <c r="H31" s="18" t="s">
        <v>51</v>
      </c>
      <c r="I31" s="59"/>
      <c r="J31" s="19">
        <v>50</v>
      </c>
      <c r="K31" s="19"/>
      <c r="L31" s="50"/>
      <c r="M31" s="73" t="s">
        <v>21</v>
      </c>
      <c r="N31" s="54">
        <f t="shared" si="0"/>
        <v>50</v>
      </c>
      <c r="O31" s="170"/>
      <c r="P31" s="191"/>
      <c r="Q31" s="192"/>
      <c r="R31" s="192"/>
      <c r="S31" s="192"/>
      <c r="T31" s="192"/>
      <c r="U31" s="193"/>
    </row>
    <row r="32" spans="1:21" ht="27.6" customHeight="1">
      <c r="A32" s="85"/>
      <c r="B32" s="37">
        <f>ROW()-13</f>
        <v>19</v>
      </c>
      <c r="C32" s="145" t="s">
        <v>384</v>
      </c>
      <c r="D32" s="80"/>
      <c r="E32" s="81"/>
      <c r="F32" s="146"/>
      <c r="G32" s="17"/>
      <c r="H32" s="18" t="s">
        <v>49</v>
      </c>
      <c r="I32" s="59"/>
      <c r="J32" s="19">
        <v>1</v>
      </c>
      <c r="K32" s="19"/>
      <c r="L32" s="50"/>
      <c r="M32" s="73" t="s">
        <v>21</v>
      </c>
      <c r="N32" s="54">
        <f t="shared" si="0"/>
        <v>1</v>
      </c>
      <c r="O32" s="170">
        <v>0</v>
      </c>
      <c r="P32" s="251" t="s">
        <v>385</v>
      </c>
      <c r="Q32" s="192"/>
      <c r="R32" s="192"/>
      <c r="S32" s="192"/>
      <c r="T32" s="192"/>
      <c r="U32" s="193"/>
    </row>
    <row r="33" spans="1:21" ht="15.75" customHeight="1">
      <c r="A33" s="85"/>
      <c r="B33" s="37">
        <f>ROW()-13</f>
        <v>20</v>
      </c>
      <c r="C33" s="145" t="s">
        <v>386</v>
      </c>
      <c r="D33" s="80"/>
      <c r="E33" s="81"/>
      <c r="F33" s="146"/>
      <c r="G33" s="17"/>
      <c r="H33" s="18" t="s">
        <v>208</v>
      </c>
      <c r="I33" s="59"/>
      <c r="J33" s="19"/>
      <c r="K33" s="19"/>
      <c r="L33" s="50"/>
      <c r="M33" s="73" t="s">
        <v>21</v>
      </c>
      <c r="N33" s="54">
        <f t="shared" si="0"/>
        <v>0</v>
      </c>
      <c r="O33" s="170">
        <v>0</v>
      </c>
      <c r="P33" s="191"/>
      <c r="Q33" s="192"/>
      <c r="R33" s="192"/>
      <c r="S33" s="192"/>
      <c r="T33" s="192"/>
      <c r="U33" s="193"/>
    </row>
    <row r="34" spans="1:21" ht="15.75" customHeight="1">
      <c r="A34" s="85"/>
      <c r="B34" s="37">
        <f>ROW()-13</f>
        <v>21</v>
      </c>
      <c r="C34" s="145" t="s">
        <v>387</v>
      </c>
      <c r="D34" s="80"/>
      <c r="E34" s="81"/>
      <c r="F34" s="146"/>
      <c r="G34" s="17"/>
      <c r="H34" s="18" t="s">
        <v>56</v>
      </c>
      <c r="I34" s="59"/>
      <c r="J34" s="19">
        <v>10</v>
      </c>
      <c r="K34" s="19">
        <v>2</v>
      </c>
      <c r="L34" s="50"/>
      <c r="M34" s="73" t="s">
        <v>21</v>
      </c>
      <c r="N34" s="54">
        <f t="shared" si="0"/>
        <v>10</v>
      </c>
      <c r="O34" s="170">
        <v>0</v>
      </c>
      <c r="P34" s="191"/>
      <c r="Q34" s="192"/>
      <c r="R34" s="192"/>
      <c r="S34" s="192"/>
      <c r="T34" s="192"/>
      <c r="U34" s="193"/>
    </row>
    <row r="35" spans="1:21" ht="15.75" customHeight="1">
      <c r="A35" s="85"/>
      <c r="B35" s="37">
        <f>ROW()-13</f>
        <v>22</v>
      </c>
      <c r="C35" s="145" t="s">
        <v>209</v>
      </c>
      <c r="D35" s="80"/>
      <c r="E35" s="81"/>
      <c r="F35" s="146"/>
      <c r="G35" s="17"/>
      <c r="H35" s="18" t="s">
        <v>51</v>
      </c>
      <c r="I35" s="59"/>
      <c r="J35" s="19">
        <v>4</v>
      </c>
      <c r="K35" s="19"/>
      <c r="L35" s="50"/>
      <c r="M35" s="73" t="s">
        <v>21</v>
      </c>
      <c r="N35" s="54">
        <f t="shared" si="0"/>
        <v>4</v>
      </c>
      <c r="O35" s="170"/>
      <c r="P35" s="191"/>
      <c r="Q35" s="192"/>
      <c r="R35" s="192"/>
      <c r="S35" s="192"/>
      <c r="T35" s="192"/>
      <c r="U35" s="193"/>
    </row>
    <row r="36" spans="1:21" ht="15.75">
      <c r="A36" s="85"/>
      <c r="B36" s="37">
        <f t="shared" ref="B36:B42" si="1">ROW()-13</f>
        <v>23</v>
      </c>
      <c r="C36" s="107" t="s">
        <v>36</v>
      </c>
      <c r="D36" s="107"/>
      <c r="E36" s="108"/>
      <c r="F36" s="109" t="s">
        <v>78</v>
      </c>
      <c r="G36" s="110"/>
      <c r="H36" s="18" t="s">
        <v>51</v>
      </c>
      <c r="I36" s="59"/>
      <c r="J36" s="113">
        <v>12</v>
      </c>
      <c r="K36" s="113"/>
      <c r="L36" s="114"/>
      <c r="M36" s="115" t="s">
        <v>35</v>
      </c>
      <c r="N36" s="116">
        <f t="shared" si="0"/>
        <v>12</v>
      </c>
      <c r="O36" s="171"/>
      <c r="P36" s="197"/>
      <c r="Q36" s="198"/>
      <c r="R36" s="198"/>
      <c r="S36" s="198"/>
      <c r="T36" s="198"/>
      <c r="U36" s="199"/>
    </row>
    <row r="37" spans="1:21" ht="15.75">
      <c r="A37" s="85"/>
      <c r="B37" s="37">
        <f t="shared" si="1"/>
        <v>24</v>
      </c>
      <c r="C37" s="107" t="s">
        <v>37</v>
      </c>
      <c r="D37" s="107"/>
      <c r="E37" s="108"/>
      <c r="F37" s="109" t="s">
        <v>43</v>
      </c>
      <c r="G37" s="110"/>
      <c r="H37" s="18" t="s">
        <v>51</v>
      </c>
      <c r="I37" s="59"/>
      <c r="J37" s="113">
        <v>10</v>
      </c>
      <c r="K37" s="113"/>
      <c r="L37" s="114"/>
      <c r="M37" s="115" t="s">
        <v>21</v>
      </c>
      <c r="N37" s="116">
        <f t="shared" si="0"/>
        <v>10</v>
      </c>
      <c r="O37" s="171"/>
      <c r="P37" s="197"/>
      <c r="Q37" s="198"/>
      <c r="R37" s="198"/>
      <c r="S37" s="198"/>
      <c r="T37" s="198"/>
      <c r="U37" s="199"/>
    </row>
    <row r="38" spans="1:21" ht="15.75">
      <c r="A38" s="85"/>
      <c r="B38" s="37">
        <f t="shared" si="1"/>
        <v>25</v>
      </c>
      <c r="C38" s="107" t="s">
        <v>38</v>
      </c>
      <c r="D38" s="107"/>
      <c r="E38" s="108"/>
      <c r="F38" s="109" t="s">
        <v>80</v>
      </c>
      <c r="G38" s="110"/>
      <c r="H38" s="18" t="s">
        <v>86</v>
      </c>
      <c r="I38" s="59"/>
      <c r="J38" s="113"/>
      <c r="K38" s="113"/>
      <c r="L38" s="114"/>
      <c r="M38" s="115" t="s">
        <v>21</v>
      </c>
      <c r="N38" s="116">
        <f t="shared" si="0"/>
        <v>0</v>
      </c>
      <c r="O38" s="171"/>
      <c r="P38" s="197"/>
      <c r="Q38" s="198"/>
      <c r="R38" s="198"/>
      <c r="S38" s="198"/>
      <c r="T38" s="198"/>
      <c r="U38" s="199"/>
    </row>
    <row r="39" spans="1:21" ht="15.75">
      <c r="A39" s="85"/>
      <c r="B39" s="37">
        <f t="shared" si="1"/>
        <v>26</v>
      </c>
      <c r="C39" s="107" t="s">
        <v>39</v>
      </c>
      <c r="D39" s="107"/>
      <c r="E39" s="108"/>
      <c r="F39" s="109" t="s">
        <v>79</v>
      </c>
      <c r="G39" s="110"/>
      <c r="H39" s="18" t="s">
        <v>51</v>
      </c>
      <c r="I39" s="59"/>
      <c r="J39" s="113">
        <v>12</v>
      </c>
      <c r="K39" s="113"/>
      <c r="L39" s="114"/>
      <c r="M39" s="115" t="s">
        <v>35</v>
      </c>
      <c r="N39" s="116">
        <f t="shared" si="0"/>
        <v>12</v>
      </c>
      <c r="O39" s="171"/>
      <c r="P39" s="197"/>
      <c r="Q39" s="198"/>
      <c r="R39" s="198"/>
      <c r="S39" s="198"/>
      <c r="T39" s="198"/>
      <c r="U39" s="199"/>
    </row>
    <row r="40" spans="1:21" ht="15.75">
      <c r="A40" s="85"/>
      <c r="B40" s="37">
        <f t="shared" si="1"/>
        <v>27</v>
      </c>
      <c r="C40" s="107" t="s">
        <v>40</v>
      </c>
      <c r="D40" s="107"/>
      <c r="E40" s="108"/>
      <c r="F40" s="109" t="s">
        <v>44</v>
      </c>
      <c r="G40" s="110"/>
      <c r="H40" s="18" t="s">
        <v>51</v>
      </c>
      <c r="I40" s="59"/>
      <c r="J40" s="113">
        <v>10</v>
      </c>
      <c r="K40" s="113"/>
      <c r="L40" s="114"/>
      <c r="M40" s="115" t="s">
        <v>21</v>
      </c>
      <c r="N40" s="116">
        <f t="shared" si="0"/>
        <v>10</v>
      </c>
      <c r="O40" s="171"/>
      <c r="P40" s="197"/>
      <c r="Q40" s="198"/>
      <c r="R40" s="198"/>
      <c r="S40" s="198"/>
      <c r="T40" s="198"/>
      <c r="U40" s="199"/>
    </row>
    <row r="41" spans="1:21" ht="15.75">
      <c r="A41" s="85"/>
      <c r="B41" s="37">
        <f t="shared" si="1"/>
        <v>28</v>
      </c>
      <c r="C41" s="107" t="s">
        <v>41</v>
      </c>
      <c r="D41" s="107"/>
      <c r="E41" s="108"/>
      <c r="F41" s="109" t="s">
        <v>81</v>
      </c>
      <c r="G41" s="110"/>
      <c r="H41" s="18" t="s">
        <v>86</v>
      </c>
      <c r="I41" s="59"/>
      <c r="J41" s="113"/>
      <c r="K41" s="113"/>
      <c r="L41" s="114"/>
      <c r="M41" s="115" t="s">
        <v>21</v>
      </c>
      <c r="N41" s="116">
        <f t="shared" si="0"/>
        <v>0</v>
      </c>
      <c r="O41" s="171"/>
      <c r="P41" s="197"/>
      <c r="Q41" s="198"/>
      <c r="R41" s="198"/>
      <c r="S41" s="198"/>
      <c r="T41" s="198"/>
      <c r="U41" s="199"/>
    </row>
    <row r="42" spans="1:21" ht="15.75">
      <c r="A42" s="85"/>
      <c r="B42" s="37">
        <f t="shared" si="1"/>
        <v>29</v>
      </c>
      <c r="C42" s="80" t="s">
        <v>46</v>
      </c>
      <c r="D42" s="80"/>
      <c r="E42" s="81"/>
      <c r="F42" s="84" t="s">
        <v>71</v>
      </c>
      <c r="G42" s="17"/>
      <c r="H42" s="18" t="s">
        <v>62</v>
      </c>
      <c r="I42" s="59"/>
      <c r="J42" s="19">
        <v>8</v>
      </c>
      <c r="K42" s="19"/>
      <c r="L42" s="50" t="s">
        <v>47</v>
      </c>
      <c r="M42" s="73" t="s">
        <v>35</v>
      </c>
      <c r="N42" s="54">
        <f t="shared" si="0"/>
        <v>8</v>
      </c>
      <c r="O42" s="170">
        <v>0</v>
      </c>
      <c r="P42" s="191" t="s">
        <v>48</v>
      </c>
      <c r="Q42" s="192"/>
      <c r="R42" s="192"/>
      <c r="S42" s="192"/>
      <c r="T42" s="192"/>
      <c r="U42" s="193"/>
    </row>
    <row r="43" spans="1:21" ht="16.5" thickBot="1">
      <c r="A43" s="118"/>
      <c r="B43" s="119"/>
      <c r="C43" s="120"/>
      <c r="D43" s="120"/>
      <c r="E43" s="121"/>
      <c r="F43" s="129"/>
      <c r="G43" s="122"/>
      <c r="H43" s="147"/>
      <c r="I43" s="148"/>
      <c r="J43" s="125"/>
      <c r="K43" s="125"/>
      <c r="L43" s="126"/>
      <c r="M43" s="126"/>
      <c r="N43" s="127"/>
      <c r="O43" s="172"/>
      <c r="P43" s="194"/>
      <c r="Q43" s="195"/>
      <c r="R43" s="195"/>
      <c r="S43" s="195"/>
      <c r="T43" s="195"/>
      <c r="U43" s="196"/>
    </row>
  </sheetData>
  <mergeCells count="60">
    <mergeCell ref="P40:U40"/>
    <mergeCell ref="P41:U41"/>
    <mergeCell ref="P42:U42"/>
    <mergeCell ref="P43:U43"/>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662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662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662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662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663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906D43B4-EC14-47C1-B935-68868863093F}">
            <xm:f>(AND(H14&lt;&gt;"",ISERROR(VLOOKUP(H14,system!$E:$E,1,FALSE))))</xm:f>
            <x14:dxf>
              <fill>
                <patternFill patternType="solid">
                  <bgColor rgb="FFFF0000"/>
                </patternFill>
              </fill>
            </x14:dxf>
          </x14:cfRule>
          <xm:sqref>H14:H35</xm:sqref>
        </x14:conditionalFormatting>
        <x14:conditionalFormatting xmlns:xm="http://schemas.microsoft.com/office/excel/2006/main">
          <x14:cfRule type="expression" priority="3" id="{068EEF02-D282-4312-97D8-3C93332F6E0F}">
            <xm:f>(AND(H14&lt;&gt;"",ISERROR(VLOOKUP(H14,system!$E:$E,1,FALSE))))</xm:f>
            <x14:dxf>
              <fill>
                <patternFill>
                  <bgColor rgb="FFFF0000"/>
                </patternFill>
              </fill>
            </x14:dxf>
          </x14:cfRule>
          <xm:sqref>I14:I35</xm:sqref>
        </x14:conditionalFormatting>
        <x14:conditionalFormatting xmlns:xm="http://schemas.microsoft.com/office/excel/2006/main">
          <x14:cfRule type="expression" priority="2" id="{91AED79C-57E8-426D-8A51-9794780D9B24}">
            <xm:f>(AND(H36&lt;&gt;"",ISERROR(VLOOKUP(H36,system!$E:$E,1,FALSE))))</xm:f>
            <x14:dxf>
              <fill>
                <patternFill patternType="solid">
                  <bgColor rgb="FFFF0000"/>
                </patternFill>
              </fill>
            </x14:dxf>
          </x14:cfRule>
          <xm:sqref>H36:H43</xm:sqref>
        </x14:conditionalFormatting>
        <x14:conditionalFormatting xmlns:xm="http://schemas.microsoft.com/office/excel/2006/main">
          <x14:cfRule type="expression" priority="1" id="{CE265446-77FE-4132-9C7F-876E9492584C}">
            <xm:f>(AND(H36&lt;&gt;"",ISERROR(VLOOKUP(H36,system!$E:$E,1,FALSE))))</xm:f>
            <x14:dxf>
              <fill>
                <patternFill>
                  <bgColor rgb="FFFF0000"/>
                </patternFill>
              </fill>
            </x14:dxf>
          </x14:cfRule>
          <xm:sqref>I36:I43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A1:U2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389</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121</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SUM(N14:N26)</f>
        <v>58</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24" si="0">IF(H14="NUMBER",IF(J14&gt;0,INT((J14+1)/2+0.9),0),IF(H14="DATE",7,IF(OR(H14="LONG",H14="LONG RAW"),100000,J14)))</f>
        <v>1</v>
      </c>
      <c r="O14" s="170"/>
      <c r="P14" s="191" t="s">
        <v>175</v>
      </c>
      <c r="Q14" s="192"/>
      <c r="R14" s="192"/>
      <c r="S14" s="192"/>
      <c r="T14" s="192"/>
      <c r="U14" s="193"/>
    </row>
    <row r="15" spans="1:21" ht="15.75" customHeight="1">
      <c r="A15" s="85" t="s">
        <v>191</v>
      </c>
      <c r="B15" s="37">
        <f>ROW()-13</f>
        <v>2</v>
      </c>
      <c r="C15" s="145" t="s">
        <v>212</v>
      </c>
      <c r="D15" s="80"/>
      <c r="E15" s="81"/>
      <c r="F15" s="146"/>
      <c r="G15" s="17"/>
      <c r="H15" s="18" t="s">
        <v>49</v>
      </c>
      <c r="I15" s="59"/>
      <c r="J15" s="19">
        <v>1</v>
      </c>
      <c r="K15" s="19"/>
      <c r="L15" s="50" t="s">
        <v>190</v>
      </c>
      <c r="M15" s="73" t="s">
        <v>21</v>
      </c>
      <c r="N15" s="54">
        <f t="shared" si="0"/>
        <v>1</v>
      </c>
      <c r="O15" s="170"/>
      <c r="P15" s="191" t="s">
        <v>202</v>
      </c>
      <c r="Q15" s="192"/>
      <c r="R15" s="192"/>
      <c r="S15" s="192"/>
      <c r="T15" s="192"/>
      <c r="U15" s="193"/>
    </row>
    <row r="16" spans="1:21" ht="15.75" customHeight="1">
      <c r="A16" s="85"/>
      <c r="B16" s="37">
        <f>ROW()-13</f>
        <v>3</v>
      </c>
      <c r="C16" s="145" t="s">
        <v>390</v>
      </c>
      <c r="D16" s="80"/>
      <c r="E16" s="81"/>
      <c r="F16" s="146"/>
      <c r="G16" s="17"/>
      <c r="H16" s="18" t="s">
        <v>49</v>
      </c>
      <c r="I16" s="59"/>
      <c r="J16" s="19">
        <v>4</v>
      </c>
      <c r="K16" s="19"/>
      <c r="L16" s="50" t="s">
        <v>190</v>
      </c>
      <c r="M16" s="73" t="s">
        <v>21</v>
      </c>
      <c r="N16" s="54">
        <f t="shared" si="0"/>
        <v>4</v>
      </c>
      <c r="O16" s="170"/>
      <c r="P16" s="191" t="s">
        <v>152</v>
      </c>
      <c r="Q16" s="192"/>
      <c r="R16" s="192"/>
      <c r="S16" s="192"/>
      <c r="T16" s="192"/>
      <c r="U16" s="193"/>
    </row>
    <row r="17" spans="1:21" ht="15.75" customHeight="1">
      <c r="A17" s="85"/>
      <c r="B17" s="37">
        <f>ROW()-13</f>
        <v>4</v>
      </c>
      <c r="C17" s="145" t="s">
        <v>391</v>
      </c>
      <c r="D17" s="80"/>
      <c r="E17" s="81"/>
      <c r="F17" s="146"/>
      <c r="G17" s="17"/>
      <c r="H17" s="18" t="s">
        <v>208</v>
      </c>
      <c r="I17" s="59"/>
      <c r="J17" s="19"/>
      <c r="K17" s="19"/>
      <c r="L17" s="50" t="s">
        <v>190</v>
      </c>
      <c r="M17" s="73" t="s">
        <v>21</v>
      </c>
      <c r="N17" s="54">
        <f t="shared" si="0"/>
        <v>0</v>
      </c>
      <c r="O17" s="170"/>
      <c r="P17" s="191"/>
      <c r="Q17" s="192"/>
      <c r="R17" s="192"/>
      <c r="S17" s="192"/>
      <c r="T17" s="192"/>
      <c r="U17" s="193"/>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71"/>
      <c r="P18" s="197"/>
      <c r="Q18" s="198"/>
      <c r="R18" s="198"/>
      <c r="S18" s="198"/>
      <c r="T18" s="198"/>
      <c r="U18" s="199"/>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71"/>
      <c r="P19" s="197"/>
      <c r="Q19" s="198"/>
      <c r="R19" s="198"/>
      <c r="S19" s="198"/>
      <c r="T19" s="198"/>
      <c r="U19" s="199"/>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71"/>
      <c r="P20" s="197"/>
      <c r="Q20" s="198"/>
      <c r="R20" s="198"/>
      <c r="S20" s="198"/>
      <c r="T20" s="198"/>
      <c r="U20" s="199"/>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71"/>
      <c r="P21" s="197"/>
      <c r="Q21" s="198"/>
      <c r="R21" s="198"/>
      <c r="S21" s="198"/>
      <c r="T21" s="198"/>
      <c r="U21" s="199"/>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71"/>
      <c r="P22" s="197"/>
      <c r="Q22" s="198"/>
      <c r="R22" s="198"/>
      <c r="S22" s="198"/>
      <c r="T22" s="198"/>
      <c r="U22" s="199"/>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71"/>
      <c r="P23" s="197"/>
      <c r="Q23" s="198"/>
      <c r="R23" s="198"/>
      <c r="S23" s="198"/>
      <c r="T23" s="198"/>
      <c r="U23" s="199"/>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70">
        <v>0</v>
      </c>
      <c r="P24" s="191" t="s">
        <v>48</v>
      </c>
      <c r="Q24" s="192"/>
      <c r="R24" s="192"/>
      <c r="S24" s="192"/>
      <c r="T24" s="192"/>
      <c r="U24" s="193"/>
    </row>
    <row r="25" spans="1:21" ht="16.5" thickBot="1">
      <c r="A25" s="118"/>
      <c r="B25" s="119"/>
      <c r="C25" s="120"/>
      <c r="D25" s="120"/>
      <c r="E25" s="121"/>
      <c r="F25" s="129"/>
      <c r="G25" s="122"/>
      <c r="H25" s="147"/>
      <c r="I25" s="148"/>
      <c r="J25" s="125"/>
      <c r="K25" s="125"/>
      <c r="L25" s="126"/>
      <c r="M25" s="126"/>
      <c r="N25" s="127"/>
      <c r="O25" s="172"/>
      <c r="P25" s="194"/>
      <c r="Q25" s="195"/>
      <c r="R25" s="195"/>
      <c r="S25" s="195"/>
      <c r="T25" s="195"/>
      <c r="U25" s="196"/>
    </row>
  </sheetData>
  <mergeCells count="42">
    <mergeCell ref="P22:U22"/>
    <mergeCell ref="P23:U23"/>
    <mergeCell ref="P24:U24"/>
    <mergeCell ref="P25:U25"/>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4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765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765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765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765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765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98DA1D47-912C-4649-A3C1-681C5D519986}">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2F3E2BD9-2F9F-4FB8-AACC-EF4083845E85}">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7DFEEB93-2C28-4DCD-BBA0-93DA22BD87D7}">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790C8206-0776-47E1-88E1-EBD5A01D2E50}">
            <xm:f>(AND(H18&lt;&gt;"",ISERROR(VLOOKUP(H18,system!$E:$E,1,FALSE))))</xm:f>
            <x14:dxf>
              <fill>
                <patternFill>
                  <bgColor rgb="FFFF0000"/>
                </patternFill>
              </fill>
            </x14:dxf>
          </x14:cfRule>
          <xm:sqref>I18:I25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A1:U44"/>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394</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123</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SUM(N14:N45)</f>
        <v>163</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43" si="0">IF(H14="NUMBER",IF(J14&gt;0,INT((J14+1)/2+0.9),0),IF(H14="DATE",7,IF(OR(H14="LONG",H14="LONG RAW"),100000,J14)))</f>
        <v>1</v>
      </c>
      <c r="O14" s="170"/>
      <c r="P14" s="191" t="s">
        <v>175</v>
      </c>
      <c r="Q14" s="192"/>
      <c r="R14" s="192"/>
      <c r="S14" s="192"/>
      <c r="T14" s="192"/>
      <c r="U14" s="193"/>
    </row>
    <row r="15" spans="1:21" ht="15.75" customHeight="1">
      <c r="A15" s="85" t="s">
        <v>191</v>
      </c>
      <c r="B15" s="37">
        <f>ROW()-13</f>
        <v>2</v>
      </c>
      <c r="C15" s="145" t="s">
        <v>395</v>
      </c>
      <c r="D15" s="80"/>
      <c r="E15" s="81"/>
      <c r="F15" s="146"/>
      <c r="G15" s="17"/>
      <c r="H15" s="18" t="s">
        <v>49</v>
      </c>
      <c r="I15" s="59"/>
      <c r="J15" s="19">
        <v>7</v>
      </c>
      <c r="K15" s="19"/>
      <c r="L15" s="50" t="s">
        <v>190</v>
      </c>
      <c r="M15" s="73" t="s">
        <v>21</v>
      </c>
      <c r="N15" s="54">
        <f t="shared" si="0"/>
        <v>7</v>
      </c>
      <c r="O15" s="170"/>
      <c r="P15" s="191"/>
      <c r="Q15" s="192"/>
      <c r="R15" s="192"/>
      <c r="S15" s="192"/>
      <c r="T15" s="192"/>
      <c r="U15" s="193"/>
    </row>
    <row r="16" spans="1:21" ht="15.75" customHeight="1">
      <c r="A16" s="85"/>
      <c r="B16" s="37">
        <f>ROW()-13</f>
        <v>3</v>
      </c>
      <c r="C16" s="145" t="s">
        <v>196</v>
      </c>
      <c r="D16" s="80"/>
      <c r="E16" s="81"/>
      <c r="F16" s="146"/>
      <c r="G16" s="17"/>
      <c r="H16" s="18" t="s">
        <v>49</v>
      </c>
      <c r="I16" s="59"/>
      <c r="J16" s="19">
        <v>12</v>
      </c>
      <c r="K16" s="19"/>
      <c r="L16" s="50" t="s">
        <v>190</v>
      </c>
      <c r="M16" s="73" t="s">
        <v>21</v>
      </c>
      <c r="N16" s="54">
        <f t="shared" si="0"/>
        <v>12</v>
      </c>
      <c r="O16" s="170"/>
      <c r="P16" s="191"/>
      <c r="Q16" s="192"/>
      <c r="R16" s="192"/>
      <c r="S16" s="192"/>
      <c r="T16" s="192"/>
      <c r="U16" s="193"/>
    </row>
    <row r="17" spans="1:21" ht="15.75" customHeight="1">
      <c r="A17" s="85"/>
      <c r="B17" s="37">
        <f>ROW()-13</f>
        <v>4</v>
      </c>
      <c r="C17" s="145" t="s">
        <v>198</v>
      </c>
      <c r="D17" s="80"/>
      <c r="E17" s="81"/>
      <c r="F17" s="146"/>
      <c r="G17" s="17"/>
      <c r="H17" s="18" t="s">
        <v>51</v>
      </c>
      <c r="I17" s="59"/>
      <c r="J17" s="19">
        <v>25</v>
      </c>
      <c r="K17" s="19"/>
      <c r="L17" s="50" t="s">
        <v>190</v>
      </c>
      <c r="M17" s="73" t="s">
        <v>21</v>
      </c>
      <c r="N17" s="54">
        <f t="shared" si="0"/>
        <v>25</v>
      </c>
      <c r="O17" s="170"/>
      <c r="P17" s="191"/>
      <c r="Q17" s="192"/>
      <c r="R17" s="192"/>
      <c r="S17" s="192"/>
      <c r="T17" s="192"/>
      <c r="U17" s="193"/>
    </row>
    <row r="18" spans="1:21" ht="15.75" customHeight="1">
      <c r="A18" s="85"/>
      <c r="B18" s="37">
        <f>ROW()-13</f>
        <v>5</v>
      </c>
      <c r="C18" s="145" t="s">
        <v>200</v>
      </c>
      <c r="D18" s="80"/>
      <c r="E18" s="81"/>
      <c r="F18" s="146"/>
      <c r="G18" s="17"/>
      <c r="H18" s="18" t="s">
        <v>51</v>
      </c>
      <c r="I18" s="59"/>
      <c r="J18" s="19">
        <v>4</v>
      </c>
      <c r="K18" s="19"/>
      <c r="L18" s="50" t="s">
        <v>190</v>
      </c>
      <c r="M18" s="73" t="s">
        <v>21</v>
      </c>
      <c r="N18" s="54">
        <f t="shared" si="0"/>
        <v>4</v>
      </c>
      <c r="O18" s="170"/>
      <c r="P18" s="191" t="s">
        <v>202</v>
      </c>
      <c r="Q18" s="192"/>
      <c r="R18" s="192"/>
      <c r="S18" s="192"/>
      <c r="T18" s="192"/>
      <c r="U18" s="193"/>
    </row>
    <row r="19" spans="1:21" ht="62.85" customHeight="1">
      <c r="A19" s="85"/>
      <c r="B19" s="37">
        <f>ROW()-13</f>
        <v>6</v>
      </c>
      <c r="C19" s="145" t="s">
        <v>203</v>
      </c>
      <c r="D19" s="80"/>
      <c r="E19" s="81"/>
      <c r="F19" s="146"/>
      <c r="G19" s="17"/>
      <c r="H19" s="18" t="s">
        <v>49</v>
      </c>
      <c r="I19" s="59"/>
      <c r="J19" s="19">
        <v>1</v>
      </c>
      <c r="K19" s="19"/>
      <c r="L19" s="50" t="s">
        <v>190</v>
      </c>
      <c r="M19" s="73" t="s">
        <v>21</v>
      </c>
      <c r="N19" s="54">
        <f t="shared" si="0"/>
        <v>1</v>
      </c>
      <c r="O19" s="170"/>
      <c r="P19" s="251" t="s">
        <v>264</v>
      </c>
      <c r="Q19" s="192"/>
      <c r="R19" s="192"/>
      <c r="S19" s="192"/>
      <c r="T19" s="192"/>
      <c r="U19" s="193"/>
    </row>
    <row r="20" spans="1:21" ht="15.75" customHeight="1">
      <c r="A20" s="85"/>
      <c r="B20" s="37">
        <f>ROW()-13</f>
        <v>7</v>
      </c>
      <c r="C20" s="145" t="s">
        <v>396</v>
      </c>
      <c r="D20" s="80"/>
      <c r="E20" s="81"/>
      <c r="F20" s="146"/>
      <c r="G20" s="17"/>
      <c r="H20" s="18" t="s">
        <v>208</v>
      </c>
      <c r="I20" s="59"/>
      <c r="J20" s="19"/>
      <c r="K20" s="19"/>
      <c r="L20" s="50"/>
      <c r="M20" s="73" t="s">
        <v>21</v>
      </c>
      <c r="N20" s="54">
        <f t="shared" si="0"/>
        <v>0</v>
      </c>
      <c r="O20" s="170"/>
      <c r="P20" s="191"/>
      <c r="Q20" s="192"/>
      <c r="R20" s="192"/>
      <c r="S20" s="192"/>
      <c r="T20" s="192"/>
      <c r="U20" s="193"/>
    </row>
    <row r="21" spans="1:21" ht="15.75" customHeight="1">
      <c r="A21" s="85"/>
      <c r="B21" s="37">
        <f>ROW()-13</f>
        <v>8</v>
      </c>
      <c r="C21" s="145" t="s">
        <v>269</v>
      </c>
      <c r="D21" s="80"/>
      <c r="E21" s="81"/>
      <c r="F21" s="146"/>
      <c r="G21" s="17"/>
      <c r="H21" s="18" t="s">
        <v>24</v>
      </c>
      <c r="I21" s="59"/>
      <c r="J21" s="19"/>
      <c r="K21" s="19"/>
      <c r="L21" s="50"/>
      <c r="M21" s="73" t="s">
        <v>21</v>
      </c>
      <c r="N21" s="54">
        <f t="shared" si="0"/>
        <v>7</v>
      </c>
      <c r="O21" s="170"/>
      <c r="P21" s="191"/>
      <c r="Q21" s="192"/>
      <c r="R21" s="192"/>
      <c r="S21" s="192"/>
      <c r="T21" s="192"/>
      <c r="U21" s="193"/>
    </row>
    <row r="22" spans="1:21" ht="15.75" customHeight="1">
      <c r="A22" s="85"/>
      <c r="B22" s="37">
        <f>ROW()-13</f>
        <v>9</v>
      </c>
      <c r="C22" s="145" t="s">
        <v>397</v>
      </c>
      <c r="D22" s="80"/>
      <c r="E22" s="81"/>
      <c r="F22" s="146"/>
      <c r="G22" s="17"/>
      <c r="H22" s="18" t="s">
        <v>54</v>
      </c>
      <c r="I22" s="59"/>
      <c r="J22" s="19"/>
      <c r="K22" s="19"/>
      <c r="L22" s="50"/>
      <c r="M22" s="73" t="s">
        <v>21</v>
      </c>
      <c r="N22" s="54">
        <f t="shared" si="0"/>
        <v>0</v>
      </c>
      <c r="O22" s="170"/>
      <c r="P22" s="191"/>
      <c r="Q22" s="192"/>
      <c r="R22" s="192"/>
      <c r="S22" s="192"/>
      <c r="T22" s="192"/>
      <c r="U22" s="193"/>
    </row>
    <row r="23" spans="1:21" ht="15.75" customHeight="1">
      <c r="A23" s="85"/>
      <c r="B23" s="37">
        <f>ROW()-13</f>
        <v>10</v>
      </c>
      <c r="C23" s="145" t="s">
        <v>270</v>
      </c>
      <c r="D23" s="80"/>
      <c r="E23" s="81"/>
      <c r="F23" s="146"/>
      <c r="G23" s="17"/>
      <c r="H23" s="18" t="s">
        <v>49</v>
      </c>
      <c r="I23" s="59"/>
      <c r="J23" s="19">
        <v>1</v>
      </c>
      <c r="K23" s="19"/>
      <c r="L23" s="50"/>
      <c r="M23" s="73" t="s">
        <v>21</v>
      </c>
      <c r="N23" s="54">
        <f t="shared" si="0"/>
        <v>1</v>
      </c>
      <c r="O23" s="170"/>
      <c r="P23" s="191" t="s">
        <v>398</v>
      </c>
      <c r="Q23" s="192"/>
      <c r="R23" s="192"/>
      <c r="S23" s="192"/>
      <c r="T23" s="192"/>
      <c r="U23" s="193"/>
    </row>
    <row r="24" spans="1:21" ht="15.75" customHeight="1">
      <c r="A24" s="85"/>
      <c r="B24" s="37">
        <f>ROW()-13</f>
        <v>11</v>
      </c>
      <c r="C24" s="145" t="s">
        <v>274</v>
      </c>
      <c r="D24" s="80"/>
      <c r="E24" s="81"/>
      <c r="F24" s="146"/>
      <c r="G24" s="17"/>
      <c r="H24" s="18" t="s">
        <v>49</v>
      </c>
      <c r="I24" s="59"/>
      <c r="J24" s="19">
        <v>5</v>
      </c>
      <c r="K24" s="19"/>
      <c r="L24" s="50"/>
      <c r="M24" s="73" t="s">
        <v>21</v>
      </c>
      <c r="N24" s="54">
        <f t="shared" si="0"/>
        <v>5</v>
      </c>
      <c r="O24" s="170"/>
      <c r="P24" s="191"/>
      <c r="Q24" s="192"/>
      <c r="R24" s="192"/>
      <c r="S24" s="192"/>
      <c r="T24" s="192"/>
      <c r="U24" s="193"/>
    </row>
    <row r="25" spans="1:21" ht="15.75" customHeight="1">
      <c r="A25" s="85"/>
      <c r="B25" s="37">
        <f>ROW()-13</f>
        <v>12</v>
      </c>
      <c r="C25" s="145" t="s">
        <v>399</v>
      </c>
      <c r="D25" s="80"/>
      <c r="E25" s="81"/>
      <c r="F25" s="146"/>
      <c r="G25" s="17"/>
      <c r="H25" s="18" t="s">
        <v>49</v>
      </c>
      <c r="I25" s="59"/>
      <c r="J25" s="19">
        <v>3</v>
      </c>
      <c r="K25" s="19"/>
      <c r="L25" s="50"/>
      <c r="M25" s="73" t="s">
        <v>21</v>
      </c>
      <c r="N25" s="54">
        <f t="shared" si="0"/>
        <v>3</v>
      </c>
      <c r="O25" s="170"/>
      <c r="P25" s="191"/>
      <c r="Q25" s="192"/>
      <c r="R25" s="192"/>
      <c r="S25" s="192"/>
      <c r="T25" s="192"/>
      <c r="U25" s="193"/>
    </row>
    <row r="26" spans="1:21" ht="15.75" customHeight="1">
      <c r="A26" s="85"/>
      <c r="B26" s="37">
        <f>ROW()-13</f>
        <v>13</v>
      </c>
      <c r="C26" s="145" t="s">
        <v>272</v>
      </c>
      <c r="D26" s="80"/>
      <c r="E26" s="81"/>
      <c r="F26" s="146"/>
      <c r="G26" s="17"/>
      <c r="H26" s="18" t="s">
        <v>49</v>
      </c>
      <c r="I26" s="59"/>
      <c r="J26" s="19">
        <v>4</v>
      </c>
      <c r="K26" s="19"/>
      <c r="L26" s="50"/>
      <c r="M26" s="73" t="s">
        <v>21</v>
      </c>
      <c r="N26" s="54">
        <f t="shared" si="0"/>
        <v>4</v>
      </c>
      <c r="O26" s="170"/>
      <c r="P26" s="191"/>
      <c r="Q26" s="192"/>
      <c r="R26" s="192"/>
      <c r="S26" s="192"/>
      <c r="T26" s="192"/>
      <c r="U26" s="193"/>
    </row>
    <row r="27" spans="1:21" ht="15.75" customHeight="1">
      <c r="A27" s="85"/>
      <c r="B27" s="37">
        <f>ROW()-13</f>
        <v>14</v>
      </c>
      <c r="C27" s="145" t="s">
        <v>400</v>
      </c>
      <c r="D27" s="80"/>
      <c r="E27" s="81"/>
      <c r="F27" s="146"/>
      <c r="G27" s="17"/>
      <c r="H27" s="18" t="s">
        <v>49</v>
      </c>
      <c r="I27" s="59"/>
      <c r="J27" s="19">
        <v>10</v>
      </c>
      <c r="K27" s="19"/>
      <c r="L27" s="50"/>
      <c r="M27" s="73" t="s">
        <v>21</v>
      </c>
      <c r="N27" s="54">
        <f t="shared" si="0"/>
        <v>10</v>
      </c>
      <c r="O27" s="170"/>
      <c r="P27" s="191"/>
      <c r="Q27" s="192"/>
      <c r="R27" s="192"/>
      <c r="S27" s="192"/>
      <c r="T27" s="192"/>
      <c r="U27" s="193"/>
    </row>
    <row r="28" spans="1:21" ht="15.75" customHeight="1">
      <c r="A28" s="85"/>
      <c r="B28" s="37">
        <f>ROW()-13</f>
        <v>15</v>
      </c>
      <c r="C28" s="145" t="s">
        <v>273</v>
      </c>
      <c r="D28" s="80"/>
      <c r="E28" s="81"/>
      <c r="F28" s="146"/>
      <c r="G28" s="17"/>
      <c r="H28" s="18" t="s">
        <v>49</v>
      </c>
      <c r="I28" s="59"/>
      <c r="J28" s="19">
        <v>10</v>
      </c>
      <c r="K28" s="19"/>
      <c r="L28" s="50"/>
      <c r="M28" s="73" t="s">
        <v>21</v>
      </c>
      <c r="N28" s="54">
        <f t="shared" si="0"/>
        <v>10</v>
      </c>
      <c r="O28" s="170"/>
      <c r="P28" s="191"/>
      <c r="Q28" s="192"/>
      <c r="R28" s="192"/>
      <c r="S28" s="192"/>
      <c r="T28" s="192"/>
      <c r="U28" s="193"/>
    </row>
    <row r="29" spans="1:21" ht="15.75" customHeight="1">
      <c r="A29" s="85"/>
      <c r="B29" s="37">
        <f>ROW()-13</f>
        <v>16</v>
      </c>
      <c r="C29" s="145" t="s">
        <v>282</v>
      </c>
      <c r="D29" s="80"/>
      <c r="E29" s="81"/>
      <c r="F29" s="146"/>
      <c r="G29" s="17"/>
      <c r="H29" s="18" t="s">
        <v>49</v>
      </c>
      <c r="I29" s="59"/>
      <c r="J29" s="19">
        <v>7</v>
      </c>
      <c r="K29" s="19"/>
      <c r="L29" s="50"/>
      <c r="M29" s="73" t="s">
        <v>21</v>
      </c>
      <c r="N29" s="54">
        <f t="shared" si="0"/>
        <v>7</v>
      </c>
      <c r="O29" s="170"/>
      <c r="P29" s="191"/>
      <c r="Q29" s="192"/>
      <c r="R29" s="192"/>
      <c r="S29" s="192"/>
      <c r="T29" s="192"/>
      <c r="U29" s="193"/>
    </row>
    <row r="30" spans="1:21" ht="15.75" customHeight="1">
      <c r="A30" s="85"/>
      <c r="B30" s="37">
        <f>ROW()-13</f>
        <v>17</v>
      </c>
      <c r="C30" s="145" t="s">
        <v>266</v>
      </c>
      <c r="D30" s="80"/>
      <c r="E30" s="81"/>
      <c r="F30" s="146"/>
      <c r="G30" s="17"/>
      <c r="H30" s="18" t="s">
        <v>24</v>
      </c>
      <c r="I30" s="59"/>
      <c r="J30" s="19"/>
      <c r="K30" s="19"/>
      <c r="L30" s="50"/>
      <c r="M30" s="73" t="s">
        <v>21</v>
      </c>
      <c r="N30" s="54">
        <f t="shared" si="0"/>
        <v>7</v>
      </c>
      <c r="O30" s="170"/>
      <c r="P30" s="191"/>
      <c r="Q30" s="192"/>
      <c r="R30" s="192"/>
      <c r="S30" s="192"/>
      <c r="T30" s="192"/>
      <c r="U30" s="193"/>
    </row>
    <row r="31" spans="1:21" ht="15.75" customHeight="1">
      <c r="A31" s="85"/>
      <c r="B31" s="37">
        <f>ROW()-13</f>
        <v>18</v>
      </c>
      <c r="C31" s="145" t="s">
        <v>267</v>
      </c>
      <c r="D31" s="80"/>
      <c r="E31" s="81"/>
      <c r="F31" s="146"/>
      <c r="G31" s="17"/>
      <c r="H31" s="18" t="s">
        <v>54</v>
      </c>
      <c r="I31" s="59"/>
      <c r="J31" s="19"/>
      <c r="K31" s="19"/>
      <c r="L31" s="50"/>
      <c r="M31" s="73" t="s">
        <v>21</v>
      </c>
      <c r="N31" s="54">
        <f t="shared" si="0"/>
        <v>0</v>
      </c>
      <c r="O31" s="170"/>
      <c r="P31" s="191"/>
      <c r="Q31" s="192"/>
      <c r="R31" s="192"/>
      <c r="S31" s="192"/>
      <c r="T31" s="192"/>
      <c r="U31" s="193"/>
    </row>
    <row r="32" spans="1:21" ht="15.75" customHeight="1">
      <c r="A32" s="85"/>
      <c r="B32" s="37">
        <f>ROW()-13</f>
        <v>19</v>
      </c>
      <c r="C32" s="145" t="s">
        <v>401</v>
      </c>
      <c r="D32" s="80"/>
      <c r="E32" s="81"/>
      <c r="F32" s="146"/>
      <c r="G32" s="17"/>
      <c r="H32" s="18" t="s">
        <v>49</v>
      </c>
      <c r="I32" s="59"/>
      <c r="J32" s="19">
        <v>3</v>
      </c>
      <c r="K32" s="19"/>
      <c r="L32" s="50"/>
      <c r="M32" s="73" t="s">
        <v>21</v>
      </c>
      <c r="N32" s="54">
        <f t="shared" si="0"/>
        <v>3</v>
      </c>
      <c r="O32" s="170"/>
      <c r="P32" s="191"/>
      <c r="Q32" s="192"/>
      <c r="R32" s="192"/>
      <c r="S32" s="192"/>
      <c r="T32" s="192"/>
      <c r="U32" s="193"/>
    </row>
    <row r="33" spans="1:21" ht="15.75" customHeight="1">
      <c r="A33" s="85"/>
      <c r="B33" s="37">
        <f>ROW()-13</f>
        <v>20</v>
      </c>
      <c r="C33" s="145" t="s">
        <v>402</v>
      </c>
      <c r="D33" s="80"/>
      <c r="E33" s="81"/>
      <c r="F33" s="146"/>
      <c r="G33" s="17"/>
      <c r="H33" s="18" t="s">
        <v>56</v>
      </c>
      <c r="I33" s="59"/>
      <c r="J33" s="19">
        <v>1</v>
      </c>
      <c r="K33" s="19">
        <v>0</v>
      </c>
      <c r="L33" s="50"/>
      <c r="M33" s="73" t="s">
        <v>21</v>
      </c>
      <c r="N33" s="54">
        <f t="shared" si="0"/>
        <v>1</v>
      </c>
      <c r="O33" s="170">
        <v>0</v>
      </c>
      <c r="P33" s="191"/>
      <c r="Q33" s="192"/>
      <c r="R33" s="192"/>
      <c r="S33" s="192"/>
      <c r="T33" s="192"/>
      <c r="U33" s="193"/>
    </row>
    <row r="34" spans="1:21" ht="15.75" customHeight="1">
      <c r="A34" s="85"/>
      <c r="B34" s="37">
        <f>ROW()-13</f>
        <v>21</v>
      </c>
      <c r="C34" s="145" t="s">
        <v>276</v>
      </c>
      <c r="D34" s="80"/>
      <c r="E34" s="81"/>
      <c r="F34" s="146"/>
      <c r="G34" s="17"/>
      <c r="H34" s="18" t="s">
        <v>49</v>
      </c>
      <c r="I34" s="59"/>
      <c r="J34" s="19">
        <v>1</v>
      </c>
      <c r="K34" s="19"/>
      <c r="L34" s="50"/>
      <c r="M34" s="73" t="s">
        <v>21</v>
      </c>
      <c r="N34" s="54">
        <f t="shared" si="0"/>
        <v>1</v>
      </c>
      <c r="O34" s="170"/>
      <c r="P34" s="191" t="s">
        <v>167</v>
      </c>
      <c r="Q34" s="192"/>
      <c r="R34" s="192"/>
      <c r="S34" s="192"/>
      <c r="T34" s="192"/>
      <c r="U34" s="193"/>
    </row>
    <row r="35" spans="1:21" ht="27.6" customHeight="1">
      <c r="A35" s="85"/>
      <c r="B35" s="37">
        <f>ROW()-13</f>
        <v>22</v>
      </c>
      <c r="C35" s="145" t="s">
        <v>224</v>
      </c>
      <c r="D35" s="80"/>
      <c r="E35" s="81"/>
      <c r="F35" s="146"/>
      <c r="G35" s="17"/>
      <c r="H35" s="18" t="s">
        <v>49</v>
      </c>
      <c r="I35" s="59"/>
      <c r="J35" s="19">
        <v>1</v>
      </c>
      <c r="K35" s="19"/>
      <c r="L35" s="50" t="s">
        <v>190</v>
      </c>
      <c r="M35" s="73" t="s">
        <v>21</v>
      </c>
      <c r="N35" s="54">
        <f t="shared" si="0"/>
        <v>1</v>
      </c>
      <c r="O35" s="170"/>
      <c r="P35" s="251" t="s">
        <v>226</v>
      </c>
      <c r="Q35" s="192"/>
      <c r="R35" s="192"/>
      <c r="S35" s="192"/>
      <c r="T35" s="192"/>
      <c r="U35" s="193"/>
    </row>
    <row r="36" spans="1:21" ht="27.6" customHeight="1">
      <c r="A36" s="85"/>
      <c r="B36" s="37">
        <f>ROW()-13</f>
        <v>23</v>
      </c>
      <c r="C36" s="145" t="s">
        <v>403</v>
      </c>
      <c r="D36" s="80"/>
      <c r="E36" s="81"/>
      <c r="F36" s="146"/>
      <c r="G36" s="17"/>
      <c r="H36" s="18" t="s">
        <v>49</v>
      </c>
      <c r="I36" s="59"/>
      <c r="J36" s="19">
        <v>1</v>
      </c>
      <c r="K36" s="19"/>
      <c r="L36" s="50"/>
      <c r="M36" s="73" t="s">
        <v>21</v>
      </c>
      <c r="N36" s="54">
        <f t="shared" si="0"/>
        <v>1</v>
      </c>
      <c r="O36" s="170"/>
      <c r="P36" s="251" t="s">
        <v>404</v>
      </c>
      <c r="Q36" s="192"/>
      <c r="R36" s="192"/>
      <c r="S36" s="192"/>
      <c r="T36" s="192"/>
      <c r="U36" s="193"/>
    </row>
    <row r="37" spans="1:21" ht="15.75">
      <c r="A37" s="85"/>
      <c r="B37" s="37">
        <f t="shared" ref="B37:B43" si="1">ROW()-13</f>
        <v>24</v>
      </c>
      <c r="C37" s="107" t="s">
        <v>36</v>
      </c>
      <c r="D37" s="107"/>
      <c r="E37" s="108"/>
      <c r="F37" s="109" t="s">
        <v>78</v>
      </c>
      <c r="G37" s="110"/>
      <c r="H37" s="18" t="s">
        <v>51</v>
      </c>
      <c r="I37" s="59"/>
      <c r="J37" s="113">
        <v>12</v>
      </c>
      <c r="K37" s="113"/>
      <c r="L37" s="114"/>
      <c r="M37" s="115" t="s">
        <v>35</v>
      </c>
      <c r="N37" s="116">
        <f t="shared" si="0"/>
        <v>12</v>
      </c>
      <c r="O37" s="171"/>
      <c r="P37" s="197"/>
      <c r="Q37" s="198"/>
      <c r="R37" s="198"/>
      <c r="S37" s="198"/>
      <c r="T37" s="198"/>
      <c r="U37" s="199"/>
    </row>
    <row r="38" spans="1:21" ht="15.75">
      <c r="A38" s="85"/>
      <c r="B38" s="37">
        <f t="shared" si="1"/>
        <v>25</v>
      </c>
      <c r="C38" s="107" t="s">
        <v>37</v>
      </c>
      <c r="D38" s="107"/>
      <c r="E38" s="108"/>
      <c r="F38" s="109" t="s">
        <v>43</v>
      </c>
      <c r="G38" s="110"/>
      <c r="H38" s="18" t="s">
        <v>51</v>
      </c>
      <c r="I38" s="59"/>
      <c r="J38" s="113">
        <v>10</v>
      </c>
      <c r="K38" s="113"/>
      <c r="L38" s="114"/>
      <c r="M38" s="115" t="s">
        <v>21</v>
      </c>
      <c r="N38" s="116">
        <f t="shared" si="0"/>
        <v>10</v>
      </c>
      <c r="O38" s="171"/>
      <c r="P38" s="197"/>
      <c r="Q38" s="198"/>
      <c r="R38" s="198"/>
      <c r="S38" s="198"/>
      <c r="T38" s="198"/>
      <c r="U38" s="199"/>
    </row>
    <row r="39" spans="1:21" ht="15.75">
      <c r="A39" s="85"/>
      <c r="B39" s="37">
        <f t="shared" si="1"/>
        <v>26</v>
      </c>
      <c r="C39" s="107" t="s">
        <v>38</v>
      </c>
      <c r="D39" s="107"/>
      <c r="E39" s="108"/>
      <c r="F39" s="109" t="s">
        <v>80</v>
      </c>
      <c r="G39" s="110"/>
      <c r="H39" s="18" t="s">
        <v>86</v>
      </c>
      <c r="I39" s="59"/>
      <c r="J39" s="113"/>
      <c r="K39" s="113"/>
      <c r="L39" s="114"/>
      <c r="M39" s="115" t="s">
        <v>21</v>
      </c>
      <c r="N39" s="116">
        <f t="shared" si="0"/>
        <v>0</v>
      </c>
      <c r="O39" s="171"/>
      <c r="P39" s="197"/>
      <c r="Q39" s="198"/>
      <c r="R39" s="198"/>
      <c r="S39" s="198"/>
      <c r="T39" s="198"/>
      <c r="U39" s="199"/>
    </row>
    <row r="40" spans="1:21" ht="15.75">
      <c r="A40" s="85"/>
      <c r="B40" s="37">
        <f t="shared" si="1"/>
        <v>27</v>
      </c>
      <c r="C40" s="107" t="s">
        <v>39</v>
      </c>
      <c r="D40" s="107"/>
      <c r="E40" s="108"/>
      <c r="F40" s="109" t="s">
        <v>79</v>
      </c>
      <c r="G40" s="110"/>
      <c r="H40" s="18" t="s">
        <v>51</v>
      </c>
      <c r="I40" s="59"/>
      <c r="J40" s="113">
        <v>12</v>
      </c>
      <c r="K40" s="113"/>
      <c r="L40" s="114"/>
      <c r="M40" s="115" t="s">
        <v>35</v>
      </c>
      <c r="N40" s="116">
        <f t="shared" si="0"/>
        <v>12</v>
      </c>
      <c r="O40" s="171"/>
      <c r="P40" s="197"/>
      <c r="Q40" s="198"/>
      <c r="R40" s="198"/>
      <c r="S40" s="198"/>
      <c r="T40" s="198"/>
      <c r="U40" s="199"/>
    </row>
    <row r="41" spans="1:21" ht="15.75">
      <c r="A41" s="85"/>
      <c r="B41" s="37">
        <f t="shared" si="1"/>
        <v>28</v>
      </c>
      <c r="C41" s="107" t="s">
        <v>40</v>
      </c>
      <c r="D41" s="107"/>
      <c r="E41" s="108"/>
      <c r="F41" s="109" t="s">
        <v>44</v>
      </c>
      <c r="G41" s="110"/>
      <c r="H41" s="18" t="s">
        <v>51</v>
      </c>
      <c r="I41" s="59"/>
      <c r="J41" s="113">
        <v>10</v>
      </c>
      <c r="K41" s="113"/>
      <c r="L41" s="114"/>
      <c r="M41" s="115" t="s">
        <v>21</v>
      </c>
      <c r="N41" s="116">
        <f t="shared" si="0"/>
        <v>10</v>
      </c>
      <c r="O41" s="171"/>
      <c r="P41" s="197"/>
      <c r="Q41" s="198"/>
      <c r="R41" s="198"/>
      <c r="S41" s="198"/>
      <c r="T41" s="198"/>
      <c r="U41" s="199"/>
    </row>
    <row r="42" spans="1:21" ht="15.75">
      <c r="A42" s="85"/>
      <c r="B42" s="37">
        <f t="shared" si="1"/>
        <v>29</v>
      </c>
      <c r="C42" s="107" t="s">
        <v>41</v>
      </c>
      <c r="D42" s="107"/>
      <c r="E42" s="108"/>
      <c r="F42" s="109" t="s">
        <v>81</v>
      </c>
      <c r="G42" s="110"/>
      <c r="H42" s="18" t="s">
        <v>86</v>
      </c>
      <c r="I42" s="59"/>
      <c r="J42" s="113"/>
      <c r="K42" s="113"/>
      <c r="L42" s="114"/>
      <c r="M42" s="115" t="s">
        <v>21</v>
      </c>
      <c r="N42" s="116">
        <f t="shared" si="0"/>
        <v>0</v>
      </c>
      <c r="O42" s="171"/>
      <c r="P42" s="197"/>
      <c r="Q42" s="198"/>
      <c r="R42" s="198"/>
      <c r="S42" s="198"/>
      <c r="T42" s="198"/>
      <c r="U42" s="199"/>
    </row>
    <row r="43" spans="1:21" ht="15.75">
      <c r="A43" s="85"/>
      <c r="B43" s="37">
        <f t="shared" si="1"/>
        <v>30</v>
      </c>
      <c r="C43" s="80" t="s">
        <v>46</v>
      </c>
      <c r="D43" s="80"/>
      <c r="E43" s="81"/>
      <c r="F43" s="84" t="s">
        <v>71</v>
      </c>
      <c r="G43" s="17"/>
      <c r="H43" s="18" t="s">
        <v>62</v>
      </c>
      <c r="I43" s="59"/>
      <c r="J43" s="19">
        <v>8</v>
      </c>
      <c r="K43" s="19"/>
      <c r="L43" s="50" t="s">
        <v>47</v>
      </c>
      <c r="M43" s="73" t="s">
        <v>35</v>
      </c>
      <c r="N43" s="54">
        <f t="shared" si="0"/>
        <v>8</v>
      </c>
      <c r="O43" s="170">
        <v>0</v>
      </c>
      <c r="P43" s="191" t="s">
        <v>48</v>
      </c>
      <c r="Q43" s="192"/>
      <c r="R43" s="192"/>
      <c r="S43" s="192"/>
      <c r="T43" s="192"/>
      <c r="U43" s="193"/>
    </row>
    <row r="44" spans="1:21" ht="16.5" thickBot="1">
      <c r="A44" s="118"/>
      <c r="B44" s="119"/>
      <c r="C44" s="120"/>
      <c r="D44" s="120"/>
      <c r="E44" s="121"/>
      <c r="F44" s="129"/>
      <c r="G44" s="122"/>
      <c r="H44" s="147"/>
      <c r="I44" s="148"/>
      <c r="J44" s="125"/>
      <c r="K44" s="125"/>
      <c r="L44" s="126"/>
      <c r="M44" s="126"/>
      <c r="N44" s="127"/>
      <c r="O44" s="172"/>
      <c r="P44" s="194"/>
      <c r="Q44" s="195"/>
      <c r="R44" s="195"/>
      <c r="S44" s="195"/>
      <c r="T44" s="195"/>
      <c r="U44" s="196"/>
    </row>
  </sheetData>
  <mergeCells count="61">
    <mergeCell ref="P40:U40"/>
    <mergeCell ref="P41:U41"/>
    <mergeCell ref="P42:U42"/>
    <mergeCell ref="P43:U43"/>
    <mergeCell ref="P44:U44"/>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867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867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867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867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867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867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CDD7983-5C44-4CE1-9875-C31E13CF73AC}">
            <xm:f>(AND(H14&lt;&gt;"",ISERROR(VLOOKUP(H14,system!$E:$E,1,FALSE))))</xm:f>
            <x14:dxf>
              <fill>
                <patternFill patternType="solid">
                  <bgColor rgb="FFFF0000"/>
                </patternFill>
              </fill>
            </x14:dxf>
          </x14:cfRule>
          <xm:sqref>H14:H36</xm:sqref>
        </x14:conditionalFormatting>
        <x14:conditionalFormatting xmlns:xm="http://schemas.microsoft.com/office/excel/2006/main">
          <x14:cfRule type="expression" priority="3" id="{E3DA13BA-9003-4BE3-9237-A84D5CE8F133}">
            <xm:f>(AND(H14&lt;&gt;"",ISERROR(VLOOKUP(H14,system!$E:$E,1,FALSE))))</xm:f>
            <x14:dxf>
              <fill>
                <patternFill>
                  <bgColor rgb="FFFF0000"/>
                </patternFill>
              </fill>
            </x14:dxf>
          </x14:cfRule>
          <xm:sqref>I14:I36</xm:sqref>
        </x14:conditionalFormatting>
        <x14:conditionalFormatting xmlns:xm="http://schemas.microsoft.com/office/excel/2006/main">
          <x14:cfRule type="expression" priority="2" id="{B5526AF7-4F25-4DF2-B601-2212AA6FC117}">
            <xm:f>(AND(H37&lt;&gt;"",ISERROR(VLOOKUP(H37,system!$E:$E,1,FALSE))))</xm:f>
            <x14:dxf>
              <fill>
                <patternFill patternType="solid">
                  <bgColor rgb="FFFF0000"/>
                </patternFill>
              </fill>
            </x14:dxf>
          </x14:cfRule>
          <xm:sqref>H37:H44</xm:sqref>
        </x14:conditionalFormatting>
        <x14:conditionalFormatting xmlns:xm="http://schemas.microsoft.com/office/excel/2006/main">
          <x14:cfRule type="expression" priority="1" id="{910E7BE9-B227-4E5F-8705-872FF0A497AE}">
            <xm:f>(AND(H37&lt;&gt;"",ISERROR(VLOOKUP(H37,system!$E:$E,1,FALSE))))</xm:f>
            <x14:dxf>
              <fill>
                <patternFill>
                  <bgColor rgb="FFFF0000"/>
                </patternFill>
              </fill>
            </x14:dxf>
          </x14:cfRule>
          <xm:sqref>I37:I44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A1:U41"/>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406</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125</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SUM(N14:N42)</f>
        <v>160</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40" si="0">IF(H14="NUMBER",IF(J14&gt;0,INT((J14+1)/2+0.9),0),IF(H14="DATE",7,IF(OR(H14="LONG",H14="LONG RAW"),100000,J14)))</f>
        <v>1</v>
      </c>
      <c r="O14" s="170"/>
      <c r="P14" s="191" t="s">
        <v>175</v>
      </c>
      <c r="Q14" s="192"/>
      <c r="R14" s="192"/>
      <c r="S14" s="192"/>
      <c r="T14" s="192"/>
      <c r="U14" s="193"/>
    </row>
    <row r="15" spans="1:21" ht="15.75" customHeight="1">
      <c r="A15" s="85"/>
      <c r="B15" s="37">
        <f>ROW()-13</f>
        <v>2</v>
      </c>
      <c r="C15" s="145" t="s">
        <v>395</v>
      </c>
      <c r="D15" s="80"/>
      <c r="E15" s="81"/>
      <c r="F15" s="146"/>
      <c r="G15" s="17"/>
      <c r="H15" s="18" t="s">
        <v>49</v>
      </c>
      <c r="I15" s="59"/>
      <c r="J15" s="19">
        <v>7</v>
      </c>
      <c r="K15" s="19"/>
      <c r="L15" s="50" t="s">
        <v>190</v>
      </c>
      <c r="M15" s="73" t="s">
        <v>21</v>
      </c>
      <c r="N15" s="54">
        <f t="shared" si="0"/>
        <v>7</v>
      </c>
      <c r="O15" s="170"/>
      <c r="P15" s="191"/>
      <c r="Q15" s="192"/>
      <c r="R15" s="192"/>
      <c r="S15" s="192"/>
      <c r="T15" s="192"/>
      <c r="U15" s="193"/>
    </row>
    <row r="16" spans="1:21" ht="15.75" customHeight="1">
      <c r="A16" s="85"/>
      <c r="B16" s="37">
        <f>ROW()-13</f>
        <v>3</v>
      </c>
      <c r="C16" s="145" t="s">
        <v>196</v>
      </c>
      <c r="D16" s="80"/>
      <c r="E16" s="81"/>
      <c r="F16" s="146"/>
      <c r="G16" s="17"/>
      <c r="H16" s="18" t="s">
        <v>49</v>
      </c>
      <c r="I16" s="59"/>
      <c r="J16" s="19">
        <v>12</v>
      </c>
      <c r="K16" s="19"/>
      <c r="L16" s="50" t="s">
        <v>190</v>
      </c>
      <c r="M16" s="73" t="s">
        <v>21</v>
      </c>
      <c r="N16" s="54">
        <f t="shared" si="0"/>
        <v>12</v>
      </c>
      <c r="O16" s="170"/>
      <c r="P16" s="191"/>
      <c r="Q16" s="192"/>
      <c r="R16" s="192"/>
      <c r="S16" s="192"/>
      <c r="T16" s="192"/>
      <c r="U16" s="193"/>
    </row>
    <row r="17" spans="1:21" ht="15.75" customHeight="1">
      <c r="A17" s="85"/>
      <c r="B17" s="37">
        <f>ROW()-13</f>
        <v>4</v>
      </c>
      <c r="C17" s="145" t="s">
        <v>198</v>
      </c>
      <c r="D17" s="80"/>
      <c r="E17" s="81"/>
      <c r="F17" s="146"/>
      <c r="G17" s="17"/>
      <c r="H17" s="18" t="s">
        <v>51</v>
      </c>
      <c r="I17" s="59"/>
      <c r="J17" s="19">
        <v>25</v>
      </c>
      <c r="K17" s="19"/>
      <c r="L17" s="50" t="s">
        <v>190</v>
      </c>
      <c r="M17" s="73" t="s">
        <v>21</v>
      </c>
      <c r="N17" s="54">
        <f t="shared" si="0"/>
        <v>25</v>
      </c>
      <c r="O17" s="170"/>
      <c r="P17" s="191"/>
      <c r="Q17" s="192"/>
      <c r="R17" s="192"/>
      <c r="S17" s="192"/>
      <c r="T17" s="192"/>
      <c r="U17" s="193"/>
    </row>
    <row r="18" spans="1:21" ht="15.75" customHeight="1">
      <c r="A18" s="85"/>
      <c r="B18" s="37">
        <f>ROW()-13</f>
        <v>5</v>
      </c>
      <c r="C18" s="145" t="s">
        <v>200</v>
      </c>
      <c r="D18" s="80"/>
      <c r="E18" s="81"/>
      <c r="F18" s="146"/>
      <c r="G18" s="17"/>
      <c r="H18" s="18" t="s">
        <v>51</v>
      </c>
      <c r="I18" s="59"/>
      <c r="J18" s="19">
        <v>4</v>
      </c>
      <c r="K18" s="19"/>
      <c r="L18" s="50" t="s">
        <v>190</v>
      </c>
      <c r="M18" s="73" t="s">
        <v>21</v>
      </c>
      <c r="N18" s="54">
        <f t="shared" si="0"/>
        <v>4</v>
      </c>
      <c r="O18" s="170"/>
      <c r="P18" s="191" t="s">
        <v>202</v>
      </c>
      <c r="Q18" s="192"/>
      <c r="R18" s="192"/>
      <c r="S18" s="192"/>
      <c r="T18" s="192"/>
      <c r="U18" s="193"/>
    </row>
    <row r="19" spans="1:21" ht="62.85" customHeight="1">
      <c r="A19" s="85"/>
      <c r="B19" s="37">
        <f>ROW()-13</f>
        <v>6</v>
      </c>
      <c r="C19" s="145" t="s">
        <v>203</v>
      </c>
      <c r="D19" s="80"/>
      <c r="E19" s="81"/>
      <c r="F19" s="146"/>
      <c r="G19" s="17"/>
      <c r="H19" s="18" t="s">
        <v>49</v>
      </c>
      <c r="I19" s="59"/>
      <c r="J19" s="19">
        <v>1</v>
      </c>
      <c r="K19" s="19"/>
      <c r="L19" s="50" t="s">
        <v>190</v>
      </c>
      <c r="M19" s="73" t="s">
        <v>21</v>
      </c>
      <c r="N19" s="54">
        <f t="shared" si="0"/>
        <v>1</v>
      </c>
      <c r="O19" s="170"/>
      <c r="P19" s="251" t="s">
        <v>264</v>
      </c>
      <c r="Q19" s="192"/>
      <c r="R19" s="192"/>
      <c r="S19" s="192"/>
      <c r="T19" s="192"/>
      <c r="U19" s="193"/>
    </row>
    <row r="20" spans="1:21" ht="15.75" customHeight="1">
      <c r="A20" s="85"/>
      <c r="B20" s="37">
        <f>ROW()-13</f>
        <v>7</v>
      </c>
      <c r="C20" s="145" t="s">
        <v>407</v>
      </c>
      <c r="D20" s="80"/>
      <c r="E20" s="81"/>
      <c r="F20" s="146"/>
      <c r="G20" s="17"/>
      <c r="H20" s="18" t="s">
        <v>208</v>
      </c>
      <c r="I20" s="59"/>
      <c r="J20" s="19"/>
      <c r="K20" s="19"/>
      <c r="L20" s="50"/>
      <c r="M20" s="73" t="s">
        <v>21</v>
      </c>
      <c r="N20" s="54">
        <f t="shared" si="0"/>
        <v>0</v>
      </c>
      <c r="O20" s="170"/>
      <c r="P20" s="191"/>
      <c r="Q20" s="192"/>
      <c r="R20" s="192"/>
      <c r="S20" s="192"/>
      <c r="T20" s="192"/>
      <c r="U20" s="193"/>
    </row>
    <row r="21" spans="1:21" ht="15.75" customHeight="1">
      <c r="A21" s="85"/>
      <c r="B21" s="37">
        <f>ROW()-13</f>
        <v>8</v>
      </c>
      <c r="C21" s="145" t="s">
        <v>269</v>
      </c>
      <c r="D21" s="80"/>
      <c r="E21" s="81"/>
      <c r="F21" s="146"/>
      <c r="G21" s="17"/>
      <c r="H21" s="18" t="s">
        <v>24</v>
      </c>
      <c r="I21" s="59"/>
      <c r="J21" s="19"/>
      <c r="K21" s="19"/>
      <c r="L21" s="50"/>
      <c r="M21" s="73" t="s">
        <v>21</v>
      </c>
      <c r="N21" s="54">
        <f t="shared" si="0"/>
        <v>7</v>
      </c>
      <c r="O21" s="170"/>
      <c r="P21" s="191"/>
      <c r="Q21" s="192"/>
      <c r="R21" s="192"/>
      <c r="S21" s="192"/>
      <c r="T21" s="192"/>
      <c r="U21" s="193"/>
    </row>
    <row r="22" spans="1:21" ht="15.75" customHeight="1">
      <c r="A22" s="85"/>
      <c r="B22" s="37">
        <f>ROW()-13</f>
        <v>9</v>
      </c>
      <c r="C22" s="145" t="s">
        <v>397</v>
      </c>
      <c r="D22" s="80"/>
      <c r="E22" s="81"/>
      <c r="F22" s="146"/>
      <c r="G22" s="17"/>
      <c r="H22" s="18" t="s">
        <v>54</v>
      </c>
      <c r="I22" s="59"/>
      <c r="J22" s="19"/>
      <c r="K22" s="19"/>
      <c r="L22" s="50"/>
      <c r="M22" s="73" t="s">
        <v>21</v>
      </c>
      <c r="N22" s="54">
        <f t="shared" si="0"/>
        <v>0</v>
      </c>
      <c r="O22" s="170"/>
      <c r="P22" s="191"/>
      <c r="Q22" s="192"/>
      <c r="R22" s="192"/>
      <c r="S22" s="192"/>
      <c r="T22" s="192"/>
      <c r="U22" s="193"/>
    </row>
    <row r="23" spans="1:21" ht="15.75" customHeight="1">
      <c r="A23" s="85"/>
      <c r="B23" s="37">
        <f>ROW()-13</f>
        <v>10</v>
      </c>
      <c r="C23" s="145" t="s">
        <v>274</v>
      </c>
      <c r="D23" s="80"/>
      <c r="E23" s="81"/>
      <c r="F23" s="146"/>
      <c r="G23" s="17"/>
      <c r="H23" s="18" t="s">
        <v>49</v>
      </c>
      <c r="I23" s="59"/>
      <c r="J23" s="19">
        <v>5</v>
      </c>
      <c r="K23" s="19"/>
      <c r="L23" s="50"/>
      <c r="M23" s="73" t="s">
        <v>21</v>
      </c>
      <c r="N23" s="54">
        <f t="shared" si="0"/>
        <v>5</v>
      </c>
      <c r="O23" s="170"/>
      <c r="P23" s="191"/>
      <c r="Q23" s="192"/>
      <c r="R23" s="192"/>
      <c r="S23" s="192"/>
      <c r="T23" s="192"/>
      <c r="U23" s="193"/>
    </row>
    <row r="24" spans="1:21" ht="15.75" customHeight="1">
      <c r="A24" s="85"/>
      <c r="B24" s="37">
        <f>ROW()-13</f>
        <v>11</v>
      </c>
      <c r="C24" s="145" t="s">
        <v>399</v>
      </c>
      <c r="D24" s="80"/>
      <c r="E24" s="81"/>
      <c r="F24" s="146"/>
      <c r="G24" s="17"/>
      <c r="H24" s="18" t="s">
        <v>49</v>
      </c>
      <c r="I24" s="59"/>
      <c r="J24" s="19">
        <v>3</v>
      </c>
      <c r="K24" s="19"/>
      <c r="L24" s="50"/>
      <c r="M24" s="73" t="s">
        <v>21</v>
      </c>
      <c r="N24" s="54">
        <f t="shared" si="0"/>
        <v>3</v>
      </c>
      <c r="O24" s="170"/>
      <c r="P24" s="191"/>
      <c r="Q24" s="192"/>
      <c r="R24" s="192"/>
      <c r="S24" s="192"/>
      <c r="T24" s="192"/>
      <c r="U24" s="193"/>
    </row>
    <row r="25" spans="1:21" ht="15.75" customHeight="1">
      <c r="A25" s="85"/>
      <c r="B25" s="37">
        <f>ROW()-13</f>
        <v>12</v>
      </c>
      <c r="C25" s="145" t="s">
        <v>272</v>
      </c>
      <c r="D25" s="80"/>
      <c r="E25" s="81"/>
      <c r="F25" s="146"/>
      <c r="G25" s="17"/>
      <c r="H25" s="18" t="s">
        <v>49</v>
      </c>
      <c r="I25" s="59"/>
      <c r="J25" s="19">
        <v>4</v>
      </c>
      <c r="K25" s="19"/>
      <c r="L25" s="50"/>
      <c r="M25" s="73" t="s">
        <v>21</v>
      </c>
      <c r="N25" s="54">
        <f t="shared" si="0"/>
        <v>4</v>
      </c>
      <c r="O25" s="170"/>
      <c r="P25" s="191"/>
      <c r="Q25" s="192"/>
      <c r="R25" s="192"/>
      <c r="S25" s="192"/>
      <c r="T25" s="192"/>
      <c r="U25" s="193"/>
    </row>
    <row r="26" spans="1:21" ht="15.75" customHeight="1">
      <c r="A26" s="85"/>
      <c r="B26" s="37">
        <f>ROW()-13</f>
        <v>13</v>
      </c>
      <c r="C26" s="145" t="s">
        <v>266</v>
      </c>
      <c r="D26" s="80"/>
      <c r="E26" s="81"/>
      <c r="F26" s="146"/>
      <c r="G26" s="17"/>
      <c r="H26" s="18" t="s">
        <v>24</v>
      </c>
      <c r="I26" s="59"/>
      <c r="J26" s="19"/>
      <c r="K26" s="19"/>
      <c r="L26" s="50"/>
      <c r="M26" s="73" t="s">
        <v>21</v>
      </c>
      <c r="N26" s="54">
        <f t="shared" si="0"/>
        <v>7</v>
      </c>
      <c r="O26" s="170"/>
      <c r="P26" s="191"/>
      <c r="Q26" s="192"/>
      <c r="R26" s="192"/>
      <c r="S26" s="192"/>
      <c r="T26" s="192"/>
      <c r="U26" s="193"/>
    </row>
    <row r="27" spans="1:21" ht="15.75" customHeight="1">
      <c r="A27" s="85"/>
      <c r="B27" s="37">
        <f>ROW()-13</f>
        <v>14</v>
      </c>
      <c r="C27" s="145" t="s">
        <v>267</v>
      </c>
      <c r="D27" s="80"/>
      <c r="E27" s="81"/>
      <c r="F27" s="146"/>
      <c r="G27" s="17"/>
      <c r="H27" s="18" t="s">
        <v>54</v>
      </c>
      <c r="I27" s="59"/>
      <c r="J27" s="19"/>
      <c r="K27" s="19"/>
      <c r="L27" s="50"/>
      <c r="M27" s="73" t="s">
        <v>21</v>
      </c>
      <c r="N27" s="54">
        <f t="shared" si="0"/>
        <v>0</v>
      </c>
      <c r="O27" s="170"/>
      <c r="P27" s="191"/>
      <c r="Q27" s="192"/>
      <c r="R27" s="192"/>
      <c r="S27" s="192"/>
      <c r="T27" s="192"/>
      <c r="U27" s="193"/>
    </row>
    <row r="28" spans="1:21" ht="15.75" customHeight="1">
      <c r="A28" s="85"/>
      <c r="B28" s="37">
        <f>ROW()-13</f>
        <v>15</v>
      </c>
      <c r="C28" s="145" t="s">
        <v>408</v>
      </c>
      <c r="D28" s="80"/>
      <c r="E28" s="81"/>
      <c r="F28" s="146"/>
      <c r="G28" s="17"/>
      <c r="H28" s="18" t="s">
        <v>86</v>
      </c>
      <c r="I28" s="59"/>
      <c r="J28" s="19"/>
      <c r="K28" s="19"/>
      <c r="L28" s="50"/>
      <c r="M28" s="73" t="s">
        <v>21</v>
      </c>
      <c r="N28" s="54">
        <f t="shared" si="0"/>
        <v>0</v>
      </c>
      <c r="O28" s="170"/>
      <c r="P28" s="191"/>
      <c r="Q28" s="192"/>
      <c r="R28" s="192"/>
      <c r="S28" s="192"/>
      <c r="T28" s="192"/>
      <c r="U28" s="193"/>
    </row>
    <row r="29" spans="1:21" ht="15.75" customHeight="1">
      <c r="A29" s="85"/>
      <c r="B29" s="37">
        <f>ROW()-13</f>
        <v>16</v>
      </c>
      <c r="C29" s="145" t="s">
        <v>409</v>
      </c>
      <c r="D29" s="80"/>
      <c r="E29" s="81"/>
      <c r="F29" s="146"/>
      <c r="G29" s="17"/>
      <c r="H29" s="18" t="s">
        <v>51</v>
      </c>
      <c r="I29" s="59"/>
      <c r="J29" s="19">
        <v>6</v>
      </c>
      <c r="K29" s="19"/>
      <c r="L29" s="50"/>
      <c r="M29" s="73" t="s">
        <v>21</v>
      </c>
      <c r="N29" s="54">
        <f t="shared" si="0"/>
        <v>6</v>
      </c>
      <c r="O29" s="170"/>
      <c r="P29" s="191" t="s">
        <v>358</v>
      </c>
      <c r="Q29" s="192"/>
      <c r="R29" s="192"/>
      <c r="S29" s="192"/>
      <c r="T29" s="192"/>
      <c r="U29" s="193"/>
    </row>
    <row r="30" spans="1:21" ht="15.75" customHeight="1">
      <c r="A30" s="85"/>
      <c r="B30" s="37">
        <f>ROW()-13</f>
        <v>17</v>
      </c>
      <c r="C30" s="145" t="s">
        <v>410</v>
      </c>
      <c r="D30" s="80"/>
      <c r="E30" s="81"/>
      <c r="F30" s="146"/>
      <c r="G30" s="17"/>
      <c r="H30" s="18" t="s">
        <v>86</v>
      </c>
      <c r="I30" s="59"/>
      <c r="J30" s="19"/>
      <c r="K30" s="19"/>
      <c r="L30" s="50"/>
      <c r="M30" s="73" t="s">
        <v>21</v>
      </c>
      <c r="N30" s="54">
        <f t="shared" si="0"/>
        <v>0</v>
      </c>
      <c r="O30" s="170"/>
      <c r="P30" s="191"/>
      <c r="Q30" s="192"/>
      <c r="R30" s="192"/>
      <c r="S30" s="192"/>
      <c r="T30" s="192"/>
      <c r="U30" s="193"/>
    </row>
    <row r="31" spans="1:21" ht="15.75" customHeight="1">
      <c r="A31" s="85"/>
      <c r="B31" s="37">
        <f>ROW()-13</f>
        <v>18</v>
      </c>
      <c r="C31" s="145" t="s">
        <v>411</v>
      </c>
      <c r="D31" s="80"/>
      <c r="E31" s="81"/>
      <c r="F31" s="146"/>
      <c r="G31" s="17"/>
      <c r="H31" s="18" t="s">
        <v>51</v>
      </c>
      <c r="I31" s="59"/>
      <c r="J31" s="19">
        <v>6</v>
      </c>
      <c r="K31" s="19"/>
      <c r="L31" s="50"/>
      <c r="M31" s="73" t="s">
        <v>21</v>
      </c>
      <c r="N31" s="54">
        <f t="shared" si="0"/>
        <v>6</v>
      </c>
      <c r="O31" s="170"/>
      <c r="P31" s="191" t="s">
        <v>358</v>
      </c>
      <c r="Q31" s="192"/>
      <c r="R31" s="192"/>
      <c r="S31" s="192"/>
      <c r="T31" s="192"/>
      <c r="U31" s="193"/>
    </row>
    <row r="32" spans="1:21" ht="15.75" customHeight="1">
      <c r="A32" s="85"/>
      <c r="B32" s="37">
        <f>ROW()-13</f>
        <v>19</v>
      </c>
      <c r="C32" s="145" t="s">
        <v>412</v>
      </c>
      <c r="D32" s="80"/>
      <c r="E32" s="81"/>
      <c r="F32" s="146"/>
      <c r="G32" s="17"/>
      <c r="H32" s="18" t="s">
        <v>51</v>
      </c>
      <c r="I32" s="59"/>
      <c r="J32" s="19">
        <v>10</v>
      </c>
      <c r="K32" s="19"/>
      <c r="L32" s="50"/>
      <c r="M32" s="73" t="s">
        <v>21</v>
      </c>
      <c r="N32" s="54">
        <f t="shared" si="0"/>
        <v>10</v>
      </c>
      <c r="O32" s="170"/>
      <c r="P32" s="191"/>
      <c r="Q32" s="192"/>
      <c r="R32" s="192"/>
      <c r="S32" s="192"/>
      <c r="T32" s="192"/>
      <c r="U32" s="193"/>
    </row>
    <row r="33" spans="1:21" ht="15.75" customHeight="1">
      <c r="A33" s="85"/>
      <c r="B33" s="37">
        <f>ROW()-13</f>
        <v>20</v>
      </c>
      <c r="C33" s="145" t="s">
        <v>413</v>
      </c>
      <c r="D33" s="80"/>
      <c r="E33" s="81"/>
      <c r="F33" s="146"/>
      <c r="G33" s="17"/>
      <c r="H33" s="18" t="s">
        <v>51</v>
      </c>
      <c r="I33" s="59"/>
      <c r="J33" s="19">
        <v>10</v>
      </c>
      <c r="K33" s="19"/>
      <c r="L33" s="50"/>
      <c r="M33" s="73" t="s">
        <v>21</v>
      </c>
      <c r="N33" s="54">
        <f t="shared" si="0"/>
        <v>10</v>
      </c>
      <c r="O33" s="170"/>
      <c r="P33" s="191"/>
      <c r="Q33" s="192"/>
      <c r="R33" s="192"/>
      <c r="S33" s="192"/>
      <c r="T33" s="192"/>
      <c r="U33" s="193"/>
    </row>
    <row r="34" spans="1:21" ht="15.75">
      <c r="A34" s="85"/>
      <c r="B34" s="37">
        <f t="shared" ref="B34:B40" si="1">ROW()-13</f>
        <v>21</v>
      </c>
      <c r="C34" s="107" t="s">
        <v>36</v>
      </c>
      <c r="D34" s="107"/>
      <c r="E34" s="108"/>
      <c r="F34" s="109" t="s">
        <v>78</v>
      </c>
      <c r="G34" s="110"/>
      <c r="H34" s="18" t="s">
        <v>51</v>
      </c>
      <c r="I34" s="59"/>
      <c r="J34" s="113">
        <v>12</v>
      </c>
      <c r="K34" s="113"/>
      <c r="L34" s="114"/>
      <c r="M34" s="115" t="s">
        <v>35</v>
      </c>
      <c r="N34" s="116">
        <f t="shared" si="0"/>
        <v>12</v>
      </c>
      <c r="O34" s="171"/>
      <c r="P34" s="197"/>
      <c r="Q34" s="198"/>
      <c r="R34" s="198"/>
      <c r="S34" s="198"/>
      <c r="T34" s="198"/>
      <c r="U34" s="199"/>
    </row>
    <row r="35" spans="1:21" ht="15.75">
      <c r="A35" s="85"/>
      <c r="B35" s="37">
        <f t="shared" si="1"/>
        <v>22</v>
      </c>
      <c r="C35" s="107" t="s">
        <v>37</v>
      </c>
      <c r="D35" s="107"/>
      <c r="E35" s="108"/>
      <c r="F35" s="109" t="s">
        <v>43</v>
      </c>
      <c r="G35" s="110"/>
      <c r="H35" s="18" t="s">
        <v>51</v>
      </c>
      <c r="I35" s="59"/>
      <c r="J35" s="113">
        <v>10</v>
      </c>
      <c r="K35" s="113"/>
      <c r="L35" s="114"/>
      <c r="M35" s="115" t="s">
        <v>21</v>
      </c>
      <c r="N35" s="116">
        <f t="shared" si="0"/>
        <v>10</v>
      </c>
      <c r="O35" s="171"/>
      <c r="P35" s="197"/>
      <c r="Q35" s="198"/>
      <c r="R35" s="198"/>
      <c r="S35" s="198"/>
      <c r="T35" s="198"/>
      <c r="U35" s="199"/>
    </row>
    <row r="36" spans="1:21" ht="15.75">
      <c r="A36" s="85"/>
      <c r="B36" s="37">
        <f t="shared" si="1"/>
        <v>23</v>
      </c>
      <c r="C36" s="107" t="s">
        <v>38</v>
      </c>
      <c r="D36" s="107"/>
      <c r="E36" s="108"/>
      <c r="F36" s="109" t="s">
        <v>80</v>
      </c>
      <c r="G36" s="110"/>
      <c r="H36" s="18" t="s">
        <v>86</v>
      </c>
      <c r="I36" s="59"/>
      <c r="J36" s="113"/>
      <c r="K36" s="113"/>
      <c r="L36" s="114"/>
      <c r="M36" s="115" t="s">
        <v>21</v>
      </c>
      <c r="N36" s="116">
        <f t="shared" si="0"/>
        <v>0</v>
      </c>
      <c r="O36" s="171"/>
      <c r="P36" s="197"/>
      <c r="Q36" s="198"/>
      <c r="R36" s="198"/>
      <c r="S36" s="198"/>
      <c r="T36" s="198"/>
      <c r="U36" s="199"/>
    </row>
    <row r="37" spans="1:21" ht="15.75">
      <c r="A37" s="85"/>
      <c r="B37" s="37">
        <f t="shared" si="1"/>
        <v>24</v>
      </c>
      <c r="C37" s="107" t="s">
        <v>39</v>
      </c>
      <c r="D37" s="107"/>
      <c r="E37" s="108"/>
      <c r="F37" s="109" t="s">
        <v>79</v>
      </c>
      <c r="G37" s="110"/>
      <c r="H37" s="18" t="s">
        <v>51</v>
      </c>
      <c r="I37" s="59"/>
      <c r="J37" s="113">
        <v>12</v>
      </c>
      <c r="K37" s="113"/>
      <c r="L37" s="114"/>
      <c r="M37" s="115" t="s">
        <v>35</v>
      </c>
      <c r="N37" s="116">
        <f t="shared" si="0"/>
        <v>12</v>
      </c>
      <c r="O37" s="171"/>
      <c r="P37" s="197"/>
      <c r="Q37" s="198"/>
      <c r="R37" s="198"/>
      <c r="S37" s="198"/>
      <c r="T37" s="198"/>
      <c r="U37" s="199"/>
    </row>
    <row r="38" spans="1:21" ht="15.75">
      <c r="A38" s="85"/>
      <c r="B38" s="37">
        <f t="shared" si="1"/>
        <v>25</v>
      </c>
      <c r="C38" s="107" t="s">
        <v>40</v>
      </c>
      <c r="D38" s="107"/>
      <c r="E38" s="108"/>
      <c r="F38" s="109" t="s">
        <v>44</v>
      </c>
      <c r="G38" s="110"/>
      <c r="H38" s="18" t="s">
        <v>51</v>
      </c>
      <c r="I38" s="59"/>
      <c r="J38" s="113">
        <v>10</v>
      </c>
      <c r="K38" s="113"/>
      <c r="L38" s="114"/>
      <c r="M38" s="115" t="s">
        <v>21</v>
      </c>
      <c r="N38" s="116">
        <f t="shared" si="0"/>
        <v>10</v>
      </c>
      <c r="O38" s="171"/>
      <c r="P38" s="197"/>
      <c r="Q38" s="198"/>
      <c r="R38" s="198"/>
      <c r="S38" s="198"/>
      <c r="T38" s="198"/>
      <c r="U38" s="199"/>
    </row>
    <row r="39" spans="1:21" ht="15.75">
      <c r="A39" s="85"/>
      <c r="B39" s="37">
        <f t="shared" si="1"/>
        <v>26</v>
      </c>
      <c r="C39" s="107" t="s">
        <v>41</v>
      </c>
      <c r="D39" s="107"/>
      <c r="E39" s="108"/>
      <c r="F39" s="109" t="s">
        <v>81</v>
      </c>
      <c r="G39" s="110"/>
      <c r="H39" s="18" t="s">
        <v>86</v>
      </c>
      <c r="I39" s="59"/>
      <c r="J39" s="113"/>
      <c r="K39" s="113"/>
      <c r="L39" s="114"/>
      <c r="M39" s="115" t="s">
        <v>21</v>
      </c>
      <c r="N39" s="116">
        <f t="shared" si="0"/>
        <v>0</v>
      </c>
      <c r="O39" s="171"/>
      <c r="P39" s="197"/>
      <c r="Q39" s="198"/>
      <c r="R39" s="198"/>
      <c r="S39" s="198"/>
      <c r="T39" s="198"/>
      <c r="U39" s="199"/>
    </row>
    <row r="40" spans="1:21" ht="15.75">
      <c r="A40" s="85"/>
      <c r="B40" s="37">
        <f t="shared" si="1"/>
        <v>27</v>
      </c>
      <c r="C40" s="80" t="s">
        <v>46</v>
      </c>
      <c r="D40" s="80"/>
      <c r="E40" s="81"/>
      <c r="F40" s="84" t="s">
        <v>71</v>
      </c>
      <c r="G40" s="17"/>
      <c r="H40" s="18" t="s">
        <v>62</v>
      </c>
      <c r="I40" s="59"/>
      <c r="J40" s="19">
        <v>8</v>
      </c>
      <c r="K40" s="19"/>
      <c r="L40" s="50" t="s">
        <v>47</v>
      </c>
      <c r="M40" s="73" t="s">
        <v>35</v>
      </c>
      <c r="N40" s="54">
        <f t="shared" si="0"/>
        <v>8</v>
      </c>
      <c r="O40" s="170">
        <v>0</v>
      </c>
      <c r="P40" s="191" t="s">
        <v>48</v>
      </c>
      <c r="Q40" s="192"/>
      <c r="R40" s="192"/>
      <c r="S40" s="192"/>
      <c r="T40" s="192"/>
      <c r="U40" s="193"/>
    </row>
    <row r="41" spans="1:21" ht="16.5" thickBot="1">
      <c r="A41" s="118"/>
      <c r="B41" s="119"/>
      <c r="C41" s="120"/>
      <c r="D41" s="120"/>
      <c r="E41" s="121"/>
      <c r="F41" s="129"/>
      <c r="G41" s="122"/>
      <c r="H41" s="147"/>
      <c r="I41" s="148"/>
      <c r="J41" s="125"/>
      <c r="K41" s="125"/>
      <c r="L41" s="126"/>
      <c r="M41" s="126"/>
      <c r="N41" s="127"/>
      <c r="O41" s="172"/>
      <c r="P41" s="194"/>
      <c r="Q41" s="195"/>
      <c r="R41" s="195"/>
      <c r="S41" s="195"/>
      <c r="T41" s="195"/>
      <c r="U41" s="196"/>
    </row>
  </sheetData>
  <mergeCells count="58">
    <mergeCell ref="P40:U40"/>
    <mergeCell ref="P41:U41"/>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969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969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970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970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970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6F6B3506-20F6-456B-B6D1-C4FF6B400011}">
            <xm:f>(AND(H14&lt;&gt;"",ISERROR(VLOOKUP(H14,system!$E:$E,1,FALSE))))</xm:f>
            <x14:dxf>
              <fill>
                <patternFill patternType="solid">
                  <bgColor rgb="FFFF0000"/>
                </patternFill>
              </fill>
            </x14:dxf>
          </x14:cfRule>
          <xm:sqref>H14:H33</xm:sqref>
        </x14:conditionalFormatting>
        <x14:conditionalFormatting xmlns:xm="http://schemas.microsoft.com/office/excel/2006/main">
          <x14:cfRule type="expression" priority="3" id="{F6F97C3A-825D-45A7-9BF4-81826DC8B445}">
            <xm:f>(AND(H14&lt;&gt;"",ISERROR(VLOOKUP(H14,system!$E:$E,1,FALSE))))</xm:f>
            <x14:dxf>
              <fill>
                <patternFill>
                  <bgColor rgb="FFFF0000"/>
                </patternFill>
              </fill>
            </x14:dxf>
          </x14:cfRule>
          <xm:sqref>I14:I33</xm:sqref>
        </x14:conditionalFormatting>
        <x14:conditionalFormatting xmlns:xm="http://schemas.microsoft.com/office/excel/2006/main">
          <x14:cfRule type="expression" priority="2" id="{86B1BD4C-7384-421C-BADD-A4E4270A2B1D}">
            <xm:f>(AND(H34&lt;&gt;"",ISERROR(VLOOKUP(H34,system!$E:$E,1,FALSE))))</xm:f>
            <x14:dxf>
              <fill>
                <patternFill patternType="solid">
                  <bgColor rgb="FFFF0000"/>
                </patternFill>
              </fill>
            </x14:dxf>
          </x14:cfRule>
          <xm:sqref>H34:H41</xm:sqref>
        </x14:conditionalFormatting>
        <x14:conditionalFormatting xmlns:xm="http://schemas.microsoft.com/office/excel/2006/main">
          <x14:cfRule type="expression" priority="1" id="{C0E6DD3C-F706-4E1E-AF62-121AEF1D2CB9}">
            <xm:f>(AND(H34&lt;&gt;"",ISERROR(VLOOKUP(H34,system!$E:$E,1,FALSE))))</xm:f>
            <x14:dxf>
              <fill>
                <patternFill>
                  <bgColor rgb="FFFF0000"/>
                </patternFill>
              </fill>
            </x14:dxf>
          </x14:cfRule>
          <xm:sqref>I34:I41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A1:U41"/>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416</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127</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SUM(N14:N42)</f>
        <v>131</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40" si="0">IF(H14="NUMBER",IF(J14&gt;0,INT((J14+1)/2+0.9),0),IF(H14="DATE",7,IF(OR(H14="LONG",H14="LONG RAW"),100000,J14)))</f>
        <v>1</v>
      </c>
      <c r="O14" s="170"/>
      <c r="P14" s="191" t="s">
        <v>175</v>
      </c>
      <c r="Q14" s="192"/>
      <c r="R14" s="192"/>
      <c r="S14" s="192"/>
      <c r="T14" s="192"/>
      <c r="U14" s="193"/>
    </row>
    <row r="15" spans="1:21" ht="15.75" customHeight="1">
      <c r="A15" s="85"/>
      <c r="B15" s="37">
        <f>ROW()-13</f>
        <v>2</v>
      </c>
      <c r="C15" s="145" t="s">
        <v>196</v>
      </c>
      <c r="D15" s="80"/>
      <c r="E15" s="81"/>
      <c r="F15" s="146"/>
      <c r="G15" s="17"/>
      <c r="H15" s="18" t="s">
        <v>49</v>
      </c>
      <c r="I15" s="59"/>
      <c r="J15" s="19">
        <v>12</v>
      </c>
      <c r="K15" s="19"/>
      <c r="L15" s="50"/>
      <c r="M15" s="73" t="s">
        <v>21</v>
      </c>
      <c r="N15" s="54">
        <f t="shared" si="0"/>
        <v>12</v>
      </c>
      <c r="O15" s="170"/>
      <c r="P15" s="191"/>
      <c r="Q15" s="192"/>
      <c r="R15" s="192"/>
      <c r="S15" s="192"/>
      <c r="T15" s="192"/>
      <c r="U15" s="193"/>
    </row>
    <row r="16" spans="1:21" ht="15.75" customHeight="1">
      <c r="A16" s="85" t="s">
        <v>191</v>
      </c>
      <c r="B16" s="37">
        <f>ROW()-13</f>
        <v>3</v>
      </c>
      <c r="C16" s="145" t="s">
        <v>417</v>
      </c>
      <c r="D16" s="80"/>
      <c r="E16" s="81"/>
      <c r="F16" s="146"/>
      <c r="G16" s="17"/>
      <c r="H16" s="18" t="s">
        <v>49</v>
      </c>
      <c r="I16" s="59"/>
      <c r="J16" s="19">
        <v>1</v>
      </c>
      <c r="K16" s="19"/>
      <c r="L16" s="50" t="s">
        <v>190</v>
      </c>
      <c r="M16" s="73" t="s">
        <v>21</v>
      </c>
      <c r="N16" s="54">
        <f t="shared" si="0"/>
        <v>1</v>
      </c>
      <c r="O16" s="170"/>
      <c r="P16" s="191"/>
      <c r="Q16" s="192"/>
      <c r="R16" s="192"/>
      <c r="S16" s="192"/>
      <c r="T16" s="192"/>
      <c r="U16" s="193"/>
    </row>
    <row r="17" spans="1:21" ht="15.75" customHeight="1">
      <c r="A17" s="85" t="s">
        <v>191</v>
      </c>
      <c r="B17" s="37">
        <f>ROW()-13</f>
        <v>4</v>
      </c>
      <c r="C17" s="145" t="s">
        <v>198</v>
      </c>
      <c r="D17" s="80"/>
      <c r="E17" s="81"/>
      <c r="F17" s="146"/>
      <c r="G17" s="17"/>
      <c r="H17" s="18" t="s">
        <v>51</v>
      </c>
      <c r="I17" s="59"/>
      <c r="J17" s="19">
        <v>25</v>
      </c>
      <c r="K17" s="19"/>
      <c r="L17" s="50" t="s">
        <v>190</v>
      </c>
      <c r="M17" s="73" t="s">
        <v>21</v>
      </c>
      <c r="N17" s="54">
        <f t="shared" si="0"/>
        <v>25</v>
      </c>
      <c r="O17" s="170"/>
      <c r="P17" s="191"/>
      <c r="Q17" s="192"/>
      <c r="R17" s="192"/>
      <c r="S17" s="192"/>
      <c r="T17" s="192"/>
      <c r="U17" s="193"/>
    </row>
    <row r="18" spans="1:21" ht="15.75" customHeight="1">
      <c r="A18" s="85" t="s">
        <v>191</v>
      </c>
      <c r="B18" s="37">
        <f>ROW()-13</f>
        <v>5</v>
      </c>
      <c r="C18" s="145" t="s">
        <v>200</v>
      </c>
      <c r="D18" s="80"/>
      <c r="E18" s="81"/>
      <c r="F18" s="146"/>
      <c r="G18" s="17"/>
      <c r="H18" s="18" t="s">
        <v>51</v>
      </c>
      <c r="I18" s="59"/>
      <c r="J18" s="19">
        <v>4</v>
      </c>
      <c r="K18" s="19"/>
      <c r="L18" s="50" t="s">
        <v>190</v>
      </c>
      <c r="M18" s="73" t="s">
        <v>21</v>
      </c>
      <c r="N18" s="54">
        <f t="shared" si="0"/>
        <v>4</v>
      </c>
      <c r="O18" s="170"/>
      <c r="P18" s="191" t="s">
        <v>202</v>
      </c>
      <c r="Q18" s="192"/>
      <c r="R18" s="192"/>
      <c r="S18" s="192"/>
      <c r="T18" s="192"/>
      <c r="U18" s="193"/>
    </row>
    <row r="19" spans="1:21" ht="62.85" customHeight="1">
      <c r="A19" s="85" t="s">
        <v>191</v>
      </c>
      <c r="B19" s="37">
        <f>ROW()-13</f>
        <v>6</v>
      </c>
      <c r="C19" s="145" t="s">
        <v>203</v>
      </c>
      <c r="D19" s="80"/>
      <c r="E19" s="81"/>
      <c r="F19" s="146"/>
      <c r="G19" s="17"/>
      <c r="H19" s="18" t="s">
        <v>49</v>
      </c>
      <c r="I19" s="59"/>
      <c r="J19" s="19">
        <v>1</v>
      </c>
      <c r="K19" s="19"/>
      <c r="L19" s="50" t="s">
        <v>190</v>
      </c>
      <c r="M19" s="73" t="s">
        <v>21</v>
      </c>
      <c r="N19" s="54">
        <f t="shared" si="0"/>
        <v>1</v>
      </c>
      <c r="O19" s="170"/>
      <c r="P19" s="251" t="s">
        <v>264</v>
      </c>
      <c r="Q19" s="192"/>
      <c r="R19" s="192"/>
      <c r="S19" s="192"/>
      <c r="T19" s="192"/>
      <c r="U19" s="193"/>
    </row>
    <row r="20" spans="1:21" ht="15.75" customHeight="1">
      <c r="A20" s="85"/>
      <c r="B20" s="37">
        <f>ROW()-13</f>
        <v>7</v>
      </c>
      <c r="C20" s="145" t="s">
        <v>194</v>
      </c>
      <c r="D20" s="80"/>
      <c r="E20" s="81"/>
      <c r="F20" s="146"/>
      <c r="G20" s="17"/>
      <c r="H20" s="18" t="s">
        <v>49</v>
      </c>
      <c r="I20" s="59"/>
      <c r="J20" s="19">
        <v>2</v>
      </c>
      <c r="K20" s="19"/>
      <c r="L20" s="50"/>
      <c r="M20" s="73" t="s">
        <v>21</v>
      </c>
      <c r="N20" s="54">
        <f t="shared" si="0"/>
        <v>2</v>
      </c>
      <c r="O20" s="170"/>
      <c r="P20" s="191" t="s">
        <v>155</v>
      </c>
      <c r="Q20" s="192"/>
      <c r="R20" s="192"/>
      <c r="S20" s="192"/>
      <c r="T20" s="192"/>
      <c r="U20" s="193"/>
    </row>
    <row r="21" spans="1:21" ht="27.6" customHeight="1">
      <c r="A21" s="85"/>
      <c r="B21" s="37">
        <f>ROW()-13</f>
        <v>8</v>
      </c>
      <c r="C21" s="145" t="s">
        <v>418</v>
      </c>
      <c r="D21" s="80"/>
      <c r="E21" s="81"/>
      <c r="F21" s="146"/>
      <c r="G21" s="17"/>
      <c r="H21" s="18" t="s">
        <v>49</v>
      </c>
      <c r="I21" s="59"/>
      <c r="J21" s="19">
        <v>1</v>
      </c>
      <c r="K21" s="19"/>
      <c r="L21" s="50"/>
      <c r="M21" s="73" t="s">
        <v>21</v>
      </c>
      <c r="N21" s="54">
        <f t="shared" si="0"/>
        <v>1</v>
      </c>
      <c r="O21" s="170"/>
      <c r="P21" s="251" t="s">
        <v>419</v>
      </c>
      <c r="Q21" s="192"/>
      <c r="R21" s="192"/>
      <c r="S21" s="192"/>
      <c r="T21" s="192"/>
      <c r="U21" s="193"/>
    </row>
    <row r="22" spans="1:21" ht="15.75" customHeight="1">
      <c r="A22" s="85"/>
      <c r="B22" s="37">
        <f>ROW()-13</f>
        <v>9</v>
      </c>
      <c r="C22" s="145" t="s">
        <v>420</v>
      </c>
      <c r="D22" s="80"/>
      <c r="E22" s="81"/>
      <c r="F22" s="146"/>
      <c r="G22" s="17"/>
      <c r="H22" s="18" t="s">
        <v>208</v>
      </c>
      <c r="I22" s="59"/>
      <c r="J22" s="19"/>
      <c r="K22" s="19"/>
      <c r="L22" s="50"/>
      <c r="M22" s="73" t="s">
        <v>21</v>
      </c>
      <c r="N22" s="54">
        <f t="shared" si="0"/>
        <v>0</v>
      </c>
      <c r="O22" s="170"/>
      <c r="P22" s="191"/>
      <c r="Q22" s="192"/>
      <c r="R22" s="192"/>
      <c r="S22" s="192"/>
      <c r="T22" s="192"/>
      <c r="U22" s="193"/>
    </row>
    <row r="23" spans="1:21" ht="15.75" customHeight="1">
      <c r="A23" s="85"/>
      <c r="B23" s="37">
        <f>ROW()-13</f>
        <v>10</v>
      </c>
      <c r="C23" s="145" t="s">
        <v>421</v>
      </c>
      <c r="D23" s="80"/>
      <c r="E23" s="81"/>
      <c r="F23" s="146"/>
      <c r="G23" s="17"/>
      <c r="H23" s="18" t="s">
        <v>208</v>
      </c>
      <c r="I23" s="59"/>
      <c r="J23" s="19"/>
      <c r="K23" s="19"/>
      <c r="L23" s="50"/>
      <c r="M23" s="73" t="s">
        <v>21</v>
      </c>
      <c r="N23" s="54">
        <f t="shared" si="0"/>
        <v>0</v>
      </c>
      <c r="O23" s="170"/>
      <c r="P23" s="191"/>
      <c r="Q23" s="192"/>
      <c r="R23" s="192"/>
      <c r="S23" s="192"/>
      <c r="T23" s="192"/>
      <c r="U23" s="193"/>
    </row>
    <row r="24" spans="1:21" ht="15.75" customHeight="1">
      <c r="A24" s="85"/>
      <c r="B24" s="37">
        <f>ROW()-13</f>
        <v>11</v>
      </c>
      <c r="C24" s="145" t="s">
        <v>422</v>
      </c>
      <c r="D24" s="80"/>
      <c r="E24" s="81"/>
      <c r="F24" s="146"/>
      <c r="G24" s="17"/>
      <c r="H24" s="18" t="s">
        <v>208</v>
      </c>
      <c r="I24" s="59"/>
      <c r="J24" s="19"/>
      <c r="K24" s="19"/>
      <c r="L24" s="50"/>
      <c r="M24" s="73" t="s">
        <v>21</v>
      </c>
      <c r="N24" s="54">
        <f t="shared" si="0"/>
        <v>0</v>
      </c>
      <c r="O24" s="170"/>
      <c r="P24" s="191"/>
      <c r="Q24" s="192"/>
      <c r="R24" s="192"/>
      <c r="S24" s="192"/>
      <c r="T24" s="192"/>
      <c r="U24" s="193"/>
    </row>
    <row r="25" spans="1:21" ht="15.75" customHeight="1">
      <c r="A25" s="85"/>
      <c r="B25" s="37">
        <f>ROW()-13</f>
        <v>12</v>
      </c>
      <c r="C25" s="145" t="s">
        <v>423</v>
      </c>
      <c r="D25" s="80"/>
      <c r="E25" s="81"/>
      <c r="F25" s="146"/>
      <c r="G25" s="17"/>
      <c r="H25" s="18" t="s">
        <v>208</v>
      </c>
      <c r="I25" s="59"/>
      <c r="J25" s="19"/>
      <c r="K25" s="19"/>
      <c r="L25" s="50"/>
      <c r="M25" s="73" t="s">
        <v>21</v>
      </c>
      <c r="N25" s="54">
        <f t="shared" si="0"/>
        <v>0</v>
      </c>
      <c r="O25" s="170"/>
      <c r="P25" s="191"/>
      <c r="Q25" s="192"/>
      <c r="R25" s="192"/>
      <c r="S25" s="192"/>
      <c r="T25" s="192"/>
      <c r="U25" s="193"/>
    </row>
    <row r="26" spans="1:21" ht="15.75" customHeight="1">
      <c r="A26" s="85"/>
      <c r="B26" s="37">
        <f>ROW()-13</f>
        <v>13</v>
      </c>
      <c r="C26" s="145" t="s">
        <v>424</v>
      </c>
      <c r="D26" s="80"/>
      <c r="E26" s="81"/>
      <c r="F26" s="146"/>
      <c r="G26" s="17"/>
      <c r="H26" s="18" t="s">
        <v>208</v>
      </c>
      <c r="I26" s="59"/>
      <c r="J26" s="19"/>
      <c r="K26" s="19"/>
      <c r="L26" s="50"/>
      <c r="M26" s="73" t="s">
        <v>21</v>
      </c>
      <c r="N26" s="54">
        <f t="shared" si="0"/>
        <v>0</v>
      </c>
      <c r="O26" s="170"/>
      <c r="P26" s="191" t="s">
        <v>425</v>
      </c>
      <c r="Q26" s="192"/>
      <c r="R26" s="192"/>
      <c r="S26" s="192"/>
      <c r="T26" s="192"/>
      <c r="U26" s="193"/>
    </row>
    <row r="27" spans="1:21" ht="15.75" customHeight="1">
      <c r="A27" s="85"/>
      <c r="B27" s="37">
        <f>ROW()-13</f>
        <v>14</v>
      </c>
      <c r="C27" s="145" t="s">
        <v>426</v>
      </c>
      <c r="D27" s="80"/>
      <c r="E27" s="81"/>
      <c r="F27" s="146"/>
      <c r="G27" s="17"/>
      <c r="H27" s="18" t="s">
        <v>208</v>
      </c>
      <c r="I27" s="59"/>
      <c r="J27" s="19"/>
      <c r="K27" s="19"/>
      <c r="L27" s="50"/>
      <c r="M27" s="73" t="s">
        <v>21</v>
      </c>
      <c r="N27" s="54">
        <f t="shared" si="0"/>
        <v>0</v>
      </c>
      <c r="O27" s="170"/>
      <c r="P27" s="191"/>
      <c r="Q27" s="192"/>
      <c r="R27" s="192"/>
      <c r="S27" s="192"/>
      <c r="T27" s="192"/>
      <c r="U27" s="193"/>
    </row>
    <row r="28" spans="1:21" ht="15.75" customHeight="1">
      <c r="A28" s="85"/>
      <c r="B28" s="37">
        <f>ROW()-13</f>
        <v>15</v>
      </c>
      <c r="C28" s="145" t="s">
        <v>408</v>
      </c>
      <c r="D28" s="80"/>
      <c r="E28" s="81"/>
      <c r="F28" s="146"/>
      <c r="G28" s="17"/>
      <c r="H28" s="18" t="s">
        <v>86</v>
      </c>
      <c r="I28" s="59"/>
      <c r="J28" s="19"/>
      <c r="K28" s="19"/>
      <c r="L28" s="50"/>
      <c r="M28" s="73" t="s">
        <v>21</v>
      </c>
      <c r="N28" s="54">
        <f t="shared" si="0"/>
        <v>0</v>
      </c>
      <c r="O28" s="170"/>
      <c r="P28" s="191"/>
      <c r="Q28" s="192"/>
      <c r="R28" s="192"/>
      <c r="S28" s="192"/>
      <c r="T28" s="192"/>
      <c r="U28" s="193"/>
    </row>
    <row r="29" spans="1:21" ht="15.75" customHeight="1">
      <c r="A29" s="85"/>
      <c r="B29" s="37">
        <f>ROW()-13</f>
        <v>16</v>
      </c>
      <c r="C29" s="145" t="s">
        <v>409</v>
      </c>
      <c r="D29" s="80"/>
      <c r="E29" s="81"/>
      <c r="F29" s="146"/>
      <c r="G29" s="17"/>
      <c r="H29" s="18" t="s">
        <v>51</v>
      </c>
      <c r="I29" s="59"/>
      <c r="J29" s="19">
        <v>6</v>
      </c>
      <c r="K29" s="19"/>
      <c r="L29" s="50"/>
      <c r="M29" s="73" t="s">
        <v>21</v>
      </c>
      <c r="N29" s="54">
        <f t="shared" si="0"/>
        <v>6</v>
      </c>
      <c r="O29" s="170"/>
      <c r="P29" s="191" t="s">
        <v>358</v>
      </c>
      <c r="Q29" s="192"/>
      <c r="R29" s="192"/>
      <c r="S29" s="192"/>
      <c r="T29" s="192"/>
      <c r="U29" s="193"/>
    </row>
    <row r="30" spans="1:21" ht="15.75" customHeight="1">
      <c r="A30" s="85"/>
      <c r="B30" s="37">
        <f>ROW()-13</f>
        <v>17</v>
      </c>
      <c r="C30" s="145" t="s">
        <v>410</v>
      </c>
      <c r="D30" s="80"/>
      <c r="E30" s="81"/>
      <c r="F30" s="146"/>
      <c r="G30" s="17"/>
      <c r="H30" s="18" t="s">
        <v>86</v>
      </c>
      <c r="I30" s="59"/>
      <c r="J30" s="19"/>
      <c r="K30" s="19"/>
      <c r="L30" s="50"/>
      <c r="M30" s="73" t="s">
        <v>21</v>
      </c>
      <c r="N30" s="54">
        <f t="shared" si="0"/>
        <v>0</v>
      </c>
      <c r="O30" s="170"/>
      <c r="P30" s="191"/>
      <c r="Q30" s="192"/>
      <c r="R30" s="192"/>
      <c r="S30" s="192"/>
      <c r="T30" s="192"/>
      <c r="U30" s="193"/>
    </row>
    <row r="31" spans="1:21" ht="15.75" customHeight="1">
      <c r="A31" s="85"/>
      <c r="B31" s="37">
        <f>ROW()-13</f>
        <v>18</v>
      </c>
      <c r="C31" s="145" t="s">
        <v>411</v>
      </c>
      <c r="D31" s="80"/>
      <c r="E31" s="81"/>
      <c r="F31" s="146"/>
      <c r="G31" s="17"/>
      <c r="H31" s="18" t="s">
        <v>51</v>
      </c>
      <c r="I31" s="59"/>
      <c r="J31" s="19">
        <v>6</v>
      </c>
      <c r="K31" s="19"/>
      <c r="L31" s="50"/>
      <c r="M31" s="73" t="s">
        <v>21</v>
      </c>
      <c r="N31" s="54">
        <f t="shared" si="0"/>
        <v>6</v>
      </c>
      <c r="O31" s="170"/>
      <c r="P31" s="191" t="s">
        <v>358</v>
      </c>
      <c r="Q31" s="192"/>
      <c r="R31" s="192"/>
      <c r="S31" s="192"/>
      <c r="T31" s="192"/>
      <c r="U31" s="193"/>
    </row>
    <row r="32" spans="1:21" ht="15.75" customHeight="1">
      <c r="A32" s="85"/>
      <c r="B32" s="37">
        <f>ROW()-13</f>
        <v>19</v>
      </c>
      <c r="C32" s="145" t="s">
        <v>412</v>
      </c>
      <c r="D32" s="80"/>
      <c r="E32" s="81"/>
      <c r="F32" s="146"/>
      <c r="G32" s="17"/>
      <c r="H32" s="18" t="s">
        <v>51</v>
      </c>
      <c r="I32" s="59"/>
      <c r="J32" s="19">
        <v>10</v>
      </c>
      <c r="K32" s="19"/>
      <c r="L32" s="50"/>
      <c r="M32" s="73" t="s">
        <v>21</v>
      </c>
      <c r="N32" s="54">
        <f t="shared" si="0"/>
        <v>10</v>
      </c>
      <c r="O32" s="170"/>
      <c r="P32" s="191"/>
      <c r="Q32" s="192"/>
      <c r="R32" s="192"/>
      <c r="S32" s="192"/>
      <c r="T32" s="192"/>
      <c r="U32" s="193"/>
    </row>
    <row r="33" spans="1:21" ht="15.75" customHeight="1">
      <c r="A33" s="85"/>
      <c r="B33" s="37">
        <f>ROW()-13</f>
        <v>20</v>
      </c>
      <c r="C33" s="145" t="s">
        <v>413</v>
      </c>
      <c r="D33" s="80"/>
      <c r="E33" s="81"/>
      <c r="F33" s="146"/>
      <c r="G33" s="17"/>
      <c r="H33" s="18" t="s">
        <v>51</v>
      </c>
      <c r="I33" s="59"/>
      <c r="J33" s="19">
        <v>10</v>
      </c>
      <c r="K33" s="19"/>
      <c r="L33" s="50"/>
      <c r="M33" s="73" t="s">
        <v>21</v>
      </c>
      <c r="N33" s="54">
        <f t="shared" si="0"/>
        <v>10</v>
      </c>
      <c r="O33" s="170"/>
      <c r="P33" s="191"/>
      <c r="Q33" s="192"/>
      <c r="R33" s="192"/>
      <c r="S33" s="192"/>
      <c r="T33" s="192"/>
      <c r="U33" s="193"/>
    </row>
    <row r="34" spans="1:21" ht="15.75">
      <c r="A34" s="85"/>
      <c r="B34" s="37">
        <f t="shared" ref="B34:B40" si="1">ROW()-13</f>
        <v>21</v>
      </c>
      <c r="C34" s="107" t="s">
        <v>36</v>
      </c>
      <c r="D34" s="107"/>
      <c r="E34" s="108"/>
      <c r="F34" s="109" t="s">
        <v>78</v>
      </c>
      <c r="G34" s="110"/>
      <c r="H34" s="18" t="s">
        <v>51</v>
      </c>
      <c r="I34" s="59"/>
      <c r="J34" s="113">
        <v>12</v>
      </c>
      <c r="K34" s="113"/>
      <c r="L34" s="114"/>
      <c r="M34" s="115" t="s">
        <v>35</v>
      </c>
      <c r="N34" s="116">
        <f t="shared" si="0"/>
        <v>12</v>
      </c>
      <c r="O34" s="171"/>
      <c r="P34" s="197"/>
      <c r="Q34" s="198"/>
      <c r="R34" s="198"/>
      <c r="S34" s="198"/>
      <c r="T34" s="198"/>
      <c r="U34" s="199"/>
    </row>
    <row r="35" spans="1:21" ht="15.75">
      <c r="A35" s="85"/>
      <c r="B35" s="37">
        <f t="shared" si="1"/>
        <v>22</v>
      </c>
      <c r="C35" s="107" t="s">
        <v>37</v>
      </c>
      <c r="D35" s="107"/>
      <c r="E35" s="108"/>
      <c r="F35" s="109" t="s">
        <v>43</v>
      </c>
      <c r="G35" s="110"/>
      <c r="H35" s="18" t="s">
        <v>51</v>
      </c>
      <c r="I35" s="59"/>
      <c r="J35" s="113">
        <v>10</v>
      </c>
      <c r="K35" s="113"/>
      <c r="L35" s="114"/>
      <c r="M35" s="115" t="s">
        <v>21</v>
      </c>
      <c r="N35" s="116">
        <f t="shared" si="0"/>
        <v>10</v>
      </c>
      <c r="O35" s="171"/>
      <c r="P35" s="197"/>
      <c r="Q35" s="198"/>
      <c r="R35" s="198"/>
      <c r="S35" s="198"/>
      <c r="T35" s="198"/>
      <c r="U35" s="199"/>
    </row>
    <row r="36" spans="1:21" ht="15.75">
      <c r="A36" s="85"/>
      <c r="B36" s="37">
        <f t="shared" si="1"/>
        <v>23</v>
      </c>
      <c r="C36" s="107" t="s">
        <v>38</v>
      </c>
      <c r="D36" s="107"/>
      <c r="E36" s="108"/>
      <c r="F36" s="109" t="s">
        <v>80</v>
      </c>
      <c r="G36" s="110"/>
      <c r="H36" s="18" t="s">
        <v>86</v>
      </c>
      <c r="I36" s="59"/>
      <c r="J36" s="113"/>
      <c r="K36" s="113"/>
      <c r="L36" s="114"/>
      <c r="M36" s="115" t="s">
        <v>21</v>
      </c>
      <c r="N36" s="116">
        <f t="shared" si="0"/>
        <v>0</v>
      </c>
      <c r="O36" s="171"/>
      <c r="P36" s="197"/>
      <c r="Q36" s="198"/>
      <c r="R36" s="198"/>
      <c r="S36" s="198"/>
      <c r="T36" s="198"/>
      <c r="U36" s="199"/>
    </row>
    <row r="37" spans="1:21" ht="15.75">
      <c r="A37" s="85"/>
      <c r="B37" s="37">
        <f t="shared" si="1"/>
        <v>24</v>
      </c>
      <c r="C37" s="107" t="s">
        <v>39</v>
      </c>
      <c r="D37" s="107"/>
      <c r="E37" s="108"/>
      <c r="F37" s="109" t="s">
        <v>79</v>
      </c>
      <c r="G37" s="110"/>
      <c r="H37" s="18" t="s">
        <v>51</v>
      </c>
      <c r="I37" s="59"/>
      <c r="J37" s="113">
        <v>12</v>
      </c>
      <c r="K37" s="113"/>
      <c r="L37" s="114"/>
      <c r="M37" s="115" t="s">
        <v>35</v>
      </c>
      <c r="N37" s="116">
        <f t="shared" si="0"/>
        <v>12</v>
      </c>
      <c r="O37" s="171"/>
      <c r="P37" s="197"/>
      <c r="Q37" s="198"/>
      <c r="R37" s="198"/>
      <c r="S37" s="198"/>
      <c r="T37" s="198"/>
      <c r="U37" s="199"/>
    </row>
    <row r="38" spans="1:21" ht="15.75">
      <c r="A38" s="85"/>
      <c r="B38" s="37">
        <f t="shared" si="1"/>
        <v>25</v>
      </c>
      <c r="C38" s="107" t="s">
        <v>40</v>
      </c>
      <c r="D38" s="107"/>
      <c r="E38" s="108"/>
      <c r="F38" s="109" t="s">
        <v>44</v>
      </c>
      <c r="G38" s="110"/>
      <c r="H38" s="18" t="s">
        <v>51</v>
      </c>
      <c r="I38" s="59"/>
      <c r="J38" s="113">
        <v>10</v>
      </c>
      <c r="K38" s="113"/>
      <c r="L38" s="114"/>
      <c r="M38" s="115" t="s">
        <v>21</v>
      </c>
      <c r="N38" s="116">
        <f t="shared" si="0"/>
        <v>10</v>
      </c>
      <c r="O38" s="171"/>
      <c r="P38" s="197"/>
      <c r="Q38" s="198"/>
      <c r="R38" s="198"/>
      <c r="S38" s="198"/>
      <c r="T38" s="198"/>
      <c r="U38" s="199"/>
    </row>
    <row r="39" spans="1:21" ht="15.75">
      <c r="A39" s="85"/>
      <c r="B39" s="37">
        <f t="shared" si="1"/>
        <v>26</v>
      </c>
      <c r="C39" s="107" t="s">
        <v>41</v>
      </c>
      <c r="D39" s="107"/>
      <c r="E39" s="108"/>
      <c r="F39" s="109" t="s">
        <v>81</v>
      </c>
      <c r="G39" s="110"/>
      <c r="H39" s="18" t="s">
        <v>86</v>
      </c>
      <c r="I39" s="59"/>
      <c r="J39" s="113"/>
      <c r="K39" s="113"/>
      <c r="L39" s="114"/>
      <c r="M39" s="115" t="s">
        <v>21</v>
      </c>
      <c r="N39" s="116">
        <f t="shared" si="0"/>
        <v>0</v>
      </c>
      <c r="O39" s="171"/>
      <c r="P39" s="197"/>
      <c r="Q39" s="198"/>
      <c r="R39" s="198"/>
      <c r="S39" s="198"/>
      <c r="T39" s="198"/>
      <c r="U39" s="199"/>
    </row>
    <row r="40" spans="1:21" ht="15.75">
      <c r="A40" s="85"/>
      <c r="B40" s="37">
        <f t="shared" si="1"/>
        <v>27</v>
      </c>
      <c r="C40" s="80" t="s">
        <v>46</v>
      </c>
      <c r="D40" s="80"/>
      <c r="E40" s="81"/>
      <c r="F40" s="84" t="s">
        <v>71</v>
      </c>
      <c r="G40" s="17"/>
      <c r="H40" s="18" t="s">
        <v>62</v>
      </c>
      <c r="I40" s="59"/>
      <c r="J40" s="19">
        <v>8</v>
      </c>
      <c r="K40" s="19"/>
      <c r="L40" s="50" t="s">
        <v>47</v>
      </c>
      <c r="M40" s="73" t="s">
        <v>35</v>
      </c>
      <c r="N40" s="54">
        <f t="shared" si="0"/>
        <v>8</v>
      </c>
      <c r="O40" s="170">
        <v>0</v>
      </c>
      <c r="P40" s="191" t="s">
        <v>48</v>
      </c>
      <c r="Q40" s="192"/>
      <c r="R40" s="192"/>
      <c r="S40" s="192"/>
      <c r="T40" s="192"/>
      <c r="U40" s="193"/>
    </row>
    <row r="41" spans="1:21" ht="16.5" thickBot="1">
      <c r="A41" s="118"/>
      <c r="B41" s="119"/>
      <c r="C41" s="120"/>
      <c r="D41" s="120"/>
      <c r="E41" s="121"/>
      <c r="F41" s="129"/>
      <c r="G41" s="122"/>
      <c r="H41" s="147"/>
      <c r="I41" s="148"/>
      <c r="J41" s="125"/>
      <c r="K41" s="125"/>
      <c r="L41" s="126"/>
      <c r="M41" s="126"/>
      <c r="N41" s="127"/>
      <c r="O41" s="172"/>
      <c r="P41" s="194"/>
      <c r="Q41" s="195"/>
      <c r="R41" s="195"/>
      <c r="S41" s="195"/>
      <c r="T41" s="195"/>
      <c r="U41" s="196"/>
    </row>
  </sheetData>
  <mergeCells count="58">
    <mergeCell ref="P40:U40"/>
    <mergeCell ref="P41:U41"/>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2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072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072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072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072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072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A0130C9-F4E3-4D1F-A45E-DE09E4A9DDD2}">
            <xm:f>(AND(H14&lt;&gt;"",ISERROR(VLOOKUP(H14,system!$E:$E,1,FALSE))))</xm:f>
            <x14:dxf>
              <fill>
                <patternFill patternType="solid">
                  <bgColor rgb="FFFF0000"/>
                </patternFill>
              </fill>
            </x14:dxf>
          </x14:cfRule>
          <xm:sqref>H14:H33</xm:sqref>
        </x14:conditionalFormatting>
        <x14:conditionalFormatting xmlns:xm="http://schemas.microsoft.com/office/excel/2006/main">
          <x14:cfRule type="expression" priority="3" id="{2405B1C6-E434-4F08-A112-B54213A589E5}">
            <xm:f>(AND(H14&lt;&gt;"",ISERROR(VLOOKUP(H14,system!$E:$E,1,FALSE))))</xm:f>
            <x14:dxf>
              <fill>
                <patternFill>
                  <bgColor rgb="FFFF0000"/>
                </patternFill>
              </fill>
            </x14:dxf>
          </x14:cfRule>
          <xm:sqref>I14:I33</xm:sqref>
        </x14:conditionalFormatting>
        <x14:conditionalFormatting xmlns:xm="http://schemas.microsoft.com/office/excel/2006/main">
          <x14:cfRule type="expression" priority="2" id="{6E94225D-A220-4447-B14A-254D05F192CB}">
            <xm:f>(AND(H34&lt;&gt;"",ISERROR(VLOOKUP(H34,system!$E:$E,1,FALSE))))</xm:f>
            <x14:dxf>
              <fill>
                <patternFill patternType="solid">
                  <bgColor rgb="FFFF0000"/>
                </patternFill>
              </fill>
            </x14:dxf>
          </x14:cfRule>
          <xm:sqref>H34:H41</xm:sqref>
        </x14:conditionalFormatting>
        <x14:conditionalFormatting xmlns:xm="http://schemas.microsoft.com/office/excel/2006/main">
          <x14:cfRule type="expression" priority="1" id="{0CB9E1A4-ECA1-4A69-829A-4CBBAE67BB70}">
            <xm:f>(AND(H34&lt;&gt;"",ISERROR(VLOOKUP(H34,system!$E:$E,1,FALSE))))</xm:f>
            <x14:dxf>
              <fill>
                <patternFill>
                  <bgColor rgb="FFFF0000"/>
                </patternFill>
              </fill>
            </x14:dxf>
          </x14:cfRule>
          <xm:sqref>I34:I41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U40"/>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428</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129</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SUM(N14:N41)</f>
        <v>253</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429</v>
      </c>
      <c r="D14" s="80"/>
      <c r="E14" s="81"/>
      <c r="F14" s="146"/>
      <c r="G14" s="17"/>
      <c r="H14" s="18" t="s">
        <v>208</v>
      </c>
      <c r="I14" s="59"/>
      <c r="J14" s="19"/>
      <c r="K14" s="19"/>
      <c r="L14" s="50"/>
      <c r="M14" s="73" t="s">
        <v>21</v>
      </c>
      <c r="N14" s="54">
        <f t="shared" ref="N14:N39" si="0">IF(H14="NUMBER",IF(J14&gt;0,INT((J14+1)/2+0.9),0),IF(H14="DATE",7,IF(OR(H14="LONG",H14="LONG RAW"),100000,J14)))</f>
        <v>0</v>
      </c>
      <c r="O14" s="170"/>
      <c r="P14" s="191" t="s">
        <v>430</v>
      </c>
      <c r="Q14" s="192"/>
      <c r="R14" s="192"/>
      <c r="S14" s="192"/>
      <c r="T14" s="192"/>
      <c r="U14" s="193"/>
    </row>
    <row r="15" spans="1:21" ht="15.75" customHeight="1">
      <c r="A15" s="85"/>
      <c r="B15" s="37">
        <f>ROW()-13</f>
        <v>2</v>
      </c>
      <c r="C15" s="145" t="s">
        <v>261</v>
      </c>
      <c r="D15" s="80"/>
      <c r="E15" s="81"/>
      <c r="F15" s="146"/>
      <c r="G15" s="17"/>
      <c r="H15" s="18" t="s">
        <v>49</v>
      </c>
      <c r="I15" s="59"/>
      <c r="J15" s="19">
        <v>1</v>
      </c>
      <c r="K15" s="19"/>
      <c r="L15" s="50" t="s">
        <v>190</v>
      </c>
      <c r="M15" s="73" t="s">
        <v>21</v>
      </c>
      <c r="N15" s="54">
        <f t="shared" si="0"/>
        <v>1</v>
      </c>
      <c r="O15" s="170"/>
      <c r="P15" s="191"/>
      <c r="Q15" s="192"/>
      <c r="R15" s="192"/>
      <c r="S15" s="192"/>
      <c r="T15" s="192"/>
      <c r="U15" s="193"/>
    </row>
    <row r="16" spans="1:21" ht="15.75" customHeight="1">
      <c r="A16" s="85"/>
      <c r="B16" s="37">
        <f>ROW()-13</f>
        <v>3</v>
      </c>
      <c r="C16" s="145" t="s">
        <v>431</v>
      </c>
      <c r="D16" s="80"/>
      <c r="E16" s="81"/>
      <c r="F16" s="146"/>
      <c r="G16" s="17"/>
      <c r="H16" s="18" t="s">
        <v>51</v>
      </c>
      <c r="I16" s="59"/>
      <c r="J16" s="19">
        <v>14</v>
      </c>
      <c r="K16" s="19"/>
      <c r="L16" s="50" t="s">
        <v>190</v>
      </c>
      <c r="M16" s="73" t="s">
        <v>21</v>
      </c>
      <c r="N16" s="54">
        <f t="shared" si="0"/>
        <v>14</v>
      </c>
      <c r="O16" s="170"/>
      <c r="P16" s="191"/>
      <c r="Q16" s="192"/>
      <c r="R16" s="192"/>
      <c r="S16" s="192"/>
      <c r="T16" s="192"/>
      <c r="U16" s="193"/>
    </row>
    <row r="17" spans="1:21" ht="15.75" customHeight="1">
      <c r="A17" s="85"/>
      <c r="B17" s="37">
        <f>ROW()-13</f>
        <v>4</v>
      </c>
      <c r="C17" s="145" t="s">
        <v>196</v>
      </c>
      <c r="D17" s="80"/>
      <c r="E17" s="81"/>
      <c r="F17" s="146"/>
      <c r="G17" s="17"/>
      <c r="H17" s="18" t="s">
        <v>49</v>
      </c>
      <c r="I17" s="59"/>
      <c r="J17" s="19">
        <v>12</v>
      </c>
      <c r="K17" s="19"/>
      <c r="L17" s="50" t="s">
        <v>190</v>
      </c>
      <c r="M17" s="73" t="s">
        <v>21</v>
      </c>
      <c r="N17" s="54">
        <f t="shared" si="0"/>
        <v>12</v>
      </c>
      <c r="O17" s="170"/>
      <c r="P17" s="191"/>
      <c r="Q17" s="192"/>
      <c r="R17" s="192"/>
      <c r="S17" s="192"/>
      <c r="T17" s="192"/>
      <c r="U17" s="193"/>
    </row>
    <row r="18" spans="1:21" ht="15.75" customHeight="1">
      <c r="A18" s="85"/>
      <c r="B18" s="37">
        <f>ROW()-13</f>
        <v>5</v>
      </c>
      <c r="C18" s="145" t="s">
        <v>198</v>
      </c>
      <c r="D18" s="80"/>
      <c r="E18" s="81"/>
      <c r="F18" s="146"/>
      <c r="G18" s="17"/>
      <c r="H18" s="18" t="s">
        <v>51</v>
      </c>
      <c r="I18" s="59"/>
      <c r="J18" s="19">
        <v>25</v>
      </c>
      <c r="K18" s="19"/>
      <c r="L18" s="50" t="s">
        <v>190</v>
      </c>
      <c r="M18" s="73" t="s">
        <v>21</v>
      </c>
      <c r="N18" s="54">
        <f t="shared" si="0"/>
        <v>25</v>
      </c>
      <c r="O18" s="170"/>
      <c r="P18" s="191"/>
      <c r="Q18" s="192"/>
      <c r="R18" s="192"/>
      <c r="S18" s="192"/>
      <c r="T18" s="192"/>
      <c r="U18" s="193"/>
    </row>
    <row r="19" spans="1:21" ht="15.75" customHeight="1">
      <c r="A19" s="85"/>
      <c r="B19" s="37">
        <f>ROW()-13</f>
        <v>6</v>
      </c>
      <c r="C19" s="145" t="s">
        <v>200</v>
      </c>
      <c r="D19" s="80"/>
      <c r="E19" s="81"/>
      <c r="F19" s="146"/>
      <c r="G19" s="17"/>
      <c r="H19" s="18" t="s">
        <v>51</v>
      </c>
      <c r="I19" s="59"/>
      <c r="J19" s="19">
        <v>4</v>
      </c>
      <c r="K19" s="19"/>
      <c r="L19" s="50" t="s">
        <v>190</v>
      </c>
      <c r="M19" s="73" t="s">
        <v>21</v>
      </c>
      <c r="N19" s="54">
        <f t="shared" si="0"/>
        <v>4</v>
      </c>
      <c r="O19" s="170"/>
      <c r="P19" s="191" t="s">
        <v>202</v>
      </c>
      <c r="Q19" s="192"/>
      <c r="R19" s="192"/>
      <c r="S19" s="192"/>
      <c r="T19" s="192"/>
      <c r="U19" s="193"/>
    </row>
    <row r="20" spans="1:21" ht="62.85" customHeight="1">
      <c r="A20" s="85"/>
      <c r="B20" s="37">
        <f>ROW()-13</f>
        <v>7</v>
      </c>
      <c r="C20" s="145" t="s">
        <v>203</v>
      </c>
      <c r="D20" s="80"/>
      <c r="E20" s="81"/>
      <c r="F20" s="146"/>
      <c r="G20" s="17"/>
      <c r="H20" s="18" t="s">
        <v>49</v>
      </c>
      <c r="I20" s="59"/>
      <c r="J20" s="19">
        <v>1</v>
      </c>
      <c r="K20" s="19"/>
      <c r="L20" s="50" t="s">
        <v>190</v>
      </c>
      <c r="M20" s="73" t="s">
        <v>21</v>
      </c>
      <c r="N20" s="54">
        <f t="shared" si="0"/>
        <v>1</v>
      </c>
      <c r="O20" s="170"/>
      <c r="P20" s="251" t="s">
        <v>264</v>
      </c>
      <c r="Q20" s="192"/>
      <c r="R20" s="192"/>
      <c r="S20" s="192"/>
      <c r="T20" s="192"/>
      <c r="U20" s="193"/>
    </row>
    <row r="21" spans="1:21" ht="15.75" customHeight="1">
      <c r="A21" s="85"/>
      <c r="B21" s="37">
        <f>ROW()-13</f>
        <v>8</v>
      </c>
      <c r="C21" s="145" t="s">
        <v>194</v>
      </c>
      <c r="D21" s="80"/>
      <c r="E21" s="81"/>
      <c r="F21" s="146"/>
      <c r="G21" s="17"/>
      <c r="H21" s="18" t="s">
        <v>49</v>
      </c>
      <c r="I21" s="59"/>
      <c r="J21" s="19">
        <v>2</v>
      </c>
      <c r="K21" s="19"/>
      <c r="L21" s="50"/>
      <c r="M21" s="73" t="s">
        <v>21</v>
      </c>
      <c r="N21" s="54">
        <f t="shared" si="0"/>
        <v>2</v>
      </c>
      <c r="O21" s="170"/>
      <c r="P21" s="191" t="s">
        <v>155</v>
      </c>
      <c r="Q21" s="192"/>
      <c r="R21" s="192"/>
      <c r="S21" s="192"/>
      <c r="T21" s="192"/>
      <c r="U21" s="193"/>
    </row>
    <row r="22" spans="1:21" ht="27.6" customHeight="1">
      <c r="A22" s="85"/>
      <c r="B22" s="37">
        <f>ROW()-13</f>
        <v>9</v>
      </c>
      <c r="C22" s="145" t="s">
        <v>418</v>
      </c>
      <c r="D22" s="80"/>
      <c r="E22" s="81"/>
      <c r="F22" s="146"/>
      <c r="G22" s="17"/>
      <c r="H22" s="18" t="s">
        <v>49</v>
      </c>
      <c r="I22" s="59"/>
      <c r="J22" s="19">
        <v>1</v>
      </c>
      <c r="K22" s="19"/>
      <c r="L22" s="50"/>
      <c r="M22" s="73" t="s">
        <v>21</v>
      </c>
      <c r="N22" s="54">
        <f t="shared" si="0"/>
        <v>1</v>
      </c>
      <c r="O22" s="170"/>
      <c r="P22" s="251" t="s">
        <v>419</v>
      </c>
      <c r="Q22" s="192"/>
      <c r="R22" s="192"/>
      <c r="S22" s="192"/>
      <c r="T22" s="192"/>
      <c r="U22" s="193"/>
    </row>
    <row r="23" spans="1:21" ht="15.75" customHeight="1">
      <c r="A23" s="85"/>
      <c r="B23" s="37">
        <f>ROW()-13</f>
        <v>10</v>
      </c>
      <c r="C23" s="145" t="s">
        <v>432</v>
      </c>
      <c r="D23" s="80"/>
      <c r="E23" s="81"/>
      <c r="F23" s="146"/>
      <c r="G23" s="17"/>
      <c r="H23" s="18" t="s">
        <v>24</v>
      </c>
      <c r="I23" s="59"/>
      <c r="J23" s="19"/>
      <c r="K23" s="19"/>
      <c r="L23" s="50"/>
      <c r="M23" s="73" t="s">
        <v>21</v>
      </c>
      <c r="N23" s="54">
        <f t="shared" si="0"/>
        <v>7</v>
      </c>
      <c r="O23" s="170"/>
      <c r="P23" s="191"/>
      <c r="Q23" s="192"/>
      <c r="R23" s="192"/>
      <c r="S23" s="192"/>
      <c r="T23" s="192"/>
      <c r="U23" s="193"/>
    </row>
    <row r="24" spans="1:21" ht="74.45" customHeight="1">
      <c r="A24" s="85"/>
      <c r="B24" s="37">
        <f>ROW()-13</f>
        <v>11</v>
      </c>
      <c r="C24" s="145" t="s">
        <v>433</v>
      </c>
      <c r="D24" s="80"/>
      <c r="E24" s="81"/>
      <c r="F24" s="146"/>
      <c r="G24" s="17"/>
      <c r="H24" s="18" t="s">
        <v>49</v>
      </c>
      <c r="I24" s="59"/>
      <c r="J24" s="19">
        <v>1</v>
      </c>
      <c r="K24" s="19"/>
      <c r="L24" s="50"/>
      <c r="M24" s="73" t="s">
        <v>21</v>
      </c>
      <c r="N24" s="54">
        <f t="shared" si="0"/>
        <v>1</v>
      </c>
      <c r="O24" s="170"/>
      <c r="P24" s="251" t="s">
        <v>434</v>
      </c>
      <c r="Q24" s="192"/>
      <c r="R24" s="192"/>
      <c r="S24" s="192"/>
      <c r="T24" s="192"/>
      <c r="U24" s="193"/>
    </row>
    <row r="25" spans="1:21" ht="15.75" customHeight="1">
      <c r="A25" s="85"/>
      <c r="B25" s="37">
        <f>ROW()-13</f>
        <v>12</v>
      </c>
      <c r="C25" s="145" t="s">
        <v>435</v>
      </c>
      <c r="D25" s="80"/>
      <c r="E25" s="81"/>
      <c r="F25" s="146"/>
      <c r="G25" s="17"/>
      <c r="H25" s="18" t="s">
        <v>49</v>
      </c>
      <c r="I25" s="59"/>
      <c r="J25" s="19">
        <v>1</v>
      </c>
      <c r="K25" s="19"/>
      <c r="L25" s="50"/>
      <c r="M25" s="73" t="s">
        <v>21</v>
      </c>
      <c r="N25" s="54">
        <f t="shared" si="0"/>
        <v>1</v>
      </c>
      <c r="O25" s="170"/>
      <c r="P25" s="191" t="s">
        <v>436</v>
      </c>
      <c r="Q25" s="192"/>
      <c r="R25" s="192"/>
      <c r="S25" s="192"/>
      <c r="T25" s="192"/>
      <c r="U25" s="193"/>
    </row>
    <row r="26" spans="1:21" ht="15.75" customHeight="1">
      <c r="A26" s="85"/>
      <c r="B26" s="37">
        <f>ROW()-13</f>
        <v>13</v>
      </c>
      <c r="C26" s="145" t="s">
        <v>277</v>
      </c>
      <c r="D26" s="80"/>
      <c r="E26" s="81"/>
      <c r="F26" s="146"/>
      <c r="G26" s="17"/>
      <c r="H26" s="18" t="s">
        <v>51</v>
      </c>
      <c r="I26" s="59"/>
      <c r="J26" s="19">
        <v>100</v>
      </c>
      <c r="K26" s="19"/>
      <c r="L26" s="50"/>
      <c r="M26" s="73" t="s">
        <v>21</v>
      </c>
      <c r="N26" s="54">
        <f t="shared" si="0"/>
        <v>100</v>
      </c>
      <c r="O26" s="170"/>
      <c r="P26" s="191" t="s">
        <v>437</v>
      </c>
      <c r="Q26" s="192"/>
      <c r="R26" s="192"/>
      <c r="S26" s="192"/>
      <c r="T26" s="192"/>
      <c r="U26" s="193"/>
    </row>
    <row r="27" spans="1:21" ht="15.75" customHeight="1">
      <c r="A27" s="85"/>
      <c r="B27" s="37">
        <f>ROW()-13</f>
        <v>14</v>
      </c>
      <c r="C27" s="145" t="s">
        <v>408</v>
      </c>
      <c r="D27" s="80"/>
      <c r="E27" s="81"/>
      <c r="F27" s="146"/>
      <c r="G27" s="17"/>
      <c r="H27" s="18" t="s">
        <v>86</v>
      </c>
      <c r="I27" s="59"/>
      <c r="J27" s="19"/>
      <c r="K27" s="19"/>
      <c r="L27" s="50"/>
      <c r="M27" s="73" t="s">
        <v>21</v>
      </c>
      <c r="N27" s="54">
        <f t="shared" si="0"/>
        <v>0</v>
      </c>
      <c r="O27" s="170"/>
      <c r="P27" s="191"/>
      <c r="Q27" s="192"/>
      <c r="R27" s="192"/>
      <c r="S27" s="192"/>
      <c r="T27" s="192"/>
      <c r="U27" s="193"/>
    </row>
    <row r="28" spans="1:21" ht="15.75" customHeight="1">
      <c r="A28" s="85"/>
      <c r="B28" s="37">
        <f>ROW()-13</f>
        <v>15</v>
      </c>
      <c r="C28" s="145" t="s">
        <v>409</v>
      </c>
      <c r="D28" s="80"/>
      <c r="E28" s="81"/>
      <c r="F28" s="146"/>
      <c r="G28" s="17"/>
      <c r="H28" s="18" t="s">
        <v>51</v>
      </c>
      <c r="I28" s="59"/>
      <c r="J28" s="19">
        <v>6</v>
      </c>
      <c r="K28" s="19"/>
      <c r="L28" s="50"/>
      <c r="M28" s="73" t="s">
        <v>21</v>
      </c>
      <c r="N28" s="54">
        <f t="shared" si="0"/>
        <v>6</v>
      </c>
      <c r="O28" s="170"/>
      <c r="P28" s="191" t="s">
        <v>358</v>
      </c>
      <c r="Q28" s="192"/>
      <c r="R28" s="192"/>
      <c r="S28" s="192"/>
      <c r="T28" s="192"/>
      <c r="U28" s="193"/>
    </row>
    <row r="29" spans="1:21" ht="15.75" customHeight="1">
      <c r="A29" s="85"/>
      <c r="B29" s="37">
        <f>ROW()-13</f>
        <v>16</v>
      </c>
      <c r="C29" s="145" t="s">
        <v>410</v>
      </c>
      <c r="D29" s="80"/>
      <c r="E29" s="81"/>
      <c r="F29" s="146"/>
      <c r="G29" s="17"/>
      <c r="H29" s="18" t="s">
        <v>86</v>
      </c>
      <c r="I29" s="59"/>
      <c r="J29" s="19"/>
      <c r="K29" s="19"/>
      <c r="L29" s="50"/>
      <c r="M29" s="73" t="s">
        <v>21</v>
      </c>
      <c r="N29" s="54">
        <f t="shared" si="0"/>
        <v>0</v>
      </c>
      <c r="O29" s="170"/>
      <c r="P29" s="191"/>
      <c r="Q29" s="192"/>
      <c r="R29" s="192"/>
      <c r="S29" s="192"/>
      <c r="T29" s="192"/>
      <c r="U29" s="193"/>
    </row>
    <row r="30" spans="1:21" ht="15.75" customHeight="1">
      <c r="A30" s="85"/>
      <c r="B30" s="37">
        <f>ROW()-13</f>
        <v>17</v>
      </c>
      <c r="C30" s="145" t="s">
        <v>411</v>
      </c>
      <c r="D30" s="80"/>
      <c r="E30" s="81"/>
      <c r="F30" s="146"/>
      <c r="G30" s="17"/>
      <c r="H30" s="18" t="s">
        <v>51</v>
      </c>
      <c r="I30" s="59"/>
      <c r="J30" s="19">
        <v>6</v>
      </c>
      <c r="K30" s="19"/>
      <c r="L30" s="50"/>
      <c r="M30" s="73" t="s">
        <v>21</v>
      </c>
      <c r="N30" s="54">
        <f t="shared" si="0"/>
        <v>6</v>
      </c>
      <c r="O30" s="170"/>
      <c r="P30" s="191" t="s">
        <v>358</v>
      </c>
      <c r="Q30" s="192"/>
      <c r="R30" s="192"/>
      <c r="S30" s="192"/>
      <c r="T30" s="192"/>
      <c r="U30" s="193"/>
    </row>
    <row r="31" spans="1:21" ht="15.75" customHeight="1">
      <c r="A31" s="85"/>
      <c r="B31" s="37">
        <f>ROW()-13</f>
        <v>18</v>
      </c>
      <c r="C31" s="145" t="s">
        <v>412</v>
      </c>
      <c r="D31" s="80"/>
      <c r="E31" s="81"/>
      <c r="F31" s="146"/>
      <c r="G31" s="17"/>
      <c r="H31" s="18" t="s">
        <v>51</v>
      </c>
      <c r="I31" s="59"/>
      <c r="J31" s="19">
        <v>10</v>
      </c>
      <c r="K31" s="19"/>
      <c r="L31" s="50"/>
      <c r="M31" s="73" t="s">
        <v>21</v>
      </c>
      <c r="N31" s="54">
        <f t="shared" si="0"/>
        <v>10</v>
      </c>
      <c r="O31" s="170"/>
      <c r="P31" s="191"/>
      <c r="Q31" s="192"/>
      <c r="R31" s="192"/>
      <c r="S31" s="192"/>
      <c r="T31" s="192"/>
      <c r="U31" s="193"/>
    </row>
    <row r="32" spans="1:21" ht="15.75" customHeight="1">
      <c r="A32" s="85"/>
      <c r="B32" s="37">
        <f>ROW()-13</f>
        <v>19</v>
      </c>
      <c r="C32" s="145" t="s">
        <v>413</v>
      </c>
      <c r="D32" s="80"/>
      <c r="E32" s="81"/>
      <c r="F32" s="146"/>
      <c r="G32" s="17"/>
      <c r="H32" s="18" t="s">
        <v>51</v>
      </c>
      <c r="I32" s="59"/>
      <c r="J32" s="19">
        <v>10</v>
      </c>
      <c r="K32" s="19"/>
      <c r="L32" s="50"/>
      <c r="M32" s="73" t="s">
        <v>21</v>
      </c>
      <c r="N32" s="54">
        <f t="shared" si="0"/>
        <v>10</v>
      </c>
      <c r="O32" s="170"/>
      <c r="P32" s="191"/>
      <c r="Q32" s="192"/>
      <c r="R32" s="192"/>
      <c r="S32" s="192"/>
      <c r="T32" s="192"/>
      <c r="U32" s="193"/>
    </row>
    <row r="33" spans="1:21" ht="15.75">
      <c r="A33" s="85"/>
      <c r="B33" s="37">
        <f t="shared" ref="B33:B39" si="1">ROW()-13</f>
        <v>20</v>
      </c>
      <c r="C33" s="107" t="s">
        <v>36</v>
      </c>
      <c r="D33" s="107"/>
      <c r="E33" s="108"/>
      <c r="F33" s="109" t="s">
        <v>78</v>
      </c>
      <c r="G33" s="110"/>
      <c r="H33" s="18" t="s">
        <v>51</v>
      </c>
      <c r="I33" s="59"/>
      <c r="J33" s="113">
        <v>12</v>
      </c>
      <c r="K33" s="113"/>
      <c r="L33" s="114"/>
      <c r="M33" s="115" t="s">
        <v>35</v>
      </c>
      <c r="N33" s="116">
        <f t="shared" si="0"/>
        <v>12</v>
      </c>
      <c r="O33" s="171"/>
      <c r="P33" s="197"/>
      <c r="Q33" s="198"/>
      <c r="R33" s="198"/>
      <c r="S33" s="198"/>
      <c r="T33" s="198"/>
      <c r="U33" s="199"/>
    </row>
    <row r="34" spans="1:21" ht="15.75">
      <c r="A34" s="85"/>
      <c r="B34" s="37">
        <f t="shared" si="1"/>
        <v>21</v>
      </c>
      <c r="C34" s="107" t="s">
        <v>37</v>
      </c>
      <c r="D34" s="107"/>
      <c r="E34" s="108"/>
      <c r="F34" s="109" t="s">
        <v>43</v>
      </c>
      <c r="G34" s="110"/>
      <c r="H34" s="18" t="s">
        <v>51</v>
      </c>
      <c r="I34" s="59"/>
      <c r="J34" s="113">
        <v>10</v>
      </c>
      <c r="K34" s="113"/>
      <c r="L34" s="114"/>
      <c r="M34" s="115" t="s">
        <v>21</v>
      </c>
      <c r="N34" s="116">
        <f t="shared" si="0"/>
        <v>10</v>
      </c>
      <c r="O34" s="171"/>
      <c r="P34" s="197"/>
      <c r="Q34" s="198"/>
      <c r="R34" s="198"/>
      <c r="S34" s="198"/>
      <c r="T34" s="198"/>
      <c r="U34" s="199"/>
    </row>
    <row r="35" spans="1:21" ht="15.75">
      <c r="A35" s="85"/>
      <c r="B35" s="37">
        <f t="shared" si="1"/>
        <v>22</v>
      </c>
      <c r="C35" s="107" t="s">
        <v>38</v>
      </c>
      <c r="D35" s="107"/>
      <c r="E35" s="108"/>
      <c r="F35" s="109" t="s">
        <v>80</v>
      </c>
      <c r="G35" s="110"/>
      <c r="H35" s="18" t="s">
        <v>86</v>
      </c>
      <c r="I35" s="59"/>
      <c r="J35" s="113"/>
      <c r="K35" s="113"/>
      <c r="L35" s="114"/>
      <c r="M35" s="115" t="s">
        <v>21</v>
      </c>
      <c r="N35" s="116">
        <f t="shared" si="0"/>
        <v>0</v>
      </c>
      <c r="O35" s="171"/>
      <c r="P35" s="197"/>
      <c r="Q35" s="198"/>
      <c r="R35" s="198"/>
      <c r="S35" s="198"/>
      <c r="T35" s="198"/>
      <c r="U35" s="199"/>
    </row>
    <row r="36" spans="1:21" ht="15.75">
      <c r="A36" s="85"/>
      <c r="B36" s="37">
        <f t="shared" si="1"/>
        <v>23</v>
      </c>
      <c r="C36" s="107" t="s">
        <v>39</v>
      </c>
      <c r="D36" s="107"/>
      <c r="E36" s="108"/>
      <c r="F36" s="109" t="s">
        <v>79</v>
      </c>
      <c r="G36" s="110"/>
      <c r="H36" s="18" t="s">
        <v>51</v>
      </c>
      <c r="I36" s="59"/>
      <c r="J36" s="113">
        <v>12</v>
      </c>
      <c r="K36" s="113"/>
      <c r="L36" s="114"/>
      <c r="M36" s="115" t="s">
        <v>35</v>
      </c>
      <c r="N36" s="116">
        <f t="shared" si="0"/>
        <v>12</v>
      </c>
      <c r="O36" s="171"/>
      <c r="P36" s="197"/>
      <c r="Q36" s="198"/>
      <c r="R36" s="198"/>
      <c r="S36" s="198"/>
      <c r="T36" s="198"/>
      <c r="U36" s="199"/>
    </row>
    <row r="37" spans="1:21" ht="15.75">
      <c r="A37" s="85"/>
      <c r="B37" s="37">
        <f t="shared" si="1"/>
        <v>24</v>
      </c>
      <c r="C37" s="107" t="s">
        <v>40</v>
      </c>
      <c r="D37" s="107"/>
      <c r="E37" s="108"/>
      <c r="F37" s="109" t="s">
        <v>44</v>
      </c>
      <c r="G37" s="110"/>
      <c r="H37" s="18" t="s">
        <v>51</v>
      </c>
      <c r="I37" s="59"/>
      <c r="J37" s="113">
        <v>10</v>
      </c>
      <c r="K37" s="113"/>
      <c r="L37" s="114"/>
      <c r="M37" s="115" t="s">
        <v>21</v>
      </c>
      <c r="N37" s="116">
        <f t="shared" si="0"/>
        <v>10</v>
      </c>
      <c r="O37" s="171"/>
      <c r="P37" s="197"/>
      <c r="Q37" s="198"/>
      <c r="R37" s="198"/>
      <c r="S37" s="198"/>
      <c r="T37" s="198"/>
      <c r="U37" s="199"/>
    </row>
    <row r="38" spans="1:21" ht="15.75">
      <c r="A38" s="85"/>
      <c r="B38" s="37">
        <f t="shared" si="1"/>
        <v>25</v>
      </c>
      <c r="C38" s="107" t="s">
        <v>41</v>
      </c>
      <c r="D38" s="107"/>
      <c r="E38" s="108"/>
      <c r="F38" s="109" t="s">
        <v>81</v>
      </c>
      <c r="G38" s="110"/>
      <c r="H38" s="18" t="s">
        <v>86</v>
      </c>
      <c r="I38" s="59"/>
      <c r="J38" s="113"/>
      <c r="K38" s="113"/>
      <c r="L38" s="114"/>
      <c r="M38" s="115" t="s">
        <v>21</v>
      </c>
      <c r="N38" s="116">
        <f t="shared" si="0"/>
        <v>0</v>
      </c>
      <c r="O38" s="171"/>
      <c r="P38" s="197"/>
      <c r="Q38" s="198"/>
      <c r="R38" s="198"/>
      <c r="S38" s="198"/>
      <c r="T38" s="198"/>
      <c r="U38" s="199"/>
    </row>
    <row r="39" spans="1:21" ht="15.75">
      <c r="A39" s="85"/>
      <c r="B39" s="37">
        <f t="shared" si="1"/>
        <v>26</v>
      </c>
      <c r="C39" s="80" t="s">
        <v>46</v>
      </c>
      <c r="D39" s="80"/>
      <c r="E39" s="81"/>
      <c r="F39" s="84" t="s">
        <v>71</v>
      </c>
      <c r="G39" s="17"/>
      <c r="H39" s="18" t="s">
        <v>62</v>
      </c>
      <c r="I39" s="59"/>
      <c r="J39" s="19">
        <v>8</v>
      </c>
      <c r="K39" s="19"/>
      <c r="L39" s="50" t="s">
        <v>47</v>
      </c>
      <c r="M39" s="73" t="s">
        <v>35</v>
      </c>
      <c r="N39" s="54">
        <f t="shared" si="0"/>
        <v>8</v>
      </c>
      <c r="O39" s="170">
        <v>0</v>
      </c>
      <c r="P39" s="191" t="s">
        <v>48</v>
      </c>
      <c r="Q39" s="192"/>
      <c r="R39" s="192"/>
      <c r="S39" s="192"/>
      <c r="T39" s="192"/>
      <c r="U39" s="193"/>
    </row>
    <row r="40" spans="1:21" ht="16.5" thickBot="1">
      <c r="A40" s="118"/>
      <c r="B40" s="119"/>
      <c r="C40" s="120"/>
      <c r="D40" s="120"/>
      <c r="E40" s="121"/>
      <c r="F40" s="129"/>
      <c r="G40" s="122"/>
      <c r="H40" s="147"/>
      <c r="I40" s="148"/>
      <c r="J40" s="125"/>
      <c r="K40" s="125"/>
      <c r="L40" s="126"/>
      <c r="M40" s="126"/>
      <c r="N40" s="127"/>
      <c r="O40" s="172"/>
      <c r="P40" s="194"/>
      <c r="Q40" s="195"/>
      <c r="R40" s="195"/>
      <c r="S40" s="195"/>
      <c r="T40" s="195"/>
      <c r="U40" s="196"/>
    </row>
  </sheetData>
  <mergeCells count="57">
    <mergeCell ref="P40:U40"/>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174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174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174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174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175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B5F6E3E8-BA88-45DA-A5F3-F4028F0D3F32}">
            <xm:f>(AND(H14&lt;&gt;"",ISERROR(VLOOKUP(H14,system!$E:$E,1,FALSE))))</xm:f>
            <x14:dxf>
              <fill>
                <patternFill patternType="solid">
                  <bgColor rgb="FFFF0000"/>
                </patternFill>
              </fill>
            </x14:dxf>
          </x14:cfRule>
          <xm:sqref>H14:H32</xm:sqref>
        </x14:conditionalFormatting>
        <x14:conditionalFormatting xmlns:xm="http://schemas.microsoft.com/office/excel/2006/main">
          <x14:cfRule type="expression" priority="3" id="{348BBAFD-F3C1-445A-B404-C494A6D73D9B}">
            <xm:f>(AND(H14&lt;&gt;"",ISERROR(VLOOKUP(H14,system!$E:$E,1,FALSE))))</xm:f>
            <x14:dxf>
              <fill>
                <patternFill>
                  <bgColor rgb="FFFF0000"/>
                </patternFill>
              </fill>
            </x14:dxf>
          </x14:cfRule>
          <xm:sqref>I14:I32</xm:sqref>
        </x14:conditionalFormatting>
        <x14:conditionalFormatting xmlns:xm="http://schemas.microsoft.com/office/excel/2006/main">
          <x14:cfRule type="expression" priority="2" id="{D2D71857-9DC1-412C-8090-D8D4449A89B4}">
            <xm:f>(AND(H33&lt;&gt;"",ISERROR(VLOOKUP(H33,system!$E:$E,1,FALSE))))</xm:f>
            <x14:dxf>
              <fill>
                <patternFill patternType="solid">
                  <bgColor rgb="FFFF0000"/>
                </patternFill>
              </fill>
            </x14:dxf>
          </x14:cfRule>
          <xm:sqref>H33:H40</xm:sqref>
        </x14:conditionalFormatting>
        <x14:conditionalFormatting xmlns:xm="http://schemas.microsoft.com/office/excel/2006/main">
          <x14:cfRule type="expression" priority="1" id="{A865D868-5958-4741-A643-F3C86A7B0B71}">
            <xm:f>(AND(H33&lt;&gt;"",ISERROR(VLOOKUP(H33,system!$E:$E,1,FALSE))))</xm:f>
            <x14:dxf>
              <fill>
                <patternFill>
                  <bgColor rgb="FFFF0000"/>
                </patternFill>
              </fill>
            </x14:dxf>
          </x14:cfRule>
          <xm:sqref>I33:I40</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A1:U38"/>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440</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131</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SUM(N14:N39)</f>
        <v>151</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261</v>
      </c>
      <c r="D14" s="80"/>
      <c r="E14" s="81"/>
      <c r="F14" s="146"/>
      <c r="G14" s="17"/>
      <c r="H14" s="18" t="s">
        <v>49</v>
      </c>
      <c r="I14" s="59"/>
      <c r="J14" s="19">
        <v>1</v>
      </c>
      <c r="K14" s="19"/>
      <c r="L14" s="50" t="s">
        <v>190</v>
      </c>
      <c r="M14" s="73" t="s">
        <v>21</v>
      </c>
      <c r="N14" s="54">
        <f t="shared" ref="N14:N37" si="0">IF(H14="NUMBER",IF(J14&gt;0,INT((J14+1)/2+0.9),0),IF(H14="DATE",7,IF(OR(H14="LONG",H14="LONG RAW"),100000,J14)))</f>
        <v>1</v>
      </c>
      <c r="O14" s="170"/>
      <c r="P14" s="191" t="s">
        <v>175</v>
      </c>
      <c r="Q14" s="192"/>
      <c r="R14" s="192"/>
      <c r="S14" s="192"/>
      <c r="T14" s="192"/>
      <c r="U14" s="193"/>
    </row>
    <row r="15" spans="1:21" ht="15.75" customHeight="1">
      <c r="A15" s="85" t="s">
        <v>191</v>
      </c>
      <c r="B15" s="37">
        <f>ROW()-13</f>
        <v>2</v>
      </c>
      <c r="C15" s="145" t="s">
        <v>400</v>
      </c>
      <c r="D15" s="80"/>
      <c r="E15" s="81"/>
      <c r="F15" s="146"/>
      <c r="G15" s="17"/>
      <c r="H15" s="18" t="s">
        <v>49</v>
      </c>
      <c r="I15" s="59"/>
      <c r="J15" s="19">
        <v>10</v>
      </c>
      <c r="K15" s="19"/>
      <c r="L15" s="50" t="s">
        <v>190</v>
      </c>
      <c r="M15" s="73" t="s">
        <v>21</v>
      </c>
      <c r="N15" s="54">
        <f t="shared" si="0"/>
        <v>10</v>
      </c>
      <c r="O15" s="170"/>
      <c r="P15" s="191"/>
      <c r="Q15" s="192"/>
      <c r="R15" s="192"/>
      <c r="S15" s="192"/>
      <c r="T15" s="192"/>
      <c r="U15" s="193"/>
    </row>
    <row r="16" spans="1:21" ht="15.75" customHeight="1">
      <c r="A16" s="85"/>
      <c r="B16" s="37">
        <f>ROW()-13</f>
        <v>3</v>
      </c>
      <c r="C16" s="145" t="s">
        <v>273</v>
      </c>
      <c r="D16" s="80"/>
      <c r="E16" s="81"/>
      <c r="F16" s="146"/>
      <c r="G16" s="17"/>
      <c r="H16" s="18" t="s">
        <v>49</v>
      </c>
      <c r="I16" s="59"/>
      <c r="J16" s="19">
        <v>10</v>
      </c>
      <c r="K16" s="19"/>
      <c r="L16" s="50"/>
      <c r="M16" s="73" t="s">
        <v>21</v>
      </c>
      <c r="N16" s="54">
        <f t="shared" si="0"/>
        <v>10</v>
      </c>
      <c r="O16" s="170"/>
      <c r="P16" s="191"/>
      <c r="Q16" s="192"/>
      <c r="R16" s="192"/>
      <c r="S16" s="192"/>
      <c r="T16" s="192"/>
      <c r="U16" s="193"/>
    </row>
    <row r="17" spans="1:21" ht="15.75" customHeight="1">
      <c r="A17" s="85"/>
      <c r="B17" s="37">
        <f>ROW()-13</f>
        <v>4</v>
      </c>
      <c r="C17" s="145" t="s">
        <v>266</v>
      </c>
      <c r="D17" s="80"/>
      <c r="E17" s="81"/>
      <c r="F17" s="146"/>
      <c r="G17" s="17"/>
      <c r="H17" s="18" t="s">
        <v>24</v>
      </c>
      <c r="I17" s="59"/>
      <c r="J17" s="19"/>
      <c r="K17" s="19"/>
      <c r="L17" s="50"/>
      <c r="M17" s="73" t="s">
        <v>21</v>
      </c>
      <c r="N17" s="54">
        <f t="shared" si="0"/>
        <v>7</v>
      </c>
      <c r="O17" s="170"/>
      <c r="P17" s="191"/>
      <c r="Q17" s="192"/>
      <c r="R17" s="192"/>
      <c r="S17" s="192"/>
      <c r="T17" s="192"/>
      <c r="U17" s="193"/>
    </row>
    <row r="18" spans="1:21" ht="15.75" customHeight="1">
      <c r="A18" s="85"/>
      <c r="B18" s="37">
        <f>ROW()-13</f>
        <v>5</v>
      </c>
      <c r="C18" s="145" t="s">
        <v>267</v>
      </c>
      <c r="D18" s="80"/>
      <c r="E18" s="81"/>
      <c r="F18" s="146"/>
      <c r="G18" s="17"/>
      <c r="H18" s="18" t="s">
        <v>54</v>
      </c>
      <c r="I18" s="59"/>
      <c r="J18" s="19"/>
      <c r="K18" s="19"/>
      <c r="L18" s="50"/>
      <c r="M18" s="73" t="s">
        <v>21</v>
      </c>
      <c r="N18" s="54">
        <f t="shared" si="0"/>
        <v>0</v>
      </c>
      <c r="O18" s="170"/>
      <c r="P18" s="191"/>
      <c r="Q18" s="192"/>
      <c r="R18" s="192"/>
      <c r="S18" s="192"/>
      <c r="T18" s="192"/>
      <c r="U18" s="193"/>
    </row>
    <row r="19" spans="1:21" ht="15.75" customHeight="1">
      <c r="A19" s="85"/>
      <c r="B19" s="37">
        <f>ROW()-13</f>
        <v>6</v>
      </c>
      <c r="C19" s="145" t="s">
        <v>441</v>
      </c>
      <c r="D19" s="80"/>
      <c r="E19" s="81"/>
      <c r="F19" s="146"/>
      <c r="G19" s="17"/>
      <c r="H19" s="18" t="s">
        <v>49</v>
      </c>
      <c r="I19" s="59"/>
      <c r="J19" s="19">
        <v>1</v>
      </c>
      <c r="K19" s="19"/>
      <c r="L19" s="50"/>
      <c r="M19" s="73" t="s">
        <v>21</v>
      </c>
      <c r="N19" s="54">
        <f t="shared" si="0"/>
        <v>1</v>
      </c>
      <c r="O19" s="170"/>
      <c r="P19" s="191"/>
      <c r="Q19" s="192"/>
      <c r="R19" s="192"/>
      <c r="S19" s="192"/>
      <c r="T19" s="192"/>
      <c r="U19" s="193"/>
    </row>
    <row r="20" spans="1:21" ht="15.75" customHeight="1">
      <c r="A20" s="85"/>
      <c r="B20" s="37">
        <f>ROW()-13</f>
        <v>7</v>
      </c>
      <c r="C20" s="145" t="s">
        <v>442</v>
      </c>
      <c r="D20" s="80"/>
      <c r="E20" s="81"/>
      <c r="F20" s="146"/>
      <c r="G20" s="17"/>
      <c r="H20" s="18" t="s">
        <v>49</v>
      </c>
      <c r="I20" s="59"/>
      <c r="J20" s="19">
        <v>4</v>
      </c>
      <c r="K20" s="19"/>
      <c r="L20" s="50"/>
      <c r="M20" s="73" t="s">
        <v>21</v>
      </c>
      <c r="N20" s="54">
        <f t="shared" si="0"/>
        <v>4</v>
      </c>
      <c r="O20" s="170"/>
      <c r="P20" s="191"/>
      <c r="Q20" s="192"/>
      <c r="R20" s="192"/>
      <c r="S20" s="192"/>
      <c r="T20" s="192"/>
      <c r="U20" s="193"/>
    </row>
    <row r="21" spans="1:21" ht="15.75" customHeight="1">
      <c r="A21" s="85"/>
      <c r="B21" s="37">
        <f>ROW()-13</f>
        <v>8</v>
      </c>
      <c r="C21" s="145" t="s">
        <v>443</v>
      </c>
      <c r="D21" s="80"/>
      <c r="E21" s="81"/>
      <c r="F21" s="146"/>
      <c r="G21" s="17"/>
      <c r="H21" s="18" t="s">
        <v>49</v>
      </c>
      <c r="I21" s="59"/>
      <c r="J21" s="19">
        <v>2</v>
      </c>
      <c r="K21" s="19"/>
      <c r="L21" s="50"/>
      <c r="M21" s="73" t="s">
        <v>21</v>
      </c>
      <c r="N21" s="54">
        <f t="shared" si="0"/>
        <v>2</v>
      </c>
      <c r="O21" s="170"/>
      <c r="P21" s="191"/>
      <c r="Q21" s="192"/>
      <c r="R21" s="192"/>
      <c r="S21" s="192"/>
      <c r="T21" s="192"/>
      <c r="U21" s="193"/>
    </row>
    <row r="22" spans="1:21" ht="15.75" customHeight="1">
      <c r="A22" s="85"/>
      <c r="B22" s="37">
        <f>ROW()-13</f>
        <v>9</v>
      </c>
      <c r="C22" s="145" t="s">
        <v>399</v>
      </c>
      <c r="D22" s="80"/>
      <c r="E22" s="81"/>
      <c r="F22" s="146"/>
      <c r="G22" s="17"/>
      <c r="H22" s="18" t="s">
        <v>49</v>
      </c>
      <c r="I22" s="59"/>
      <c r="J22" s="19">
        <v>3</v>
      </c>
      <c r="K22" s="19"/>
      <c r="L22" s="50"/>
      <c r="M22" s="73" t="s">
        <v>21</v>
      </c>
      <c r="N22" s="54">
        <f t="shared" si="0"/>
        <v>3</v>
      </c>
      <c r="O22" s="170"/>
      <c r="P22" s="191"/>
      <c r="Q22" s="192"/>
      <c r="R22" s="192"/>
      <c r="S22" s="192"/>
      <c r="T22" s="192"/>
      <c r="U22" s="193"/>
    </row>
    <row r="23" spans="1:21" ht="15.75" customHeight="1">
      <c r="A23" s="85"/>
      <c r="B23" s="37">
        <f>ROW()-13</f>
        <v>10</v>
      </c>
      <c r="C23" s="145" t="s">
        <v>272</v>
      </c>
      <c r="D23" s="80"/>
      <c r="E23" s="81"/>
      <c r="F23" s="146"/>
      <c r="G23" s="17"/>
      <c r="H23" s="18" t="s">
        <v>49</v>
      </c>
      <c r="I23" s="59"/>
      <c r="J23" s="19">
        <v>4</v>
      </c>
      <c r="K23" s="19"/>
      <c r="L23" s="50"/>
      <c r="M23" s="73" t="s">
        <v>21</v>
      </c>
      <c r="N23" s="54">
        <f t="shared" si="0"/>
        <v>4</v>
      </c>
      <c r="O23" s="170"/>
      <c r="P23" s="191"/>
      <c r="Q23" s="192"/>
      <c r="R23" s="192"/>
      <c r="S23" s="192"/>
      <c r="T23" s="192"/>
      <c r="U23" s="193"/>
    </row>
    <row r="24" spans="1:21" ht="15.75" customHeight="1">
      <c r="A24" s="85"/>
      <c r="B24" s="37">
        <f>ROW()-13</f>
        <v>11</v>
      </c>
      <c r="C24" s="145" t="s">
        <v>444</v>
      </c>
      <c r="D24" s="80"/>
      <c r="E24" s="81"/>
      <c r="F24" s="146"/>
      <c r="G24" s="17"/>
      <c r="H24" s="18" t="s">
        <v>49</v>
      </c>
      <c r="I24" s="59"/>
      <c r="J24" s="19">
        <v>12</v>
      </c>
      <c r="K24" s="19"/>
      <c r="L24" s="50"/>
      <c r="M24" s="73" t="s">
        <v>21</v>
      </c>
      <c r="N24" s="54">
        <f t="shared" si="0"/>
        <v>12</v>
      </c>
      <c r="O24" s="170"/>
      <c r="P24" s="191"/>
      <c r="Q24" s="192"/>
      <c r="R24" s="192"/>
      <c r="S24" s="192"/>
      <c r="T24" s="192"/>
      <c r="U24" s="193"/>
    </row>
    <row r="25" spans="1:21" ht="15.75" customHeight="1">
      <c r="A25" s="85"/>
      <c r="B25" s="37">
        <f>ROW()-13</f>
        <v>12</v>
      </c>
      <c r="C25" s="145" t="s">
        <v>198</v>
      </c>
      <c r="D25" s="80"/>
      <c r="E25" s="81"/>
      <c r="F25" s="146"/>
      <c r="G25" s="17"/>
      <c r="H25" s="18" t="s">
        <v>51</v>
      </c>
      <c r="I25" s="59"/>
      <c r="J25" s="19">
        <v>25</v>
      </c>
      <c r="K25" s="19"/>
      <c r="L25" s="50" t="s">
        <v>190</v>
      </c>
      <c r="M25" s="73" t="s">
        <v>21</v>
      </c>
      <c r="N25" s="54">
        <f t="shared" si="0"/>
        <v>25</v>
      </c>
      <c r="O25" s="170"/>
      <c r="P25" s="191"/>
      <c r="Q25" s="192"/>
      <c r="R25" s="192"/>
      <c r="S25" s="192"/>
      <c r="T25" s="192"/>
      <c r="U25" s="193"/>
    </row>
    <row r="26" spans="1:21" ht="15.75" customHeight="1">
      <c r="A26" s="85"/>
      <c r="B26" s="37">
        <f>ROW()-13</f>
        <v>13</v>
      </c>
      <c r="C26" s="145" t="s">
        <v>200</v>
      </c>
      <c r="D26" s="80"/>
      <c r="E26" s="81"/>
      <c r="F26" s="146"/>
      <c r="G26" s="17"/>
      <c r="H26" s="18" t="s">
        <v>51</v>
      </c>
      <c r="I26" s="59"/>
      <c r="J26" s="19">
        <v>4</v>
      </c>
      <c r="K26" s="19"/>
      <c r="L26" s="50" t="s">
        <v>190</v>
      </c>
      <c r="M26" s="73" t="s">
        <v>21</v>
      </c>
      <c r="N26" s="54">
        <f t="shared" si="0"/>
        <v>4</v>
      </c>
      <c r="O26" s="170"/>
      <c r="P26" s="191" t="s">
        <v>202</v>
      </c>
      <c r="Q26" s="192"/>
      <c r="R26" s="192"/>
      <c r="S26" s="192"/>
      <c r="T26" s="192"/>
      <c r="U26" s="193"/>
    </row>
    <row r="27" spans="1:21" ht="62.85" customHeight="1">
      <c r="A27" s="85"/>
      <c r="B27" s="37">
        <f>ROW()-13</f>
        <v>14</v>
      </c>
      <c r="C27" s="145" t="s">
        <v>203</v>
      </c>
      <c r="D27" s="80"/>
      <c r="E27" s="81"/>
      <c r="F27" s="146"/>
      <c r="G27" s="17"/>
      <c r="H27" s="18" t="s">
        <v>49</v>
      </c>
      <c r="I27" s="59"/>
      <c r="J27" s="19">
        <v>1</v>
      </c>
      <c r="K27" s="19"/>
      <c r="L27" s="50" t="s">
        <v>190</v>
      </c>
      <c r="M27" s="73" t="s">
        <v>21</v>
      </c>
      <c r="N27" s="54">
        <f t="shared" si="0"/>
        <v>1</v>
      </c>
      <c r="O27" s="170"/>
      <c r="P27" s="251" t="s">
        <v>264</v>
      </c>
      <c r="Q27" s="192"/>
      <c r="R27" s="192"/>
      <c r="S27" s="192"/>
      <c r="T27" s="192"/>
      <c r="U27" s="193"/>
    </row>
    <row r="28" spans="1:21" ht="15.75" customHeight="1">
      <c r="A28" s="85"/>
      <c r="B28" s="37">
        <f>ROW()-13</f>
        <v>15</v>
      </c>
      <c r="C28" s="145" t="s">
        <v>445</v>
      </c>
      <c r="D28" s="80"/>
      <c r="E28" s="81"/>
      <c r="F28" s="146"/>
      <c r="G28" s="17"/>
      <c r="H28" s="18" t="s">
        <v>49</v>
      </c>
      <c r="I28" s="59"/>
      <c r="J28" s="19">
        <v>12</v>
      </c>
      <c r="K28" s="19"/>
      <c r="L28" s="50"/>
      <c r="M28" s="73" t="s">
        <v>21</v>
      </c>
      <c r="N28" s="54">
        <f t="shared" si="0"/>
        <v>12</v>
      </c>
      <c r="O28" s="170"/>
      <c r="P28" s="191" t="s">
        <v>446</v>
      </c>
      <c r="Q28" s="192"/>
      <c r="R28" s="192"/>
      <c r="S28" s="192"/>
      <c r="T28" s="192"/>
      <c r="U28" s="193"/>
    </row>
    <row r="29" spans="1:21" ht="15.75" customHeight="1">
      <c r="A29" s="85"/>
      <c r="B29" s="37">
        <f>ROW()-13</f>
        <v>16</v>
      </c>
      <c r="C29" s="145" t="s">
        <v>268</v>
      </c>
      <c r="D29" s="80"/>
      <c r="E29" s="81"/>
      <c r="F29" s="146"/>
      <c r="G29" s="17"/>
      <c r="H29" s="18" t="s">
        <v>49</v>
      </c>
      <c r="I29" s="59"/>
      <c r="J29" s="19">
        <v>3</v>
      </c>
      <c r="K29" s="19"/>
      <c r="L29" s="50"/>
      <c r="M29" s="73" t="s">
        <v>21</v>
      </c>
      <c r="N29" s="54">
        <f t="shared" si="0"/>
        <v>3</v>
      </c>
      <c r="O29" s="170"/>
      <c r="P29" s="191"/>
      <c r="Q29" s="192"/>
      <c r="R29" s="192"/>
      <c r="S29" s="192"/>
      <c r="T29" s="192"/>
      <c r="U29" s="193"/>
    </row>
    <row r="30" spans="1:21" ht="15.75" customHeight="1">
      <c r="A30" s="85"/>
      <c r="B30" s="37">
        <f>ROW()-13</f>
        <v>17</v>
      </c>
      <c r="C30" s="145" t="s">
        <v>447</v>
      </c>
      <c r="D30" s="80"/>
      <c r="E30" s="81"/>
      <c r="F30" s="146"/>
      <c r="G30" s="17"/>
      <c r="H30" s="18" t="s">
        <v>208</v>
      </c>
      <c r="I30" s="59"/>
      <c r="J30" s="19"/>
      <c r="K30" s="19"/>
      <c r="L30" s="50"/>
      <c r="M30" s="73" t="s">
        <v>21</v>
      </c>
      <c r="N30" s="54">
        <f t="shared" si="0"/>
        <v>0</v>
      </c>
      <c r="O30" s="170"/>
      <c r="P30" s="191"/>
      <c r="Q30" s="192"/>
      <c r="R30" s="192"/>
      <c r="S30" s="192"/>
      <c r="T30" s="192"/>
      <c r="U30" s="193"/>
    </row>
    <row r="31" spans="1:21" ht="15.75">
      <c r="A31" s="85"/>
      <c r="B31" s="37">
        <f t="shared" ref="B31:B37" si="1">ROW()-13</f>
        <v>18</v>
      </c>
      <c r="C31" s="107" t="s">
        <v>36</v>
      </c>
      <c r="D31" s="107"/>
      <c r="E31" s="108"/>
      <c r="F31" s="109" t="s">
        <v>78</v>
      </c>
      <c r="G31" s="110"/>
      <c r="H31" s="18" t="s">
        <v>51</v>
      </c>
      <c r="I31" s="59"/>
      <c r="J31" s="113">
        <v>12</v>
      </c>
      <c r="K31" s="113"/>
      <c r="L31" s="114"/>
      <c r="M31" s="115" t="s">
        <v>35</v>
      </c>
      <c r="N31" s="116">
        <f t="shared" si="0"/>
        <v>12</v>
      </c>
      <c r="O31" s="171"/>
      <c r="P31" s="197"/>
      <c r="Q31" s="198"/>
      <c r="R31" s="198"/>
      <c r="S31" s="198"/>
      <c r="T31" s="198"/>
      <c r="U31" s="199"/>
    </row>
    <row r="32" spans="1:21" ht="15.75">
      <c r="A32" s="85"/>
      <c r="B32" s="37">
        <f t="shared" si="1"/>
        <v>19</v>
      </c>
      <c r="C32" s="107" t="s">
        <v>37</v>
      </c>
      <c r="D32" s="107"/>
      <c r="E32" s="108"/>
      <c r="F32" s="109" t="s">
        <v>43</v>
      </c>
      <c r="G32" s="110"/>
      <c r="H32" s="18" t="s">
        <v>51</v>
      </c>
      <c r="I32" s="59"/>
      <c r="J32" s="113">
        <v>10</v>
      </c>
      <c r="K32" s="113"/>
      <c r="L32" s="114"/>
      <c r="M32" s="115" t="s">
        <v>21</v>
      </c>
      <c r="N32" s="116">
        <f t="shared" si="0"/>
        <v>10</v>
      </c>
      <c r="O32" s="171"/>
      <c r="P32" s="197"/>
      <c r="Q32" s="198"/>
      <c r="R32" s="198"/>
      <c r="S32" s="198"/>
      <c r="T32" s="198"/>
      <c r="U32" s="199"/>
    </row>
    <row r="33" spans="1:21" ht="15.75">
      <c r="A33" s="85"/>
      <c r="B33" s="37">
        <f t="shared" si="1"/>
        <v>20</v>
      </c>
      <c r="C33" s="107" t="s">
        <v>38</v>
      </c>
      <c r="D33" s="107"/>
      <c r="E33" s="108"/>
      <c r="F33" s="109" t="s">
        <v>80</v>
      </c>
      <c r="G33" s="110"/>
      <c r="H33" s="18" t="s">
        <v>86</v>
      </c>
      <c r="I33" s="59"/>
      <c r="J33" s="113"/>
      <c r="K33" s="113"/>
      <c r="L33" s="114"/>
      <c r="M33" s="115" t="s">
        <v>21</v>
      </c>
      <c r="N33" s="116">
        <f t="shared" si="0"/>
        <v>0</v>
      </c>
      <c r="O33" s="171"/>
      <c r="P33" s="197"/>
      <c r="Q33" s="198"/>
      <c r="R33" s="198"/>
      <c r="S33" s="198"/>
      <c r="T33" s="198"/>
      <c r="U33" s="199"/>
    </row>
    <row r="34" spans="1:21" ht="15.75">
      <c r="A34" s="85"/>
      <c r="B34" s="37">
        <f t="shared" si="1"/>
        <v>21</v>
      </c>
      <c r="C34" s="107" t="s">
        <v>39</v>
      </c>
      <c r="D34" s="107"/>
      <c r="E34" s="108"/>
      <c r="F34" s="109" t="s">
        <v>79</v>
      </c>
      <c r="G34" s="110"/>
      <c r="H34" s="18" t="s">
        <v>51</v>
      </c>
      <c r="I34" s="59"/>
      <c r="J34" s="113">
        <v>12</v>
      </c>
      <c r="K34" s="113"/>
      <c r="L34" s="114"/>
      <c r="M34" s="115" t="s">
        <v>35</v>
      </c>
      <c r="N34" s="116">
        <f t="shared" si="0"/>
        <v>12</v>
      </c>
      <c r="O34" s="171"/>
      <c r="P34" s="197"/>
      <c r="Q34" s="198"/>
      <c r="R34" s="198"/>
      <c r="S34" s="198"/>
      <c r="T34" s="198"/>
      <c r="U34" s="199"/>
    </row>
    <row r="35" spans="1:21" ht="15.75">
      <c r="A35" s="85"/>
      <c r="B35" s="37">
        <f t="shared" si="1"/>
        <v>22</v>
      </c>
      <c r="C35" s="107" t="s">
        <v>40</v>
      </c>
      <c r="D35" s="107"/>
      <c r="E35" s="108"/>
      <c r="F35" s="109" t="s">
        <v>44</v>
      </c>
      <c r="G35" s="110"/>
      <c r="H35" s="18" t="s">
        <v>51</v>
      </c>
      <c r="I35" s="59"/>
      <c r="J35" s="113">
        <v>10</v>
      </c>
      <c r="K35" s="113"/>
      <c r="L35" s="114"/>
      <c r="M35" s="115" t="s">
        <v>21</v>
      </c>
      <c r="N35" s="116">
        <f t="shared" si="0"/>
        <v>10</v>
      </c>
      <c r="O35" s="171"/>
      <c r="P35" s="197"/>
      <c r="Q35" s="198"/>
      <c r="R35" s="198"/>
      <c r="S35" s="198"/>
      <c r="T35" s="198"/>
      <c r="U35" s="199"/>
    </row>
    <row r="36" spans="1:21" ht="15.75">
      <c r="A36" s="85"/>
      <c r="B36" s="37">
        <f t="shared" si="1"/>
        <v>23</v>
      </c>
      <c r="C36" s="107" t="s">
        <v>41</v>
      </c>
      <c r="D36" s="107"/>
      <c r="E36" s="108"/>
      <c r="F36" s="109" t="s">
        <v>81</v>
      </c>
      <c r="G36" s="110"/>
      <c r="H36" s="18" t="s">
        <v>86</v>
      </c>
      <c r="I36" s="59"/>
      <c r="J36" s="113"/>
      <c r="K36" s="113"/>
      <c r="L36" s="114"/>
      <c r="M36" s="115" t="s">
        <v>21</v>
      </c>
      <c r="N36" s="116">
        <f t="shared" si="0"/>
        <v>0</v>
      </c>
      <c r="O36" s="171"/>
      <c r="P36" s="197"/>
      <c r="Q36" s="198"/>
      <c r="R36" s="198"/>
      <c r="S36" s="198"/>
      <c r="T36" s="198"/>
      <c r="U36" s="199"/>
    </row>
    <row r="37" spans="1:21" ht="15.75">
      <c r="A37" s="85"/>
      <c r="B37" s="37">
        <f t="shared" si="1"/>
        <v>24</v>
      </c>
      <c r="C37" s="80" t="s">
        <v>46</v>
      </c>
      <c r="D37" s="80"/>
      <c r="E37" s="81"/>
      <c r="F37" s="84" t="s">
        <v>71</v>
      </c>
      <c r="G37" s="17"/>
      <c r="H37" s="18" t="s">
        <v>62</v>
      </c>
      <c r="I37" s="59"/>
      <c r="J37" s="19">
        <v>8</v>
      </c>
      <c r="K37" s="19"/>
      <c r="L37" s="50" t="s">
        <v>47</v>
      </c>
      <c r="M37" s="73" t="s">
        <v>35</v>
      </c>
      <c r="N37" s="54">
        <f t="shared" si="0"/>
        <v>8</v>
      </c>
      <c r="O37" s="170">
        <v>0</v>
      </c>
      <c r="P37" s="191" t="s">
        <v>48</v>
      </c>
      <c r="Q37" s="192"/>
      <c r="R37" s="192"/>
      <c r="S37" s="192"/>
      <c r="T37" s="192"/>
      <c r="U37" s="193"/>
    </row>
    <row r="38" spans="1:21" ht="16.5" thickBot="1">
      <c r="A38" s="118"/>
      <c r="B38" s="119"/>
      <c r="C38" s="120"/>
      <c r="D38" s="120"/>
      <c r="E38" s="121"/>
      <c r="F38" s="129"/>
      <c r="G38" s="122"/>
      <c r="H38" s="147"/>
      <c r="I38" s="148"/>
      <c r="J38" s="125"/>
      <c r="K38" s="125"/>
      <c r="L38" s="126"/>
      <c r="M38" s="126"/>
      <c r="N38" s="127"/>
      <c r="O38" s="172"/>
      <c r="P38" s="194"/>
      <c r="Q38" s="195"/>
      <c r="R38" s="195"/>
      <c r="S38" s="195"/>
      <c r="T38" s="195"/>
      <c r="U38" s="196"/>
    </row>
  </sheetData>
  <mergeCells count="55">
    <mergeCell ref="P34:U34"/>
    <mergeCell ref="P35:U35"/>
    <mergeCell ref="P36:U36"/>
    <mergeCell ref="P37:U37"/>
    <mergeCell ref="P38:U38"/>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277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277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277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277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277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74A896D-676A-486F-B88C-7CB6D1DAEAEA}">
            <xm:f>(AND(H14&lt;&gt;"",ISERROR(VLOOKUP(H14,system!$E:$E,1,FALSE))))</xm:f>
            <x14:dxf>
              <fill>
                <patternFill patternType="solid">
                  <bgColor rgb="FFFF0000"/>
                </patternFill>
              </fill>
            </x14:dxf>
          </x14:cfRule>
          <xm:sqref>H14:H30</xm:sqref>
        </x14:conditionalFormatting>
        <x14:conditionalFormatting xmlns:xm="http://schemas.microsoft.com/office/excel/2006/main">
          <x14:cfRule type="expression" priority="3" id="{D924643E-2D16-4A7C-8E9C-E8C65D3C7E00}">
            <xm:f>(AND(H14&lt;&gt;"",ISERROR(VLOOKUP(H14,system!$E:$E,1,FALSE))))</xm:f>
            <x14:dxf>
              <fill>
                <patternFill>
                  <bgColor rgb="FFFF0000"/>
                </patternFill>
              </fill>
            </x14:dxf>
          </x14:cfRule>
          <xm:sqref>I14:I30</xm:sqref>
        </x14:conditionalFormatting>
        <x14:conditionalFormatting xmlns:xm="http://schemas.microsoft.com/office/excel/2006/main">
          <x14:cfRule type="expression" priority="2" id="{2893CAD3-EE9F-4463-9F70-8BFC7CF102D3}">
            <xm:f>(AND(H31&lt;&gt;"",ISERROR(VLOOKUP(H31,system!$E:$E,1,FALSE))))</xm:f>
            <x14:dxf>
              <fill>
                <patternFill patternType="solid">
                  <bgColor rgb="FFFF0000"/>
                </patternFill>
              </fill>
            </x14:dxf>
          </x14:cfRule>
          <xm:sqref>H31:H38</xm:sqref>
        </x14:conditionalFormatting>
        <x14:conditionalFormatting xmlns:xm="http://schemas.microsoft.com/office/excel/2006/main">
          <x14:cfRule type="expression" priority="1" id="{CBEFB9A0-3129-4162-A082-3189ECEFE889}">
            <xm:f>(AND(H31&lt;&gt;"",ISERROR(VLOOKUP(H31,system!$E:$E,1,FALSE))))</xm:f>
            <x14:dxf>
              <fill>
                <patternFill>
                  <bgColor rgb="FFFF0000"/>
                </patternFill>
              </fill>
            </x14:dxf>
          </x14:cfRule>
          <xm:sqref>I31:I38</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A1:U43"/>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449</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133</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SUM(N14:N44)</f>
        <v>154</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42" si="0">IF(H14="NUMBER",IF(J14&gt;0,INT((J14+1)/2+0.9),0),IF(H14="DATE",7,IF(OR(H14="LONG",H14="LONG RAW"),100000,J14)))</f>
        <v>1</v>
      </c>
      <c r="O14" s="170"/>
      <c r="P14" s="191" t="s">
        <v>175</v>
      </c>
      <c r="Q14" s="192"/>
      <c r="R14" s="192"/>
      <c r="S14" s="192"/>
      <c r="T14" s="192"/>
      <c r="U14" s="193"/>
    </row>
    <row r="15" spans="1:21" ht="39.200000000000003" customHeight="1">
      <c r="A15" s="85" t="s">
        <v>191</v>
      </c>
      <c r="B15" s="37">
        <f>ROW()-13</f>
        <v>2</v>
      </c>
      <c r="C15" s="145" t="s">
        <v>441</v>
      </c>
      <c r="D15" s="80"/>
      <c r="E15" s="81"/>
      <c r="F15" s="146"/>
      <c r="G15" s="17"/>
      <c r="H15" s="18" t="s">
        <v>49</v>
      </c>
      <c r="I15" s="59"/>
      <c r="J15" s="19">
        <v>1</v>
      </c>
      <c r="K15" s="19"/>
      <c r="L15" s="50" t="s">
        <v>190</v>
      </c>
      <c r="M15" s="73" t="s">
        <v>21</v>
      </c>
      <c r="N15" s="54">
        <f t="shared" si="0"/>
        <v>1</v>
      </c>
      <c r="O15" s="170"/>
      <c r="P15" s="251" t="s">
        <v>450</v>
      </c>
      <c r="Q15" s="192"/>
      <c r="R15" s="192"/>
      <c r="S15" s="192"/>
      <c r="T15" s="192"/>
      <c r="U15" s="193"/>
    </row>
    <row r="16" spans="1:21" ht="15.75" customHeight="1">
      <c r="A16" s="85" t="s">
        <v>191</v>
      </c>
      <c r="B16" s="37">
        <f>ROW()-13</f>
        <v>3</v>
      </c>
      <c r="C16" s="145" t="s">
        <v>451</v>
      </c>
      <c r="D16" s="80"/>
      <c r="E16" s="81"/>
      <c r="F16" s="146"/>
      <c r="G16" s="17"/>
      <c r="H16" s="18" t="s">
        <v>51</v>
      </c>
      <c r="I16" s="59"/>
      <c r="J16" s="19">
        <v>11</v>
      </c>
      <c r="K16" s="19"/>
      <c r="L16" s="50" t="s">
        <v>190</v>
      </c>
      <c r="M16" s="73" t="s">
        <v>21</v>
      </c>
      <c r="N16" s="54">
        <f t="shared" si="0"/>
        <v>11</v>
      </c>
      <c r="O16" s="170"/>
      <c r="P16" s="191"/>
      <c r="Q16" s="192"/>
      <c r="R16" s="192"/>
      <c r="S16" s="192"/>
      <c r="T16" s="192"/>
      <c r="U16" s="193"/>
    </row>
    <row r="17" spans="1:21" ht="15.75" customHeight="1">
      <c r="A17" s="85" t="s">
        <v>191</v>
      </c>
      <c r="B17" s="37">
        <f>ROW()-13</f>
        <v>4</v>
      </c>
      <c r="C17" s="145" t="s">
        <v>266</v>
      </c>
      <c r="D17" s="80"/>
      <c r="E17" s="81"/>
      <c r="F17" s="146"/>
      <c r="G17" s="17"/>
      <c r="H17" s="18" t="s">
        <v>24</v>
      </c>
      <c r="I17" s="59"/>
      <c r="J17" s="19"/>
      <c r="K17" s="19"/>
      <c r="L17" s="50" t="s">
        <v>190</v>
      </c>
      <c r="M17" s="73" t="s">
        <v>21</v>
      </c>
      <c r="N17" s="54">
        <f t="shared" si="0"/>
        <v>7</v>
      </c>
      <c r="O17" s="170"/>
      <c r="P17" s="191"/>
      <c r="Q17" s="192"/>
      <c r="R17" s="192"/>
      <c r="S17" s="192"/>
      <c r="T17" s="192"/>
      <c r="U17" s="193"/>
    </row>
    <row r="18" spans="1:21" ht="15.75" customHeight="1">
      <c r="A18" s="85"/>
      <c r="B18" s="37">
        <f>ROW()-13</f>
        <v>5</v>
      </c>
      <c r="C18" s="145" t="s">
        <v>452</v>
      </c>
      <c r="D18" s="80"/>
      <c r="E18" s="81"/>
      <c r="F18" s="146"/>
      <c r="G18" s="17"/>
      <c r="H18" s="18" t="s">
        <v>54</v>
      </c>
      <c r="I18" s="59"/>
      <c r="J18" s="19"/>
      <c r="K18" s="19"/>
      <c r="L18" s="50"/>
      <c r="M18" s="73" t="s">
        <v>21</v>
      </c>
      <c r="N18" s="54">
        <f t="shared" si="0"/>
        <v>0</v>
      </c>
      <c r="O18" s="170"/>
      <c r="P18" s="191"/>
      <c r="Q18" s="192"/>
      <c r="R18" s="192"/>
      <c r="S18" s="192"/>
      <c r="T18" s="192"/>
      <c r="U18" s="193"/>
    </row>
    <row r="19" spans="1:21" ht="15.75" customHeight="1">
      <c r="A19" s="85"/>
      <c r="B19" s="37">
        <f>ROW()-13</f>
        <v>6</v>
      </c>
      <c r="C19" s="145" t="s">
        <v>442</v>
      </c>
      <c r="D19" s="80"/>
      <c r="E19" s="81"/>
      <c r="F19" s="146"/>
      <c r="G19" s="17"/>
      <c r="H19" s="18" t="s">
        <v>49</v>
      </c>
      <c r="I19" s="59"/>
      <c r="J19" s="19">
        <v>4</v>
      </c>
      <c r="K19" s="19"/>
      <c r="L19" s="50"/>
      <c r="M19" s="73" t="s">
        <v>21</v>
      </c>
      <c r="N19" s="54">
        <f t="shared" si="0"/>
        <v>4</v>
      </c>
      <c r="O19" s="170"/>
      <c r="P19" s="191"/>
      <c r="Q19" s="192"/>
      <c r="R19" s="192"/>
      <c r="S19" s="192"/>
      <c r="T19" s="192"/>
      <c r="U19" s="193"/>
    </row>
    <row r="20" spans="1:21" ht="15.75" customHeight="1">
      <c r="A20" s="85"/>
      <c r="B20" s="37">
        <f>ROW()-13</f>
        <v>7</v>
      </c>
      <c r="C20" s="145" t="s">
        <v>268</v>
      </c>
      <c r="D20" s="80"/>
      <c r="E20" s="81"/>
      <c r="F20" s="146"/>
      <c r="G20" s="17"/>
      <c r="H20" s="18" t="s">
        <v>49</v>
      </c>
      <c r="I20" s="59"/>
      <c r="J20" s="19">
        <v>2</v>
      </c>
      <c r="K20" s="19"/>
      <c r="L20" s="50"/>
      <c r="M20" s="73" t="s">
        <v>21</v>
      </c>
      <c r="N20" s="54">
        <f t="shared" si="0"/>
        <v>2</v>
      </c>
      <c r="O20" s="170"/>
      <c r="P20" s="191"/>
      <c r="Q20" s="192"/>
      <c r="R20" s="192"/>
      <c r="S20" s="192"/>
      <c r="T20" s="192"/>
      <c r="U20" s="193"/>
    </row>
    <row r="21" spans="1:21" ht="15.75" customHeight="1">
      <c r="A21" s="85"/>
      <c r="B21" s="37">
        <f>ROW()-13</f>
        <v>8</v>
      </c>
      <c r="C21" s="145" t="s">
        <v>453</v>
      </c>
      <c r="D21" s="80"/>
      <c r="E21" s="81"/>
      <c r="F21" s="146"/>
      <c r="G21" s="17"/>
      <c r="H21" s="18" t="s">
        <v>49</v>
      </c>
      <c r="I21" s="59"/>
      <c r="J21" s="19">
        <v>1</v>
      </c>
      <c r="K21" s="19"/>
      <c r="L21" s="50"/>
      <c r="M21" s="73" t="s">
        <v>21</v>
      </c>
      <c r="N21" s="54">
        <f t="shared" si="0"/>
        <v>1</v>
      </c>
      <c r="O21" s="170"/>
      <c r="P21" s="191"/>
      <c r="Q21" s="192"/>
      <c r="R21" s="192"/>
      <c r="S21" s="192"/>
      <c r="T21" s="192"/>
      <c r="U21" s="193"/>
    </row>
    <row r="22" spans="1:21" ht="15.75" customHeight="1">
      <c r="A22" s="85"/>
      <c r="B22" s="37">
        <f>ROW()-13</f>
        <v>9</v>
      </c>
      <c r="C22" s="145" t="s">
        <v>196</v>
      </c>
      <c r="D22" s="80"/>
      <c r="E22" s="81"/>
      <c r="F22" s="146"/>
      <c r="G22" s="17"/>
      <c r="H22" s="18" t="s">
        <v>49</v>
      </c>
      <c r="I22" s="59"/>
      <c r="J22" s="19">
        <v>12</v>
      </c>
      <c r="K22" s="19"/>
      <c r="L22" s="50"/>
      <c r="M22" s="73" t="s">
        <v>21</v>
      </c>
      <c r="N22" s="54">
        <f t="shared" si="0"/>
        <v>12</v>
      </c>
      <c r="O22" s="170"/>
      <c r="P22" s="191"/>
      <c r="Q22" s="192"/>
      <c r="R22" s="192"/>
      <c r="S22" s="192"/>
      <c r="T22" s="192"/>
      <c r="U22" s="193"/>
    </row>
    <row r="23" spans="1:21" ht="15.75" customHeight="1">
      <c r="A23" s="85"/>
      <c r="B23" s="37">
        <f>ROW()-13</f>
        <v>10</v>
      </c>
      <c r="C23" s="145" t="s">
        <v>198</v>
      </c>
      <c r="D23" s="80"/>
      <c r="E23" s="81"/>
      <c r="F23" s="146"/>
      <c r="G23" s="17"/>
      <c r="H23" s="18" t="s">
        <v>51</v>
      </c>
      <c r="I23" s="59"/>
      <c r="J23" s="19">
        <v>25</v>
      </c>
      <c r="K23" s="19"/>
      <c r="L23" s="50" t="s">
        <v>190</v>
      </c>
      <c r="M23" s="73" t="s">
        <v>21</v>
      </c>
      <c r="N23" s="54">
        <f t="shared" si="0"/>
        <v>25</v>
      </c>
      <c r="O23" s="170"/>
      <c r="P23" s="191"/>
      <c r="Q23" s="192"/>
      <c r="R23" s="192"/>
      <c r="S23" s="192"/>
      <c r="T23" s="192"/>
      <c r="U23" s="193"/>
    </row>
    <row r="24" spans="1:21" ht="15.75" customHeight="1">
      <c r="A24" s="85"/>
      <c r="B24" s="37">
        <f>ROW()-13</f>
        <v>11</v>
      </c>
      <c r="C24" s="145" t="s">
        <v>200</v>
      </c>
      <c r="D24" s="80"/>
      <c r="E24" s="81"/>
      <c r="F24" s="146"/>
      <c r="G24" s="17"/>
      <c r="H24" s="18" t="s">
        <v>51</v>
      </c>
      <c r="I24" s="59"/>
      <c r="J24" s="19">
        <v>4</v>
      </c>
      <c r="K24" s="19"/>
      <c r="L24" s="50" t="s">
        <v>190</v>
      </c>
      <c r="M24" s="73" t="s">
        <v>21</v>
      </c>
      <c r="N24" s="54">
        <f t="shared" si="0"/>
        <v>4</v>
      </c>
      <c r="O24" s="170"/>
      <c r="P24" s="191" t="s">
        <v>202</v>
      </c>
      <c r="Q24" s="192"/>
      <c r="R24" s="192"/>
      <c r="S24" s="192"/>
      <c r="T24" s="192"/>
      <c r="U24" s="193"/>
    </row>
    <row r="25" spans="1:21" ht="62.85" customHeight="1">
      <c r="A25" s="85"/>
      <c r="B25" s="37">
        <f>ROW()-13</f>
        <v>12</v>
      </c>
      <c r="C25" s="145" t="s">
        <v>203</v>
      </c>
      <c r="D25" s="80"/>
      <c r="E25" s="81"/>
      <c r="F25" s="146"/>
      <c r="G25" s="17"/>
      <c r="H25" s="18" t="s">
        <v>49</v>
      </c>
      <c r="I25" s="59"/>
      <c r="J25" s="19">
        <v>1</v>
      </c>
      <c r="K25" s="19"/>
      <c r="L25" s="50" t="s">
        <v>190</v>
      </c>
      <c r="M25" s="73" t="s">
        <v>21</v>
      </c>
      <c r="N25" s="54">
        <f t="shared" si="0"/>
        <v>1</v>
      </c>
      <c r="O25" s="170"/>
      <c r="P25" s="251" t="s">
        <v>264</v>
      </c>
      <c r="Q25" s="192"/>
      <c r="R25" s="192"/>
      <c r="S25" s="192"/>
      <c r="T25" s="192"/>
      <c r="U25" s="193"/>
    </row>
    <row r="26" spans="1:21" ht="15.75" customHeight="1">
      <c r="A26" s="85"/>
      <c r="B26" s="37">
        <f>ROW()-13</f>
        <v>13</v>
      </c>
      <c r="C26" s="145" t="s">
        <v>454</v>
      </c>
      <c r="D26" s="80"/>
      <c r="E26" s="81"/>
      <c r="F26" s="146"/>
      <c r="G26" s="17"/>
      <c r="H26" s="18" t="s">
        <v>51</v>
      </c>
      <c r="I26" s="59"/>
      <c r="J26" s="19">
        <v>15</v>
      </c>
      <c r="K26" s="19"/>
      <c r="L26" s="50"/>
      <c r="M26" s="73" t="s">
        <v>21</v>
      </c>
      <c r="N26" s="54">
        <f t="shared" si="0"/>
        <v>15</v>
      </c>
      <c r="O26" s="170"/>
      <c r="P26" s="191"/>
      <c r="Q26" s="192"/>
      <c r="R26" s="192"/>
      <c r="S26" s="192"/>
      <c r="T26" s="192"/>
      <c r="U26" s="193"/>
    </row>
    <row r="27" spans="1:21" ht="15.75" customHeight="1">
      <c r="A27" s="85"/>
      <c r="B27" s="37">
        <f>ROW()-13</f>
        <v>14</v>
      </c>
      <c r="C27" s="145" t="s">
        <v>200</v>
      </c>
      <c r="D27" s="80"/>
      <c r="E27" s="81"/>
      <c r="F27" s="146"/>
      <c r="G27" s="17"/>
      <c r="H27" s="18" t="s">
        <v>49</v>
      </c>
      <c r="I27" s="59"/>
      <c r="J27" s="19">
        <v>3</v>
      </c>
      <c r="K27" s="19"/>
      <c r="L27" s="50"/>
      <c r="M27" s="73" t="s">
        <v>21</v>
      </c>
      <c r="N27" s="54">
        <f t="shared" si="0"/>
        <v>3</v>
      </c>
      <c r="O27" s="170"/>
      <c r="P27" s="191"/>
      <c r="Q27" s="192"/>
      <c r="R27" s="192"/>
      <c r="S27" s="192"/>
      <c r="T27" s="192"/>
      <c r="U27" s="193"/>
    </row>
    <row r="28" spans="1:21" ht="15.75" customHeight="1">
      <c r="A28" s="85"/>
      <c r="B28" s="37">
        <f>ROW()-13</f>
        <v>15</v>
      </c>
      <c r="C28" s="145" t="s">
        <v>455</v>
      </c>
      <c r="D28" s="80"/>
      <c r="E28" s="81"/>
      <c r="F28" s="146"/>
      <c r="G28" s="17"/>
      <c r="H28" s="18" t="s">
        <v>208</v>
      </c>
      <c r="I28" s="59"/>
      <c r="J28" s="19"/>
      <c r="K28" s="19"/>
      <c r="L28" s="50"/>
      <c r="M28" s="73" t="s">
        <v>21</v>
      </c>
      <c r="N28" s="54">
        <f t="shared" si="0"/>
        <v>0</v>
      </c>
      <c r="O28" s="170"/>
      <c r="P28" s="191"/>
      <c r="Q28" s="192"/>
      <c r="R28" s="192"/>
      <c r="S28" s="192"/>
      <c r="T28" s="192"/>
      <c r="U28" s="193"/>
    </row>
    <row r="29" spans="1:21" ht="15.75" customHeight="1">
      <c r="A29" s="85"/>
      <c r="B29" s="37">
        <f>ROW()-13</f>
        <v>16</v>
      </c>
      <c r="C29" s="145" t="s">
        <v>456</v>
      </c>
      <c r="D29" s="80"/>
      <c r="E29" s="81"/>
      <c r="F29" s="146"/>
      <c r="G29" s="17"/>
      <c r="H29" s="18" t="s">
        <v>208</v>
      </c>
      <c r="I29" s="59"/>
      <c r="J29" s="19"/>
      <c r="K29" s="19"/>
      <c r="L29" s="50"/>
      <c r="M29" s="73" t="s">
        <v>21</v>
      </c>
      <c r="N29" s="54">
        <f t="shared" si="0"/>
        <v>0</v>
      </c>
      <c r="O29" s="170"/>
      <c r="P29" s="191"/>
      <c r="Q29" s="192"/>
      <c r="R29" s="192"/>
      <c r="S29" s="192"/>
      <c r="T29" s="192"/>
      <c r="U29" s="193"/>
    </row>
    <row r="30" spans="1:21" ht="15.75" customHeight="1">
      <c r="A30" s="85"/>
      <c r="B30" s="37">
        <f>ROW()-13</f>
        <v>17</v>
      </c>
      <c r="C30" s="145" t="s">
        <v>457</v>
      </c>
      <c r="D30" s="80"/>
      <c r="E30" s="81"/>
      <c r="F30" s="146"/>
      <c r="G30" s="17"/>
      <c r="H30" s="18" t="s">
        <v>51</v>
      </c>
      <c r="I30" s="59"/>
      <c r="J30" s="19">
        <v>6</v>
      </c>
      <c r="K30" s="19"/>
      <c r="L30" s="50"/>
      <c r="M30" s="73" t="s">
        <v>21</v>
      </c>
      <c r="N30" s="54">
        <f t="shared" si="0"/>
        <v>6</v>
      </c>
      <c r="O30" s="170"/>
      <c r="P30" s="191"/>
      <c r="Q30" s="192"/>
      <c r="R30" s="192"/>
      <c r="S30" s="192"/>
      <c r="T30" s="192"/>
      <c r="U30" s="193"/>
    </row>
    <row r="31" spans="1:21" ht="15.75" customHeight="1">
      <c r="A31" s="85"/>
      <c r="B31" s="37">
        <f>ROW()-13</f>
        <v>18</v>
      </c>
      <c r="C31" s="145" t="s">
        <v>458</v>
      </c>
      <c r="D31" s="80"/>
      <c r="E31" s="81"/>
      <c r="F31" s="146"/>
      <c r="G31" s="17"/>
      <c r="H31" s="18" t="s">
        <v>49</v>
      </c>
      <c r="I31" s="59"/>
      <c r="J31" s="19">
        <v>2</v>
      </c>
      <c r="K31" s="19"/>
      <c r="L31" s="50"/>
      <c r="M31" s="73" t="s">
        <v>21</v>
      </c>
      <c r="N31" s="54">
        <f t="shared" si="0"/>
        <v>2</v>
      </c>
      <c r="O31" s="170"/>
      <c r="P31" s="191"/>
      <c r="Q31" s="192"/>
      <c r="R31" s="192"/>
      <c r="S31" s="192"/>
      <c r="T31" s="192"/>
      <c r="U31" s="193"/>
    </row>
    <row r="32" spans="1:21" ht="15.75" customHeight="1">
      <c r="A32" s="85"/>
      <c r="B32" s="37">
        <f>ROW()-13</f>
        <v>19</v>
      </c>
      <c r="C32" s="145" t="s">
        <v>459</v>
      </c>
      <c r="D32" s="80"/>
      <c r="E32" s="81"/>
      <c r="F32" s="146"/>
      <c r="G32" s="17"/>
      <c r="H32" s="18" t="s">
        <v>49</v>
      </c>
      <c r="I32" s="59"/>
      <c r="J32" s="19">
        <v>2</v>
      </c>
      <c r="K32" s="19"/>
      <c r="L32" s="50"/>
      <c r="M32" s="73" t="s">
        <v>21</v>
      </c>
      <c r="N32" s="54">
        <f t="shared" si="0"/>
        <v>2</v>
      </c>
      <c r="O32" s="170"/>
      <c r="P32" s="191"/>
      <c r="Q32" s="192"/>
      <c r="R32" s="192"/>
      <c r="S32" s="192"/>
      <c r="T32" s="192"/>
      <c r="U32" s="193"/>
    </row>
    <row r="33" spans="1:21" ht="15.75" customHeight="1">
      <c r="A33" s="85"/>
      <c r="B33" s="37">
        <f>ROW()-13</f>
        <v>20</v>
      </c>
      <c r="C33" s="145" t="s">
        <v>460</v>
      </c>
      <c r="D33" s="80"/>
      <c r="E33" s="81"/>
      <c r="F33" s="146"/>
      <c r="G33" s="17"/>
      <c r="H33" s="18" t="s">
        <v>49</v>
      </c>
      <c r="I33" s="59"/>
      <c r="J33" s="19">
        <v>3</v>
      </c>
      <c r="K33" s="19"/>
      <c r="L33" s="50"/>
      <c r="M33" s="73" t="s">
        <v>21</v>
      </c>
      <c r="N33" s="54">
        <f t="shared" si="0"/>
        <v>3</v>
      </c>
      <c r="O33" s="170"/>
      <c r="P33" s="191"/>
      <c r="Q33" s="192"/>
      <c r="R33" s="192"/>
      <c r="S33" s="192"/>
      <c r="T33" s="192"/>
      <c r="U33" s="193"/>
    </row>
    <row r="34" spans="1:21" ht="15.75" customHeight="1">
      <c r="A34" s="85"/>
      <c r="B34" s="37">
        <f>ROW()-13</f>
        <v>21</v>
      </c>
      <c r="C34" s="145" t="s">
        <v>461</v>
      </c>
      <c r="D34" s="80"/>
      <c r="E34" s="81"/>
      <c r="F34" s="146"/>
      <c r="G34" s="17"/>
      <c r="H34" s="18" t="s">
        <v>49</v>
      </c>
      <c r="I34" s="59"/>
      <c r="J34" s="19">
        <v>1</v>
      </c>
      <c r="K34" s="19"/>
      <c r="L34" s="50"/>
      <c r="M34" s="73" t="s">
        <v>21</v>
      </c>
      <c r="N34" s="54">
        <f t="shared" si="0"/>
        <v>1</v>
      </c>
      <c r="O34" s="252" t="s">
        <v>462</v>
      </c>
      <c r="P34" s="191" t="s">
        <v>463</v>
      </c>
      <c r="Q34" s="192"/>
      <c r="R34" s="192"/>
      <c r="S34" s="192"/>
      <c r="T34" s="192"/>
      <c r="U34" s="193"/>
    </row>
    <row r="35" spans="1:21" ht="27.6" customHeight="1">
      <c r="A35" s="85"/>
      <c r="B35" s="37">
        <f>ROW()-13</f>
        <v>22</v>
      </c>
      <c r="C35" s="145" t="s">
        <v>276</v>
      </c>
      <c r="D35" s="80"/>
      <c r="E35" s="81"/>
      <c r="F35" s="146"/>
      <c r="G35" s="17"/>
      <c r="H35" s="18" t="s">
        <v>49</v>
      </c>
      <c r="I35" s="59"/>
      <c r="J35" s="19">
        <v>1</v>
      </c>
      <c r="K35" s="19"/>
      <c r="L35" s="50"/>
      <c r="M35" s="73" t="s">
        <v>21</v>
      </c>
      <c r="N35" s="54">
        <f t="shared" si="0"/>
        <v>1</v>
      </c>
      <c r="O35" s="170"/>
      <c r="P35" s="251" t="s">
        <v>464</v>
      </c>
      <c r="Q35" s="192"/>
      <c r="R35" s="192"/>
      <c r="S35" s="192"/>
      <c r="T35" s="192"/>
      <c r="U35" s="193"/>
    </row>
    <row r="36" spans="1:21" ht="15.75">
      <c r="A36" s="85"/>
      <c r="B36" s="37">
        <f t="shared" ref="B36:B42" si="1">ROW()-13</f>
        <v>23</v>
      </c>
      <c r="C36" s="107" t="s">
        <v>36</v>
      </c>
      <c r="D36" s="107"/>
      <c r="E36" s="108"/>
      <c r="F36" s="109" t="s">
        <v>78</v>
      </c>
      <c r="G36" s="110"/>
      <c r="H36" s="18" t="s">
        <v>51</v>
      </c>
      <c r="I36" s="59"/>
      <c r="J36" s="113">
        <v>12</v>
      </c>
      <c r="K36" s="113"/>
      <c r="L36" s="114"/>
      <c r="M36" s="115" t="s">
        <v>35</v>
      </c>
      <c r="N36" s="116">
        <f t="shared" si="0"/>
        <v>12</v>
      </c>
      <c r="O36" s="171"/>
      <c r="P36" s="197"/>
      <c r="Q36" s="198"/>
      <c r="R36" s="198"/>
      <c r="S36" s="198"/>
      <c r="T36" s="198"/>
      <c r="U36" s="199"/>
    </row>
    <row r="37" spans="1:21" ht="15.75">
      <c r="A37" s="85"/>
      <c r="B37" s="37">
        <f t="shared" si="1"/>
        <v>24</v>
      </c>
      <c r="C37" s="107" t="s">
        <v>37</v>
      </c>
      <c r="D37" s="107"/>
      <c r="E37" s="108"/>
      <c r="F37" s="109" t="s">
        <v>43</v>
      </c>
      <c r="G37" s="110"/>
      <c r="H37" s="18" t="s">
        <v>51</v>
      </c>
      <c r="I37" s="59"/>
      <c r="J37" s="113">
        <v>10</v>
      </c>
      <c r="K37" s="113"/>
      <c r="L37" s="114"/>
      <c r="M37" s="115" t="s">
        <v>21</v>
      </c>
      <c r="N37" s="116">
        <f t="shared" si="0"/>
        <v>10</v>
      </c>
      <c r="O37" s="171"/>
      <c r="P37" s="197"/>
      <c r="Q37" s="198"/>
      <c r="R37" s="198"/>
      <c r="S37" s="198"/>
      <c r="T37" s="198"/>
      <c r="U37" s="199"/>
    </row>
    <row r="38" spans="1:21" ht="15.75">
      <c r="A38" s="85"/>
      <c r="B38" s="37">
        <f t="shared" si="1"/>
        <v>25</v>
      </c>
      <c r="C38" s="107" t="s">
        <v>38</v>
      </c>
      <c r="D38" s="107"/>
      <c r="E38" s="108"/>
      <c r="F38" s="109" t="s">
        <v>80</v>
      </c>
      <c r="G38" s="110"/>
      <c r="H38" s="18" t="s">
        <v>86</v>
      </c>
      <c r="I38" s="59"/>
      <c r="J38" s="113"/>
      <c r="K38" s="113"/>
      <c r="L38" s="114"/>
      <c r="M38" s="115" t="s">
        <v>21</v>
      </c>
      <c r="N38" s="116">
        <f t="shared" si="0"/>
        <v>0</v>
      </c>
      <c r="O38" s="171"/>
      <c r="P38" s="197"/>
      <c r="Q38" s="198"/>
      <c r="R38" s="198"/>
      <c r="S38" s="198"/>
      <c r="T38" s="198"/>
      <c r="U38" s="199"/>
    </row>
    <row r="39" spans="1:21" ht="15.75">
      <c r="A39" s="85"/>
      <c r="B39" s="37">
        <f t="shared" si="1"/>
        <v>26</v>
      </c>
      <c r="C39" s="107" t="s">
        <v>39</v>
      </c>
      <c r="D39" s="107"/>
      <c r="E39" s="108"/>
      <c r="F39" s="109" t="s">
        <v>79</v>
      </c>
      <c r="G39" s="110"/>
      <c r="H39" s="18" t="s">
        <v>51</v>
      </c>
      <c r="I39" s="59"/>
      <c r="J39" s="113">
        <v>12</v>
      </c>
      <c r="K39" s="113"/>
      <c r="L39" s="114"/>
      <c r="M39" s="115" t="s">
        <v>35</v>
      </c>
      <c r="N39" s="116">
        <f t="shared" si="0"/>
        <v>12</v>
      </c>
      <c r="O39" s="171"/>
      <c r="P39" s="197"/>
      <c r="Q39" s="198"/>
      <c r="R39" s="198"/>
      <c r="S39" s="198"/>
      <c r="T39" s="198"/>
      <c r="U39" s="199"/>
    </row>
    <row r="40" spans="1:21" ht="15.75">
      <c r="A40" s="85"/>
      <c r="B40" s="37">
        <f t="shared" si="1"/>
        <v>27</v>
      </c>
      <c r="C40" s="107" t="s">
        <v>40</v>
      </c>
      <c r="D40" s="107"/>
      <c r="E40" s="108"/>
      <c r="F40" s="109" t="s">
        <v>44</v>
      </c>
      <c r="G40" s="110"/>
      <c r="H40" s="18" t="s">
        <v>51</v>
      </c>
      <c r="I40" s="59"/>
      <c r="J40" s="113">
        <v>10</v>
      </c>
      <c r="K40" s="113"/>
      <c r="L40" s="114"/>
      <c r="M40" s="115" t="s">
        <v>21</v>
      </c>
      <c r="N40" s="116">
        <f t="shared" si="0"/>
        <v>10</v>
      </c>
      <c r="O40" s="171"/>
      <c r="P40" s="197"/>
      <c r="Q40" s="198"/>
      <c r="R40" s="198"/>
      <c r="S40" s="198"/>
      <c r="T40" s="198"/>
      <c r="U40" s="199"/>
    </row>
    <row r="41" spans="1:21" ht="15.75">
      <c r="A41" s="85"/>
      <c r="B41" s="37">
        <f t="shared" si="1"/>
        <v>28</v>
      </c>
      <c r="C41" s="107" t="s">
        <v>41</v>
      </c>
      <c r="D41" s="107"/>
      <c r="E41" s="108"/>
      <c r="F41" s="109" t="s">
        <v>81</v>
      </c>
      <c r="G41" s="110"/>
      <c r="H41" s="18" t="s">
        <v>86</v>
      </c>
      <c r="I41" s="59"/>
      <c r="J41" s="113"/>
      <c r="K41" s="113"/>
      <c r="L41" s="114"/>
      <c r="M41" s="115" t="s">
        <v>21</v>
      </c>
      <c r="N41" s="116">
        <f t="shared" si="0"/>
        <v>0</v>
      </c>
      <c r="O41" s="171"/>
      <c r="P41" s="197"/>
      <c r="Q41" s="198"/>
      <c r="R41" s="198"/>
      <c r="S41" s="198"/>
      <c r="T41" s="198"/>
      <c r="U41" s="199"/>
    </row>
    <row r="42" spans="1:21" ht="15.75">
      <c r="A42" s="85"/>
      <c r="B42" s="37">
        <f t="shared" si="1"/>
        <v>29</v>
      </c>
      <c r="C42" s="80" t="s">
        <v>46</v>
      </c>
      <c r="D42" s="80"/>
      <c r="E42" s="81"/>
      <c r="F42" s="84" t="s">
        <v>71</v>
      </c>
      <c r="G42" s="17"/>
      <c r="H42" s="18" t="s">
        <v>62</v>
      </c>
      <c r="I42" s="59"/>
      <c r="J42" s="19">
        <v>8</v>
      </c>
      <c r="K42" s="19"/>
      <c r="L42" s="50" t="s">
        <v>47</v>
      </c>
      <c r="M42" s="73" t="s">
        <v>35</v>
      </c>
      <c r="N42" s="54">
        <f t="shared" si="0"/>
        <v>8</v>
      </c>
      <c r="O42" s="170">
        <v>0</v>
      </c>
      <c r="P42" s="191" t="s">
        <v>48</v>
      </c>
      <c r="Q42" s="192"/>
      <c r="R42" s="192"/>
      <c r="S42" s="192"/>
      <c r="T42" s="192"/>
      <c r="U42" s="193"/>
    </row>
    <row r="43" spans="1:21" ht="16.5" thickBot="1">
      <c r="A43" s="118"/>
      <c r="B43" s="119"/>
      <c r="C43" s="120"/>
      <c r="D43" s="120"/>
      <c r="E43" s="121"/>
      <c r="F43" s="129"/>
      <c r="G43" s="122"/>
      <c r="H43" s="147"/>
      <c r="I43" s="148"/>
      <c r="J43" s="125"/>
      <c r="K43" s="125"/>
      <c r="L43" s="126"/>
      <c r="M43" s="126"/>
      <c r="N43" s="127"/>
      <c r="O43" s="172"/>
      <c r="P43" s="194"/>
      <c r="Q43" s="195"/>
      <c r="R43" s="195"/>
      <c r="S43" s="195"/>
      <c r="T43" s="195"/>
      <c r="U43" s="196"/>
    </row>
  </sheetData>
  <mergeCells count="60">
    <mergeCell ref="P40:U40"/>
    <mergeCell ref="P41:U41"/>
    <mergeCell ref="P42:U42"/>
    <mergeCell ref="P43:U43"/>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79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379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379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379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379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379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7B26A0CF-10AD-44DB-B1D7-3C136F35CB59}">
            <xm:f>(AND(H14&lt;&gt;"",ISERROR(VLOOKUP(H14,system!$E:$E,1,FALSE))))</xm:f>
            <x14:dxf>
              <fill>
                <patternFill patternType="solid">
                  <bgColor rgb="FFFF0000"/>
                </patternFill>
              </fill>
            </x14:dxf>
          </x14:cfRule>
          <xm:sqref>H14:H35</xm:sqref>
        </x14:conditionalFormatting>
        <x14:conditionalFormatting xmlns:xm="http://schemas.microsoft.com/office/excel/2006/main">
          <x14:cfRule type="expression" priority="3" id="{D401384B-E883-4B76-BD37-4BD94D72F115}">
            <xm:f>(AND(H14&lt;&gt;"",ISERROR(VLOOKUP(H14,system!$E:$E,1,FALSE))))</xm:f>
            <x14:dxf>
              <fill>
                <patternFill>
                  <bgColor rgb="FFFF0000"/>
                </patternFill>
              </fill>
            </x14:dxf>
          </x14:cfRule>
          <xm:sqref>I14:I35</xm:sqref>
        </x14:conditionalFormatting>
        <x14:conditionalFormatting xmlns:xm="http://schemas.microsoft.com/office/excel/2006/main">
          <x14:cfRule type="expression" priority="2" id="{69F4B660-9292-40E7-9A69-CE017BEA1E84}">
            <xm:f>(AND(H36&lt;&gt;"",ISERROR(VLOOKUP(H36,system!$E:$E,1,FALSE))))</xm:f>
            <x14:dxf>
              <fill>
                <patternFill patternType="solid">
                  <bgColor rgb="FFFF0000"/>
                </patternFill>
              </fill>
            </x14:dxf>
          </x14:cfRule>
          <xm:sqref>H36:H43</xm:sqref>
        </x14:conditionalFormatting>
        <x14:conditionalFormatting xmlns:xm="http://schemas.microsoft.com/office/excel/2006/main">
          <x14:cfRule type="expression" priority="1" id="{AD1B031F-1B15-4112-8661-9C55394BA250}">
            <xm:f>(AND(H36&lt;&gt;"",ISERROR(VLOOKUP(H36,system!$E:$E,1,FALSE))))</xm:f>
            <x14:dxf>
              <fill>
                <patternFill>
                  <bgColor rgb="FFFF0000"/>
                </patternFill>
              </fill>
            </x14:dxf>
          </x14:cfRule>
          <xm:sqref>I36:I43</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A1:U29"/>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469</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135</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t="s">
        <v>465</v>
      </c>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SUM(N14:N30)</f>
        <v>69</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28" si="0">IF(H14="NUMBER",IF(J14&gt;0,INT((J14+1)/2+0.9),0),IF(H14="DATE",7,IF(OR(H14="LONG",H14="LONG RAW"),100000,J14)))</f>
        <v>1</v>
      </c>
      <c r="O14" s="170"/>
      <c r="P14" s="191" t="s">
        <v>175</v>
      </c>
      <c r="Q14" s="192"/>
      <c r="R14" s="192"/>
      <c r="S14" s="192"/>
      <c r="T14" s="192"/>
      <c r="U14" s="193"/>
    </row>
    <row r="15" spans="1:21" ht="27.6" customHeight="1">
      <c r="A15" s="85" t="s">
        <v>191</v>
      </c>
      <c r="B15" s="37">
        <f>ROW()-13</f>
        <v>2</v>
      </c>
      <c r="C15" s="145" t="s">
        <v>470</v>
      </c>
      <c r="D15" s="80"/>
      <c r="E15" s="81"/>
      <c r="F15" s="146"/>
      <c r="G15" s="17"/>
      <c r="H15" s="18" t="s">
        <v>49</v>
      </c>
      <c r="I15" s="59"/>
      <c r="J15" s="19">
        <v>1</v>
      </c>
      <c r="K15" s="19"/>
      <c r="L15" s="50" t="s">
        <v>190</v>
      </c>
      <c r="M15" s="73" t="s">
        <v>21</v>
      </c>
      <c r="N15" s="54">
        <f t="shared" si="0"/>
        <v>1</v>
      </c>
      <c r="O15" s="170"/>
      <c r="P15" s="251" t="s">
        <v>471</v>
      </c>
      <c r="Q15" s="192"/>
      <c r="R15" s="192"/>
      <c r="S15" s="192"/>
      <c r="T15" s="192"/>
      <c r="U15" s="193"/>
    </row>
    <row r="16" spans="1:21" ht="15.75" customHeight="1">
      <c r="A16" s="85" t="s">
        <v>191</v>
      </c>
      <c r="B16" s="37">
        <f>ROW()-13</f>
        <v>3</v>
      </c>
      <c r="C16" s="145" t="s">
        <v>390</v>
      </c>
      <c r="D16" s="80"/>
      <c r="E16" s="81"/>
      <c r="F16" s="146"/>
      <c r="G16" s="17"/>
      <c r="H16" s="18" t="s">
        <v>49</v>
      </c>
      <c r="I16" s="59"/>
      <c r="J16" s="19">
        <v>4</v>
      </c>
      <c r="K16" s="19"/>
      <c r="L16" s="50"/>
      <c r="M16" s="73" t="s">
        <v>21</v>
      </c>
      <c r="N16" s="54">
        <f t="shared" si="0"/>
        <v>4</v>
      </c>
      <c r="O16" s="170"/>
      <c r="P16" s="191"/>
      <c r="Q16" s="192"/>
      <c r="R16" s="192"/>
      <c r="S16" s="192"/>
      <c r="T16" s="192"/>
      <c r="U16" s="193"/>
    </row>
    <row r="17" spans="1:21" ht="15.75" customHeight="1">
      <c r="A17" s="85" t="s">
        <v>191</v>
      </c>
      <c r="B17" s="37">
        <f>ROW()-13</f>
        <v>4</v>
      </c>
      <c r="C17" s="145" t="s">
        <v>318</v>
      </c>
      <c r="D17" s="80"/>
      <c r="E17" s="81"/>
      <c r="F17" s="146"/>
      <c r="G17" s="17"/>
      <c r="H17" s="18" t="s">
        <v>51</v>
      </c>
      <c r="I17" s="59"/>
      <c r="J17" s="19">
        <v>4</v>
      </c>
      <c r="K17" s="19"/>
      <c r="L17" s="50"/>
      <c r="M17" s="73" t="s">
        <v>21</v>
      </c>
      <c r="N17" s="54">
        <f t="shared" si="0"/>
        <v>4</v>
      </c>
      <c r="O17" s="170"/>
      <c r="P17" s="191" t="s">
        <v>202</v>
      </c>
      <c r="Q17" s="192"/>
      <c r="R17" s="192"/>
      <c r="S17" s="192"/>
      <c r="T17" s="192"/>
      <c r="U17" s="193"/>
    </row>
    <row r="18" spans="1:21" ht="15.75" customHeight="1">
      <c r="A18" s="85"/>
      <c r="B18" s="37">
        <f>ROW()-13</f>
        <v>5</v>
      </c>
      <c r="C18" s="145" t="s">
        <v>472</v>
      </c>
      <c r="D18" s="80"/>
      <c r="E18" s="81"/>
      <c r="F18" s="146"/>
      <c r="G18" s="17"/>
      <c r="H18" s="18" t="s">
        <v>24</v>
      </c>
      <c r="I18" s="59"/>
      <c r="J18" s="19"/>
      <c r="K18" s="19"/>
      <c r="L18" s="50" t="s">
        <v>190</v>
      </c>
      <c r="M18" s="73" t="s">
        <v>21</v>
      </c>
      <c r="N18" s="54">
        <f t="shared" si="0"/>
        <v>7</v>
      </c>
      <c r="O18" s="170"/>
      <c r="P18" s="191"/>
      <c r="Q18" s="192"/>
      <c r="R18" s="192"/>
      <c r="S18" s="192"/>
      <c r="T18" s="192"/>
      <c r="U18" s="193"/>
    </row>
    <row r="19" spans="1:21" ht="15.75" customHeight="1">
      <c r="A19" s="85"/>
      <c r="B19" s="37">
        <f>ROW()-13</f>
        <v>6</v>
      </c>
      <c r="C19" s="145" t="s">
        <v>473</v>
      </c>
      <c r="D19" s="80"/>
      <c r="E19" s="81"/>
      <c r="F19" s="146"/>
      <c r="G19" s="17"/>
      <c r="H19" s="18" t="s">
        <v>54</v>
      </c>
      <c r="I19" s="59"/>
      <c r="J19" s="19"/>
      <c r="K19" s="19"/>
      <c r="L19" s="50" t="s">
        <v>190</v>
      </c>
      <c r="M19" s="73" t="s">
        <v>21</v>
      </c>
      <c r="N19" s="54">
        <f t="shared" si="0"/>
        <v>0</v>
      </c>
      <c r="O19" s="170"/>
      <c r="P19" s="191"/>
      <c r="Q19" s="192"/>
      <c r="R19" s="192"/>
      <c r="S19" s="192"/>
      <c r="T19" s="192"/>
      <c r="U19" s="193"/>
    </row>
    <row r="20" spans="1:21" ht="15.75" customHeight="1">
      <c r="A20" s="85"/>
      <c r="B20" s="37">
        <f>ROW()-13</f>
        <v>7</v>
      </c>
      <c r="C20" s="145" t="s">
        <v>474</v>
      </c>
      <c r="D20" s="80"/>
      <c r="E20" s="81"/>
      <c r="F20" s="146"/>
      <c r="G20" s="17"/>
      <c r="H20" s="18" t="s">
        <v>208</v>
      </c>
      <c r="I20" s="59"/>
      <c r="J20" s="19"/>
      <c r="K20" s="19"/>
      <c r="L20" s="50" t="s">
        <v>190</v>
      </c>
      <c r="M20" s="73" t="s">
        <v>21</v>
      </c>
      <c r="N20" s="54">
        <f t="shared" si="0"/>
        <v>0</v>
      </c>
      <c r="O20" s="170"/>
      <c r="P20" s="191"/>
      <c r="Q20" s="192"/>
      <c r="R20" s="192"/>
      <c r="S20" s="192"/>
      <c r="T20" s="192"/>
      <c r="U20" s="193"/>
    </row>
    <row r="21" spans="1:21" ht="15.75" customHeight="1">
      <c r="A21" s="85"/>
      <c r="B21" s="37">
        <f>ROW()-13</f>
        <v>8</v>
      </c>
      <c r="C21" s="145" t="s">
        <v>475</v>
      </c>
      <c r="D21" s="80"/>
      <c r="E21" s="81"/>
      <c r="F21" s="146"/>
      <c r="G21" s="17"/>
      <c r="H21" s="18" t="s">
        <v>208</v>
      </c>
      <c r="I21" s="59"/>
      <c r="J21" s="19"/>
      <c r="K21" s="19"/>
      <c r="L21" s="50" t="s">
        <v>190</v>
      </c>
      <c r="M21" s="73" t="s">
        <v>21</v>
      </c>
      <c r="N21" s="54">
        <f t="shared" si="0"/>
        <v>0</v>
      </c>
      <c r="O21" s="170"/>
      <c r="P21" s="191"/>
      <c r="Q21" s="192"/>
      <c r="R21" s="192"/>
      <c r="S21" s="192"/>
      <c r="T21" s="192"/>
      <c r="U21" s="193"/>
    </row>
    <row r="22" spans="1:21" ht="15.75">
      <c r="A22" s="85"/>
      <c r="B22" s="37">
        <f t="shared" ref="B22:B28" si="1">ROW()-13</f>
        <v>9</v>
      </c>
      <c r="C22" s="107" t="s">
        <v>36</v>
      </c>
      <c r="D22" s="107"/>
      <c r="E22" s="108"/>
      <c r="F22" s="109" t="s">
        <v>78</v>
      </c>
      <c r="G22" s="110"/>
      <c r="H22" s="18" t="s">
        <v>51</v>
      </c>
      <c r="I22" s="59"/>
      <c r="J22" s="113">
        <v>12</v>
      </c>
      <c r="K22" s="113"/>
      <c r="L22" s="114"/>
      <c r="M22" s="115" t="s">
        <v>35</v>
      </c>
      <c r="N22" s="116">
        <f t="shared" si="0"/>
        <v>12</v>
      </c>
      <c r="O22" s="171"/>
      <c r="P22" s="197"/>
      <c r="Q22" s="198"/>
      <c r="R22" s="198"/>
      <c r="S22" s="198"/>
      <c r="T22" s="198"/>
      <c r="U22" s="199"/>
    </row>
    <row r="23" spans="1:21" ht="15.75">
      <c r="A23" s="85"/>
      <c r="B23" s="37">
        <f t="shared" si="1"/>
        <v>10</v>
      </c>
      <c r="C23" s="107" t="s">
        <v>37</v>
      </c>
      <c r="D23" s="107"/>
      <c r="E23" s="108"/>
      <c r="F23" s="109" t="s">
        <v>43</v>
      </c>
      <c r="G23" s="110"/>
      <c r="H23" s="18" t="s">
        <v>51</v>
      </c>
      <c r="I23" s="59"/>
      <c r="J23" s="113">
        <v>10</v>
      </c>
      <c r="K23" s="113"/>
      <c r="L23" s="114"/>
      <c r="M23" s="115" t="s">
        <v>21</v>
      </c>
      <c r="N23" s="116">
        <f t="shared" si="0"/>
        <v>10</v>
      </c>
      <c r="O23" s="171"/>
      <c r="P23" s="197"/>
      <c r="Q23" s="198"/>
      <c r="R23" s="198"/>
      <c r="S23" s="198"/>
      <c r="T23" s="198"/>
      <c r="U23" s="199"/>
    </row>
    <row r="24" spans="1:21" ht="15.75">
      <c r="A24" s="85"/>
      <c r="B24" s="37">
        <f t="shared" si="1"/>
        <v>11</v>
      </c>
      <c r="C24" s="107" t="s">
        <v>38</v>
      </c>
      <c r="D24" s="107"/>
      <c r="E24" s="108"/>
      <c r="F24" s="109" t="s">
        <v>80</v>
      </c>
      <c r="G24" s="110"/>
      <c r="H24" s="18" t="s">
        <v>86</v>
      </c>
      <c r="I24" s="59"/>
      <c r="J24" s="113"/>
      <c r="K24" s="113"/>
      <c r="L24" s="114"/>
      <c r="M24" s="115" t="s">
        <v>21</v>
      </c>
      <c r="N24" s="116">
        <f t="shared" si="0"/>
        <v>0</v>
      </c>
      <c r="O24" s="171"/>
      <c r="P24" s="197"/>
      <c r="Q24" s="198"/>
      <c r="R24" s="198"/>
      <c r="S24" s="198"/>
      <c r="T24" s="198"/>
      <c r="U24" s="199"/>
    </row>
    <row r="25" spans="1:21" ht="15.75">
      <c r="A25" s="85"/>
      <c r="B25" s="37">
        <f t="shared" si="1"/>
        <v>12</v>
      </c>
      <c r="C25" s="107" t="s">
        <v>39</v>
      </c>
      <c r="D25" s="107"/>
      <c r="E25" s="108"/>
      <c r="F25" s="109" t="s">
        <v>79</v>
      </c>
      <c r="G25" s="110"/>
      <c r="H25" s="18" t="s">
        <v>51</v>
      </c>
      <c r="I25" s="59"/>
      <c r="J25" s="113">
        <v>12</v>
      </c>
      <c r="K25" s="113"/>
      <c r="L25" s="114"/>
      <c r="M25" s="115" t="s">
        <v>35</v>
      </c>
      <c r="N25" s="116">
        <f t="shared" si="0"/>
        <v>12</v>
      </c>
      <c r="O25" s="171"/>
      <c r="P25" s="197"/>
      <c r="Q25" s="198"/>
      <c r="R25" s="198"/>
      <c r="S25" s="198"/>
      <c r="T25" s="198"/>
      <c r="U25" s="199"/>
    </row>
    <row r="26" spans="1:21" ht="15.75">
      <c r="A26" s="85"/>
      <c r="B26" s="37">
        <f t="shared" si="1"/>
        <v>13</v>
      </c>
      <c r="C26" s="107" t="s">
        <v>40</v>
      </c>
      <c r="D26" s="107"/>
      <c r="E26" s="108"/>
      <c r="F26" s="109" t="s">
        <v>44</v>
      </c>
      <c r="G26" s="110"/>
      <c r="H26" s="18" t="s">
        <v>51</v>
      </c>
      <c r="I26" s="59"/>
      <c r="J26" s="113">
        <v>10</v>
      </c>
      <c r="K26" s="113"/>
      <c r="L26" s="114"/>
      <c r="M26" s="115" t="s">
        <v>21</v>
      </c>
      <c r="N26" s="116">
        <f t="shared" si="0"/>
        <v>10</v>
      </c>
      <c r="O26" s="171"/>
      <c r="P26" s="197"/>
      <c r="Q26" s="198"/>
      <c r="R26" s="198"/>
      <c r="S26" s="198"/>
      <c r="T26" s="198"/>
      <c r="U26" s="199"/>
    </row>
    <row r="27" spans="1:21" ht="15.75">
      <c r="A27" s="85"/>
      <c r="B27" s="37">
        <f t="shared" si="1"/>
        <v>14</v>
      </c>
      <c r="C27" s="107" t="s">
        <v>41</v>
      </c>
      <c r="D27" s="107"/>
      <c r="E27" s="108"/>
      <c r="F27" s="109" t="s">
        <v>81</v>
      </c>
      <c r="G27" s="110"/>
      <c r="H27" s="18" t="s">
        <v>86</v>
      </c>
      <c r="I27" s="59"/>
      <c r="J27" s="113"/>
      <c r="K27" s="113"/>
      <c r="L27" s="114"/>
      <c r="M27" s="115" t="s">
        <v>21</v>
      </c>
      <c r="N27" s="116">
        <f t="shared" si="0"/>
        <v>0</v>
      </c>
      <c r="O27" s="171"/>
      <c r="P27" s="197"/>
      <c r="Q27" s="198"/>
      <c r="R27" s="198"/>
      <c r="S27" s="198"/>
      <c r="T27" s="198"/>
      <c r="U27" s="199"/>
    </row>
    <row r="28" spans="1:21" ht="15.75">
      <c r="A28" s="85"/>
      <c r="B28" s="37">
        <f t="shared" si="1"/>
        <v>15</v>
      </c>
      <c r="C28" s="80" t="s">
        <v>46</v>
      </c>
      <c r="D28" s="80"/>
      <c r="E28" s="81"/>
      <c r="F28" s="84" t="s">
        <v>71</v>
      </c>
      <c r="G28" s="17"/>
      <c r="H28" s="18" t="s">
        <v>62</v>
      </c>
      <c r="I28" s="59"/>
      <c r="J28" s="19">
        <v>8</v>
      </c>
      <c r="K28" s="19"/>
      <c r="L28" s="50" t="s">
        <v>47</v>
      </c>
      <c r="M28" s="73" t="s">
        <v>35</v>
      </c>
      <c r="N28" s="54">
        <f t="shared" si="0"/>
        <v>8</v>
      </c>
      <c r="O28" s="170">
        <v>0</v>
      </c>
      <c r="P28" s="191" t="s">
        <v>48</v>
      </c>
      <c r="Q28" s="192"/>
      <c r="R28" s="192"/>
      <c r="S28" s="192"/>
      <c r="T28" s="192"/>
      <c r="U28" s="193"/>
    </row>
    <row r="29" spans="1:21" ht="16.5" thickBot="1">
      <c r="A29" s="118"/>
      <c r="B29" s="119"/>
      <c r="C29" s="120"/>
      <c r="D29" s="120"/>
      <c r="E29" s="121"/>
      <c r="F29" s="129"/>
      <c r="G29" s="122"/>
      <c r="H29" s="147"/>
      <c r="I29" s="148"/>
      <c r="J29" s="125"/>
      <c r="K29" s="125"/>
      <c r="L29" s="126"/>
      <c r="M29" s="126"/>
      <c r="N29" s="127"/>
      <c r="O29" s="172"/>
      <c r="P29" s="194"/>
      <c r="Q29" s="195"/>
      <c r="R29" s="195"/>
      <c r="S29" s="195"/>
      <c r="T29" s="195"/>
      <c r="U29" s="196"/>
    </row>
  </sheetData>
  <mergeCells count="46">
    <mergeCell ref="P28:U28"/>
    <mergeCell ref="P29:U29"/>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481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481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482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482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482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8E6A2F9-2E85-4F51-A075-D17F620D70C7}">
            <xm:f>(AND(H14&lt;&gt;"",ISERROR(VLOOKUP(H14,system!$E:$E,1,FALSE))))</xm:f>
            <x14:dxf>
              <fill>
                <patternFill patternType="solid">
                  <bgColor rgb="FFFF0000"/>
                </patternFill>
              </fill>
            </x14:dxf>
          </x14:cfRule>
          <xm:sqref>H14:H21</xm:sqref>
        </x14:conditionalFormatting>
        <x14:conditionalFormatting xmlns:xm="http://schemas.microsoft.com/office/excel/2006/main">
          <x14:cfRule type="expression" priority="3" id="{68FEC4B5-2471-4E73-B15B-118B370F8F05}">
            <xm:f>(AND(H14&lt;&gt;"",ISERROR(VLOOKUP(H14,system!$E:$E,1,FALSE))))</xm:f>
            <x14:dxf>
              <fill>
                <patternFill>
                  <bgColor rgb="FFFF0000"/>
                </patternFill>
              </fill>
            </x14:dxf>
          </x14:cfRule>
          <xm:sqref>I14:I21</xm:sqref>
        </x14:conditionalFormatting>
        <x14:conditionalFormatting xmlns:xm="http://schemas.microsoft.com/office/excel/2006/main">
          <x14:cfRule type="expression" priority="2" id="{FCDB8AAB-209D-404F-9FAC-8065E21BF827}">
            <xm:f>(AND(H22&lt;&gt;"",ISERROR(VLOOKUP(H22,system!$E:$E,1,FALSE))))</xm:f>
            <x14:dxf>
              <fill>
                <patternFill patternType="solid">
                  <bgColor rgb="FFFF0000"/>
                </patternFill>
              </fill>
            </x14:dxf>
          </x14:cfRule>
          <xm:sqref>H22:H29</xm:sqref>
        </x14:conditionalFormatting>
        <x14:conditionalFormatting xmlns:xm="http://schemas.microsoft.com/office/excel/2006/main">
          <x14:cfRule type="expression" priority="1" id="{843398F5-8F92-4892-91DF-F0ADD9261877}">
            <xm:f>(AND(H22&lt;&gt;"",ISERROR(VLOOKUP(H22,system!$E:$E,1,FALSE))))</xm:f>
            <x14:dxf>
              <fill>
                <patternFill>
                  <bgColor rgb="FFFF0000"/>
                </patternFill>
              </fill>
            </x14:dxf>
          </x14:cfRule>
          <xm:sqref>I22:I29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A1:U37"/>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479</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137</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t="s">
        <v>476</v>
      </c>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SUM(N14:N38)</f>
        <v>104</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261</v>
      </c>
      <c r="D14" s="80"/>
      <c r="E14" s="81"/>
      <c r="F14" s="146"/>
      <c r="G14" s="17"/>
      <c r="H14" s="18" t="s">
        <v>49</v>
      </c>
      <c r="I14" s="59"/>
      <c r="J14" s="19">
        <v>1</v>
      </c>
      <c r="K14" s="19"/>
      <c r="L14" s="50" t="s">
        <v>190</v>
      </c>
      <c r="M14" s="73" t="s">
        <v>21</v>
      </c>
      <c r="N14" s="54">
        <f t="shared" ref="N14:N36" si="0">IF(H14="NUMBER",IF(J14&gt;0,INT((J14+1)/2+0.9),0),IF(H14="DATE",7,IF(OR(H14="LONG",H14="LONG RAW"),100000,J14)))</f>
        <v>1</v>
      </c>
      <c r="O14" s="170"/>
      <c r="P14" s="191" t="s">
        <v>175</v>
      </c>
      <c r="Q14" s="192"/>
      <c r="R14" s="192"/>
      <c r="S14" s="192"/>
      <c r="T14" s="192"/>
      <c r="U14" s="193"/>
    </row>
    <row r="15" spans="1:21" ht="27.6" customHeight="1">
      <c r="A15" s="85" t="s">
        <v>191</v>
      </c>
      <c r="B15" s="37">
        <f>ROW()-13</f>
        <v>2</v>
      </c>
      <c r="C15" s="145" t="s">
        <v>470</v>
      </c>
      <c r="D15" s="80"/>
      <c r="E15" s="81"/>
      <c r="F15" s="146"/>
      <c r="G15" s="17"/>
      <c r="H15" s="18" t="s">
        <v>49</v>
      </c>
      <c r="I15" s="59"/>
      <c r="J15" s="19">
        <v>1</v>
      </c>
      <c r="K15" s="19"/>
      <c r="L15" s="50" t="s">
        <v>190</v>
      </c>
      <c r="M15" s="73" t="s">
        <v>21</v>
      </c>
      <c r="N15" s="54">
        <f t="shared" si="0"/>
        <v>1</v>
      </c>
      <c r="O15" s="170"/>
      <c r="P15" s="251" t="s">
        <v>471</v>
      </c>
      <c r="Q15" s="192"/>
      <c r="R15" s="192"/>
      <c r="S15" s="192"/>
      <c r="T15" s="192"/>
      <c r="U15" s="193"/>
    </row>
    <row r="16" spans="1:21" ht="15.75" customHeight="1">
      <c r="A16" s="85"/>
      <c r="B16" s="37">
        <f>ROW()-13</f>
        <v>3</v>
      </c>
      <c r="C16" s="145" t="s">
        <v>390</v>
      </c>
      <c r="D16" s="80"/>
      <c r="E16" s="81"/>
      <c r="F16" s="146"/>
      <c r="G16" s="17"/>
      <c r="H16" s="18" t="s">
        <v>49</v>
      </c>
      <c r="I16" s="59"/>
      <c r="J16" s="19">
        <v>4</v>
      </c>
      <c r="K16" s="19"/>
      <c r="L16" s="50" t="s">
        <v>190</v>
      </c>
      <c r="M16" s="73" t="s">
        <v>21</v>
      </c>
      <c r="N16" s="54">
        <f t="shared" si="0"/>
        <v>4</v>
      </c>
      <c r="O16" s="170"/>
      <c r="P16" s="191" t="s">
        <v>152</v>
      </c>
      <c r="Q16" s="192"/>
      <c r="R16" s="192"/>
      <c r="S16" s="192"/>
      <c r="T16" s="192"/>
      <c r="U16" s="193"/>
    </row>
    <row r="17" spans="1:21" ht="15.75" customHeight="1">
      <c r="A17" s="85"/>
      <c r="B17" s="37">
        <f>ROW()-13</f>
        <v>4</v>
      </c>
      <c r="C17" s="145" t="s">
        <v>318</v>
      </c>
      <c r="D17" s="80"/>
      <c r="E17" s="81"/>
      <c r="F17" s="146"/>
      <c r="G17" s="17"/>
      <c r="H17" s="18" t="s">
        <v>51</v>
      </c>
      <c r="I17" s="59"/>
      <c r="J17" s="19">
        <v>4</v>
      </c>
      <c r="K17" s="19"/>
      <c r="L17" s="50" t="s">
        <v>190</v>
      </c>
      <c r="M17" s="73" t="s">
        <v>21</v>
      </c>
      <c r="N17" s="54">
        <f t="shared" si="0"/>
        <v>4</v>
      </c>
      <c r="O17" s="170"/>
      <c r="P17" s="191" t="s">
        <v>202</v>
      </c>
      <c r="Q17" s="192"/>
      <c r="R17" s="192"/>
      <c r="S17" s="192"/>
      <c r="T17" s="192"/>
      <c r="U17" s="193"/>
    </row>
    <row r="18" spans="1:21" ht="15.75" customHeight="1">
      <c r="A18" s="85"/>
      <c r="B18" s="37">
        <f>ROW()-13</f>
        <v>5</v>
      </c>
      <c r="C18" s="145" t="s">
        <v>196</v>
      </c>
      <c r="D18" s="80"/>
      <c r="E18" s="81"/>
      <c r="F18" s="146"/>
      <c r="G18" s="17"/>
      <c r="H18" s="18" t="s">
        <v>49</v>
      </c>
      <c r="I18" s="59"/>
      <c r="J18" s="19">
        <v>12</v>
      </c>
      <c r="K18" s="19"/>
      <c r="L18" s="50" t="s">
        <v>190</v>
      </c>
      <c r="M18" s="73" t="s">
        <v>21</v>
      </c>
      <c r="N18" s="54">
        <f t="shared" si="0"/>
        <v>12</v>
      </c>
      <c r="O18" s="170"/>
      <c r="P18" s="191"/>
      <c r="Q18" s="192"/>
      <c r="R18" s="192"/>
      <c r="S18" s="192"/>
      <c r="T18" s="192"/>
      <c r="U18" s="193"/>
    </row>
    <row r="19" spans="1:21" ht="15.75" customHeight="1">
      <c r="A19" s="85" t="s">
        <v>191</v>
      </c>
      <c r="B19" s="37">
        <f>ROW()-13</f>
        <v>6</v>
      </c>
      <c r="C19" s="145" t="s">
        <v>198</v>
      </c>
      <c r="D19" s="80"/>
      <c r="E19" s="81"/>
      <c r="F19" s="146"/>
      <c r="G19" s="17"/>
      <c r="H19" s="18" t="s">
        <v>51</v>
      </c>
      <c r="I19" s="59"/>
      <c r="J19" s="19">
        <v>25</v>
      </c>
      <c r="K19" s="19"/>
      <c r="L19" s="50" t="s">
        <v>190</v>
      </c>
      <c r="M19" s="73" t="s">
        <v>21</v>
      </c>
      <c r="N19" s="54">
        <f t="shared" si="0"/>
        <v>25</v>
      </c>
      <c r="O19" s="170"/>
      <c r="P19" s="191"/>
      <c r="Q19" s="192"/>
      <c r="R19" s="192"/>
      <c r="S19" s="192"/>
      <c r="T19" s="192"/>
      <c r="U19" s="193"/>
    </row>
    <row r="20" spans="1:21" ht="15.75" customHeight="1">
      <c r="A20" s="85" t="s">
        <v>191</v>
      </c>
      <c r="B20" s="37">
        <f>ROW()-13</f>
        <v>7</v>
      </c>
      <c r="C20" s="145" t="s">
        <v>200</v>
      </c>
      <c r="D20" s="80"/>
      <c r="E20" s="81"/>
      <c r="F20" s="146"/>
      <c r="G20" s="17"/>
      <c r="H20" s="18" t="s">
        <v>51</v>
      </c>
      <c r="I20" s="59"/>
      <c r="J20" s="19">
        <v>4</v>
      </c>
      <c r="K20" s="19"/>
      <c r="L20" s="50" t="s">
        <v>190</v>
      </c>
      <c r="M20" s="73" t="s">
        <v>21</v>
      </c>
      <c r="N20" s="54">
        <f t="shared" si="0"/>
        <v>4</v>
      </c>
      <c r="O20" s="170"/>
      <c r="P20" s="191" t="s">
        <v>202</v>
      </c>
      <c r="Q20" s="192"/>
      <c r="R20" s="192"/>
      <c r="S20" s="192"/>
      <c r="T20" s="192"/>
      <c r="U20" s="193"/>
    </row>
    <row r="21" spans="1:21" ht="62.85" customHeight="1">
      <c r="A21" s="85" t="s">
        <v>191</v>
      </c>
      <c r="B21" s="37">
        <f>ROW()-13</f>
        <v>8</v>
      </c>
      <c r="C21" s="145" t="s">
        <v>203</v>
      </c>
      <c r="D21" s="80"/>
      <c r="E21" s="81"/>
      <c r="F21" s="146"/>
      <c r="G21" s="17"/>
      <c r="H21" s="18" t="s">
        <v>49</v>
      </c>
      <c r="I21" s="59"/>
      <c r="J21" s="19">
        <v>1</v>
      </c>
      <c r="K21" s="19"/>
      <c r="L21" s="50" t="s">
        <v>190</v>
      </c>
      <c r="M21" s="73" t="s">
        <v>21</v>
      </c>
      <c r="N21" s="54">
        <f t="shared" si="0"/>
        <v>1</v>
      </c>
      <c r="O21" s="170"/>
      <c r="P21" s="251" t="s">
        <v>264</v>
      </c>
      <c r="Q21" s="192"/>
      <c r="R21" s="192"/>
      <c r="S21" s="192"/>
      <c r="T21" s="192"/>
      <c r="U21" s="193"/>
    </row>
    <row r="22" spans="1:21" ht="15.75" customHeight="1">
      <c r="A22" s="85"/>
      <c r="B22" s="37">
        <f>ROW()-13</f>
        <v>9</v>
      </c>
      <c r="C22" s="145" t="s">
        <v>480</v>
      </c>
      <c r="D22" s="80"/>
      <c r="E22" s="81"/>
      <c r="F22" s="146"/>
      <c r="G22" s="17"/>
      <c r="H22" s="18" t="s">
        <v>208</v>
      </c>
      <c r="I22" s="59"/>
      <c r="J22" s="19"/>
      <c r="K22" s="19"/>
      <c r="L22" s="50"/>
      <c r="M22" s="73" t="s">
        <v>21</v>
      </c>
      <c r="N22" s="54">
        <f t="shared" si="0"/>
        <v>0</v>
      </c>
      <c r="O22" s="170"/>
      <c r="P22" s="191"/>
      <c r="Q22" s="192"/>
      <c r="R22" s="192"/>
      <c r="S22" s="192"/>
      <c r="T22" s="192"/>
      <c r="U22" s="193"/>
    </row>
    <row r="23" spans="1:21" ht="15.75" customHeight="1">
      <c r="A23" s="85"/>
      <c r="B23" s="37">
        <f>ROW()-13</f>
        <v>10</v>
      </c>
      <c r="C23" s="145" t="s">
        <v>481</v>
      </c>
      <c r="D23" s="80"/>
      <c r="E23" s="81"/>
      <c r="F23" s="146"/>
      <c r="G23" s="17"/>
      <c r="H23" s="18" t="s">
        <v>208</v>
      </c>
      <c r="I23" s="59"/>
      <c r="J23" s="19"/>
      <c r="K23" s="19"/>
      <c r="L23" s="50"/>
      <c r="M23" s="73" t="s">
        <v>21</v>
      </c>
      <c r="N23" s="54">
        <f t="shared" si="0"/>
        <v>0</v>
      </c>
      <c r="O23" s="170"/>
      <c r="P23" s="191"/>
      <c r="Q23" s="192"/>
      <c r="R23" s="192"/>
      <c r="S23" s="192"/>
      <c r="T23" s="192"/>
      <c r="U23" s="193"/>
    </row>
    <row r="24" spans="1:21" ht="15.75" customHeight="1">
      <c r="A24" s="85"/>
      <c r="B24" s="37">
        <f>ROW()-13</f>
        <v>11</v>
      </c>
      <c r="C24" s="145" t="s">
        <v>423</v>
      </c>
      <c r="D24" s="80"/>
      <c r="E24" s="81"/>
      <c r="F24" s="146"/>
      <c r="G24" s="17"/>
      <c r="H24" s="18" t="s">
        <v>208</v>
      </c>
      <c r="I24" s="59"/>
      <c r="J24" s="19"/>
      <c r="K24" s="19"/>
      <c r="L24" s="50"/>
      <c r="M24" s="73" t="s">
        <v>21</v>
      </c>
      <c r="N24" s="54">
        <f t="shared" si="0"/>
        <v>0</v>
      </c>
      <c r="O24" s="170"/>
      <c r="P24" s="191"/>
      <c r="Q24" s="192"/>
      <c r="R24" s="192"/>
      <c r="S24" s="192"/>
      <c r="T24" s="192"/>
      <c r="U24" s="193"/>
    </row>
    <row r="25" spans="1:21" ht="15.75" customHeight="1">
      <c r="A25" s="85"/>
      <c r="B25" s="37">
        <f>ROW()-13</f>
        <v>12</v>
      </c>
      <c r="C25" s="145" t="s">
        <v>482</v>
      </c>
      <c r="D25" s="80"/>
      <c r="E25" s="81"/>
      <c r="F25" s="146"/>
      <c r="G25" s="17"/>
      <c r="H25" s="18" t="s">
        <v>208</v>
      </c>
      <c r="I25" s="59"/>
      <c r="J25" s="19"/>
      <c r="K25" s="19"/>
      <c r="L25" s="50"/>
      <c r="M25" s="73" t="s">
        <v>21</v>
      </c>
      <c r="N25" s="54">
        <f t="shared" si="0"/>
        <v>0</v>
      </c>
      <c r="O25" s="170"/>
      <c r="P25" s="191"/>
      <c r="Q25" s="192"/>
      <c r="R25" s="192"/>
      <c r="S25" s="192"/>
      <c r="T25" s="192"/>
      <c r="U25" s="193"/>
    </row>
    <row r="26" spans="1:21" ht="15.75" customHeight="1">
      <c r="A26" s="85"/>
      <c r="B26" s="37">
        <f>ROW()-13</f>
        <v>13</v>
      </c>
      <c r="C26" s="145" t="s">
        <v>483</v>
      </c>
      <c r="D26" s="80"/>
      <c r="E26" s="81"/>
      <c r="F26" s="146"/>
      <c r="G26" s="17"/>
      <c r="H26" s="18" t="s">
        <v>208</v>
      </c>
      <c r="I26" s="59"/>
      <c r="J26" s="19"/>
      <c r="K26" s="19"/>
      <c r="L26" s="50"/>
      <c r="M26" s="73" t="s">
        <v>21</v>
      </c>
      <c r="N26" s="54">
        <f t="shared" si="0"/>
        <v>0</v>
      </c>
      <c r="O26" s="170"/>
      <c r="P26" s="191"/>
      <c r="Q26" s="192"/>
      <c r="R26" s="192"/>
      <c r="S26" s="192"/>
      <c r="T26" s="192"/>
      <c r="U26" s="193"/>
    </row>
    <row r="27" spans="1:21" ht="15.75" customHeight="1">
      <c r="A27" s="85"/>
      <c r="B27" s="37">
        <f>ROW()-13</f>
        <v>14</v>
      </c>
      <c r="C27" s="145" t="s">
        <v>484</v>
      </c>
      <c r="D27" s="80"/>
      <c r="E27" s="81"/>
      <c r="F27" s="146"/>
      <c r="G27" s="17"/>
      <c r="H27" s="18" t="s">
        <v>208</v>
      </c>
      <c r="I27" s="59"/>
      <c r="J27" s="19"/>
      <c r="K27" s="19"/>
      <c r="L27" s="50"/>
      <c r="M27" s="73" t="s">
        <v>21</v>
      </c>
      <c r="N27" s="54">
        <f t="shared" si="0"/>
        <v>0</v>
      </c>
      <c r="O27" s="170"/>
      <c r="P27" s="191"/>
      <c r="Q27" s="192"/>
      <c r="R27" s="192"/>
      <c r="S27" s="192"/>
      <c r="T27" s="192"/>
      <c r="U27" s="193"/>
    </row>
    <row r="28" spans="1:21" ht="15.75" customHeight="1">
      <c r="A28" s="85"/>
      <c r="B28" s="37">
        <f>ROW()-13</f>
        <v>15</v>
      </c>
      <c r="C28" s="145" t="s">
        <v>485</v>
      </c>
      <c r="D28" s="80"/>
      <c r="E28" s="81"/>
      <c r="F28" s="146"/>
      <c r="G28" s="17"/>
      <c r="H28" s="18" t="s">
        <v>208</v>
      </c>
      <c r="I28" s="59"/>
      <c r="J28" s="19"/>
      <c r="K28" s="19"/>
      <c r="L28" s="50"/>
      <c r="M28" s="73" t="s">
        <v>21</v>
      </c>
      <c r="N28" s="54">
        <f t="shared" si="0"/>
        <v>0</v>
      </c>
      <c r="O28" s="170"/>
      <c r="P28" s="191"/>
      <c r="Q28" s="192"/>
      <c r="R28" s="192"/>
      <c r="S28" s="192"/>
      <c r="T28" s="192"/>
      <c r="U28" s="193"/>
    </row>
    <row r="29" spans="1:21" ht="15.75" customHeight="1">
      <c r="A29" s="85"/>
      <c r="B29" s="37">
        <f>ROW()-13</f>
        <v>16</v>
      </c>
      <c r="C29" s="145" t="s">
        <v>486</v>
      </c>
      <c r="D29" s="80"/>
      <c r="E29" s="81"/>
      <c r="F29" s="146"/>
      <c r="G29" s="17"/>
      <c r="H29" s="18" t="s">
        <v>208</v>
      </c>
      <c r="I29" s="59"/>
      <c r="J29" s="19"/>
      <c r="K29" s="19"/>
      <c r="L29" s="50"/>
      <c r="M29" s="73" t="s">
        <v>21</v>
      </c>
      <c r="N29" s="54">
        <f t="shared" si="0"/>
        <v>0</v>
      </c>
      <c r="O29" s="170"/>
      <c r="P29" s="191"/>
      <c r="Q29" s="192"/>
      <c r="R29" s="192"/>
      <c r="S29" s="192"/>
      <c r="T29" s="192"/>
      <c r="U29" s="193"/>
    </row>
    <row r="30" spans="1:21" ht="15.75">
      <c r="A30" s="85"/>
      <c r="B30" s="37">
        <f t="shared" ref="B30:B36" si="1">ROW()-13</f>
        <v>17</v>
      </c>
      <c r="C30" s="107" t="s">
        <v>36</v>
      </c>
      <c r="D30" s="107"/>
      <c r="E30" s="108"/>
      <c r="F30" s="109" t="s">
        <v>78</v>
      </c>
      <c r="G30" s="110"/>
      <c r="H30" s="18" t="s">
        <v>51</v>
      </c>
      <c r="I30" s="59"/>
      <c r="J30" s="113">
        <v>12</v>
      </c>
      <c r="K30" s="113"/>
      <c r="L30" s="114"/>
      <c r="M30" s="115" t="s">
        <v>35</v>
      </c>
      <c r="N30" s="116">
        <f t="shared" si="0"/>
        <v>12</v>
      </c>
      <c r="O30" s="171"/>
      <c r="P30" s="197"/>
      <c r="Q30" s="198"/>
      <c r="R30" s="198"/>
      <c r="S30" s="198"/>
      <c r="T30" s="198"/>
      <c r="U30" s="199"/>
    </row>
    <row r="31" spans="1:21" ht="15.75">
      <c r="A31" s="85"/>
      <c r="B31" s="37">
        <f t="shared" si="1"/>
        <v>18</v>
      </c>
      <c r="C31" s="107" t="s">
        <v>37</v>
      </c>
      <c r="D31" s="107"/>
      <c r="E31" s="108"/>
      <c r="F31" s="109" t="s">
        <v>43</v>
      </c>
      <c r="G31" s="110"/>
      <c r="H31" s="18" t="s">
        <v>51</v>
      </c>
      <c r="I31" s="59"/>
      <c r="J31" s="113">
        <v>10</v>
      </c>
      <c r="K31" s="113"/>
      <c r="L31" s="114"/>
      <c r="M31" s="115" t="s">
        <v>21</v>
      </c>
      <c r="N31" s="116">
        <f t="shared" si="0"/>
        <v>10</v>
      </c>
      <c r="O31" s="171"/>
      <c r="P31" s="197"/>
      <c r="Q31" s="198"/>
      <c r="R31" s="198"/>
      <c r="S31" s="198"/>
      <c r="T31" s="198"/>
      <c r="U31" s="199"/>
    </row>
    <row r="32" spans="1:21" ht="15.75">
      <c r="A32" s="85"/>
      <c r="B32" s="37">
        <f t="shared" si="1"/>
        <v>19</v>
      </c>
      <c r="C32" s="107" t="s">
        <v>38</v>
      </c>
      <c r="D32" s="107"/>
      <c r="E32" s="108"/>
      <c r="F32" s="109" t="s">
        <v>80</v>
      </c>
      <c r="G32" s="110"/>
      <c r="H32" s="18" t="s">
        <v>86</v>
      </c>
      <c r="I32" s="59"/>
      <c r="J32" s="113"/>
      <c r="K32" s="113"/>
      <c r="L32" s="114"/>
      <c r="M32" s="115" t="s">
        <v>21</v>
      </c>
      <c r="N32" s="116">
        <f t="shared" si="0"/>
        <v>0</v>
      </c>
      <c r="O32" s="171"/>
      <c r="P32" s="197"/>
      <c r="Q32" s="198"/>
      <c r="R32" s="198"/>
      <c r="S32" s="198"/>
      <c r="T32" s="198"/>
      <c r="U32" s="199"/>
    </row>
    <row r="33" spans="1:21" ht="15.75">
      <c r="A33" s="85"/>
      <c r="B33" s="37">
        <f t="shared" si="1"/>
        <v>20</v>
      </c>
      <c r="C33" s="107" t="s">
        <v>39</v>
      </c>
      <c r="D33" s="107"/>
      <c r="E33" s="108"/>
      <c r="F33" s="109" t="s">
        <v>79</v>
      </c>
      <c r="G33" s="110"/>
      <c r="H33" s="18" t="s">
        <v>51</v>
      </c>
      <c r="I33" s="59"/>
      <c r="J33" s="113">
        <v>12</v>
      </c>
      <c r="K33" s="113"/>
      <c r="L33" s="114"/>
      <c r="M33" s="115" t="s">
        <v>35</v>
      </c>
      <c r="N33" s="116">
        <f t="shared" si="0"/>
        <v>12</v>
      </c>
      <c r="O33" s="171"/>
      <c r="P33" s="197"/>
      <c r="Q33" s="198"/>
      <c r="R33" s="198"/>
      <c r="S33" s="198"/>
      <c r="T33" s="198"/>
      <c r="U33" s="199"/>
    </row>
    <row r="34" spans="1:21" ht="15.75">
      <c r="A34" s="85"/>
      <c r="B34" s="37">
        <f t="shared" si="1"/>
        <v>21</v>
      </c>
      <c r="C34" s="107" t="s">
        <v>40</v>
      </c>
      <c r="D34" s="107"/>
      <c r="E34" s="108"/>
      <c r="F34" s="109" t="s">
        <v>44</v>
      </c>
      <c r="G34" s="110"/>
      <c r="H34" s="18" t="s">
        <v>51</v>
      </c>
      <c r="I34" s="59"/>
      <c r="J34" s="113">
        <v>10</v>
      </c>
      <c r="K34" s="113"/>
      <c r="L34" s="114"/>
      <c r="M34" s="115" t="s">
        <v>21</v>
      </c>
      <c r="N34" s="116">
        <f t="shared" si="0"/>
        <v>10</v>
      </c>
      <c r="O34" s="171"/>
      <c r="P34" s="197"/>
      <c r="Q34" s="198"/>
      <c r="R34" s="198"/>
      <c r="S34" s="198"/>
      <c r="T34" s="198"/>
      <c r="U34" s="199"/>
    </row>
    <row r="35" spans="1:21" ht="15.75">
      <c r="A35" s="85"/>
      <c r="B35" s="37">
        <f t="shared" si="1"/>
        <v>22</v>
      </c>
      <c r="C35" s="107" t="s">
        <v>41</v>
      </c>
      <c r="D35" s="107"/>
      <c r="E35" s="108"/>
      <c r="F35" s="109" t="s">
        <v>81</v>
      </c>
      <c r="G35" s="110"/>
      <c r="H35" s="18" t="s">
        <v>86</v>
      </c>
      <c r="I35" s="59"/>
      <c r="J35" s="113"/>
      <c r="K35" s="113"/>
      <c r="L35" s="114"/>
      <c r="M35" s="115" t="s">
        <v>21</v>
      </c>
      <c r="N35" s="116">
        <f t="shared" si="0"/>
        <v>0</v>
      </c>
      <c r="O35" s="171"/>
      <c r="P35" s="197"/>
      <c r="Q35" s="198"/>
      <c r="R35" s="198"/>
      <c r="S35" s="198"/>
      <c r="T35" s="198"/>
      <c r="U35" s="199"/>
    </row>
    <row r="36" spans="1:21" ht="15.75">
      <c r="A36" s="85"/>
      <c r="B36" s="37">
        <f t="shared" si="1"/>
        <v>23</v>
      </c>
      <c r="C36" s="80" t="s">
        <v>46</v>
      </c>
      <c r="D36" s="80"/>
      <c r="E36" s="81"/>
      <c r="F36" s="84" t="s">
        <v>71</v>
      </c>
      <c r="G36" s="17"/>
      <c r="H36" s="18" t="s">
        <v>62</v>
      </c>
      <c r="I36" s="59"/>
      <c r="J36" s="19">
        <v>8</v>
      </c>
      <c r="K36" s="19"/>
      <c r="L36" s="50" t="s">
        <v>47</v>
      </c>
      <c r="M36" s="73" t="s">
        <v>35</v>
      </c>
      <c r="N36" s="54">
        <f t="shared" si="0"/>
        <v>8</v>
      </c>
      <c r="O36" s="170">
        <v>0</v>
      </c>
      <c r="P36" s="191" t="s">
        <v>48</v>
      </c>
      <c r="Q36" s="192"/>
      <c r="R36" s="192"/>
      <c r="S36" s="192"/>
      <c r="T36" s="192"/>
      <c r="U36" s="193"/>
    </row>
    <row r="37" spans="1:21" ht="16.5" thickBot="1">
      <c r="A37" s="118"/>
      <c r="B37" s="119"/>
      <c r="C37" s="120"/>
      <c r="D37" s="120"/>
      <c r="E37" s="121"/>
      <c r="F37" s="129"/>
      <c r="G37" s="122"/>
      <c r="H37" s="147"/>
      <c r="I37" s="148"/>
      <c r="J37" s="125"/>
      <c r="K37" s="125"/>
      <c r="L37" s="126"/>
      <c r="M37" s="126"/>
      <c r="N37" s="127"/>
      <c r="O37" s="172"/>
      <c r="P37" s="194"/>
      <c r="Q37" s="195"/>
      <c r="R37" s="195"/>
      <c r="S37" s="195"/>
      <c r="T37" s="195"/>
      <c r="U37" s="196"/>
    </row>
  </sheetData>
  <mergeCells count="54">
    <mergeCell ref="P34:U34"/>
    <mergeCell ref="P35:U35"/>
    <mergeCell ref="P36:U36"/>
    <mergeCell ref="P37:U37"/>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4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584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584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584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584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584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FE0C94C8-3FDF-4C14-82CC-81F17D21CFA0}">
            <xm:f>(AND(H14&lt;&gt;"",ISERROR(VLOOKUP(H14,system!$E:$E,1,FALSE))))</xm:f>
            <x14:dxf>
              <fill>
                <patternFill patternType="solid">
                  <bgColor rgb="FFFF0000"/>
                </patternFill>
              </fill>
            </x14:dxf>
          </x14:cfRule>
          <xm:sqref>H14:H29</xm:sqref>
        </x14:conditionalFormatting>
        <x14:conditionalFormatting xmlns:xm="http://schemas.microsoft.com/office/excel/2006/main">
          <x14:cfRule type="expression" priority="3" id="{0CB61C5A-713C-4E6F-B54E-1AD0B1F49ED5}">
            <xm:f>(AND(H14&lt;&gt;"",ISERROR(VLOOKUP(H14,system!$E:$E,1,FALSE))))</xm:f>
            <x14:dxf>
              <fill>
                <patternFill>
                  <bgColor rgb="FFFF0000"/>
                </patternFill>
              </fill>
            </x14:dxf>
          </x14:cfRule>
          <xm:sqref>I14:I29</xm:sqref>
        </x14:conditionalFormatting>
        <x14:conditionalFormatting xmlns:xm="http://schemas.microsoft.com/office/excel/2006/main">
          <x14:cfRule type="expression" priority="2" id="{7F3B0ED6-FC44-4557-8332-B2AC335CDC1F}">
            <xm:f>(AND(H30&lt;&gt;"",ISERROR(VLOOKUP(H30,system!$E:$E,1,FALSE))))</xm:f>
            <x14:dxf>
              <fill>
                <patternFill patternType="solid">
                  <bgColor rgb="FFFF0000"/>
                </patternFill>
              </fill>
            </x14:dxf>
          </x14:cfRule>
          <xm:sqref>H30:H37</xm:sqref>
        </x14:conditionalFormatting>
        <x14:conditionalFormatting xmlns:xm="http://schemas.microsoft.com/office/excel/2006/main">
          <x14:cfRule type="expression" priority="1" id="{374C4343-32AB-4E2E-B021-2DFBC87A604D}">
            <xm:f>(AND(H30&lt;&gt;"",ISERROR(VLOOKUP(H30,system!$E:$E,1,FALSE))))</xm:f>
            <x14:dxf>
              <fill>
                <patternFill>
                  <bgColor rgb="FFFF0000"/>
                </patternFill>
              </fill>
            </x14:dxf>
          </x14:cfRule>
          <xm:sqref>I30:I37</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A1:U30"/>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490</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139</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t="s">
        <v>487</v>
      </c>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SUM(N14:N31)</f>
        <v>104</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261</v>
      </c>
      <c r="D14" s="80"/>
      <c r="E14" s="81"/>
      <c r="F14" s="146"/>
      <c r="G14" s="17"/>
      <c r="H14" s="18" t="s">
        <v>49</v>
      </c>
      <c r="I14" s="59"/>
      <c r="J14" s="19">
        <v>1</v>
      </c>
      <c r="K14" s="19"/>
      <c r="L14" s="50" t="s">
        <v>190</v>
      </c>
      <c r="M14" s="73" t="s">
        <v>21</v>
      </c>
      <c r="N14" s="54">
        <f t="shared" ref="N14:N29" si="0">IF(H14="NUMBER",IF(J14&gt;0,INT((J14+1)/2+0.9),0),IF(H14="DATE",7,IF(OR(H14="LONG",H14="LONG RAW"),100000,J14)))</f>
        <v>1</v>
      </c>
      <c r="O14" s="170"/>
      <c r="P14" s="191" t="s">
        <v>175</v>
      </c>
      <c r="Q14" s="192"/>
      <c r="R14" s="192"/>
      <c r="S14" s="192"/>
      <c r="T14" s="192"/>
      <c r="U14" s="193"/>
    </row>
    <row r="15" spans="1:21" ht="27.6" customHeight="1">
      <c r="A15" s="85" t="s">
        <v>191</v>
      </c>
      <c r="B15" s="37">
        <f>ROW()-13</f>
        <v>2</v>
      </c>
      <c r="C15" s="145" t="s">
        <v>470</v>
      </c>
      <c r="D15" s="80"/>
      <c r="E15" s="81"/>
      <c r="F15" s="146"/>
      <c r="G15" s="17"/>
      <c r="H15" s="18" t="s">
        <v>49</v>
      </c>
      <c r="I15" s="59"/>
      <c r="J15" s="19">
        <v>1</v>
      </c>
      <c r="K15" s="19"/>
      <c r="L15" s="50" t="s">
        <v>190</v>
      </c>
      <c r="M15" s="73" t="s">
        <v>21</v>
      </c>
      <c r="N15" s="54">
        <f t="shared" si="0"/>
        <v>1</v>
      </c>
      <c r="O15" s="170"/>
      <c r="P15" s="251" t="s">
        <v>471</v>
      </c>
      <c r="Q15" s="192"/>
      <c r="R15" s="192"/>
      <c r="S15" s="192"/>
      <c r="T15" s="192"/>
      <c r="U15" s="193"/>
    </row>
    <row r="16" spans="1:21" ht="15.75" customHeight="1">
      <c r="A16" s="85"/>
      <c r="B16" s="37">
        <f>ROW()-13</f>
        <v>3</v>
      </c>
      <c r="C16" s="145" t="s">
        <v>390</v>
      </c>
      <c r="D16" s="80"/>
      <c r="E16" s="81"/>
      <c r="F16" s="146"/>
      <c r="G16" s="17"/>
      <c r="H16" s="18" t="s">
        <v>49</v>
      </c>
      <c r="I16" s="59"/>
      <c r="J16" s="19">
        <v>4</v>
      </c>
      <c r="K16" s="19"/>
      <c r="L16" s="50" t="s">
        <v>190</v>
      </c>
      <c r="M16" s="73" t="s">
        <v>21</v>
      </c>
      <c r="N16" s="54">
        <f t="shared" si="0"/>
        <v>4</v>
      </c>
      <c r="O16" s="170"/>
      <c r="P16" s="191" t="s">
        <v>152</v>
      </c>
      <c r="Q16" s="192"/>
      <c r="R16" s="192"/>
      <c r="S16" s="192"/>
      <c r="T16" s="192"/>
      <c r="U16" s="193"/>
    </row>
    <row r="17" spans="1:21" ht="15.75" customHeight="1">
      <c r="A17" s="85"/>
      <c r="B17" s="37">
        <f>ROW()-13</f>
        <v>4</v>
      </c>
      <c r="C17" s="145" t="s">
        <v>318</v>
      </c>
      <c r="D17" s="80"/>
      <c r="E17" s="81"/>
      <c r="F17" s="146"/>
      <c r="G17" s="17"/>
      <c r="H17" s="18" t="s">
        <v>51</v>
      </c>
      <c r="I17" s="59"/>
      <c r="J17" s="19">
        <v>4</v>
      </c>
      <c r="K17" s="19"/>
      <c r="L17" s="50" t="s">
        <v>190</v>
      </c>
      <c r="M17" s="73" t="s">
        <v>21</v>
      </c>
      <c r="N17" s="54">
        <f t="shared" si="0"/>
        <v>4</v>
      </c>
      <c r="O17" s="170"/>
      <c r="P17" s="191" t="s">
        <v>202</v>
      </c>
      <c r="Q17" s="192"/>
      <c r="R17" s="192"/>
      <c r="S17" s="192"/>
      <c r="T17" s="192"/>
      <c r="U17" s="193"/>
    </row>
    <row r="18" spans="1:21" ht="15.75" customHeight="1">
      <c r="A18" s="85"/>
      <c r="B18" s="37">
        <f>ROW()-13</f>
        <v>5</v>
      </c>
      <c r="C18" s="145" t="s">
        <v>196</v>
      </c>
      <c r="D18" s="80"/>
      <c r="E18" s="81"/>
      <c r="F18" s="146"/>
      <c r="G18" s="17"/>
      <c r="H18" s="18" t="s">
        <v>49</v>
      </c>
      <c r="I18" s="59"/>
      <c r="J18" s="19">
        <v>12</v>
      </c>
      <c r="K18" s="19"/>
      <c r="L18" s="50" t="s">
        <v>190</v>
      </c>
      <c r="M18" s="73" t="s">
        <v>21</v>
      </c>
      <c r="N18" s="54">
        <f t="shared" si="0"/>
        <v>12</v>
      </c>
      <c r="O18" s="170"/>
      <c r="P18" s="191"/>
      <c r="Q18" s="192"/>
      <c r="R18" s="192"/>
      <c r="S18" s="192"/>
      <c r="T18" s="192"/>
      <c r="U18" s="193"/>
    </row>
    <row r="19" spans="1:21" ht="15.75" customHeight="1">
      <c r="A19" s="85" t="s">
        <v>191</v>
      </c>
      <c r="B19" s="37">
        <f>ROW()-13</f>
        <v>6</v>
      </c>
      <c r="C19" s="145" t="s">
        <v>198</v>
      </c>
      <c r="D19" s="80"/>
      <c r="E19" s="81"/>
      <c r="F19" s="146"/>
      <c r="G19" s="17"/>
      <c r="H19" s="18" t="s">
        <v>51</v>
      </c>
      <c r="I19" s="59"/>
      <c r="J19" s="19">
        <v>25</v>
      </c>
      <c r="K19" s="19"/>
      <c r="L19" s="50" t="s">
        <v>190</v>
      </c>
      <c r="M19" s="73" t="s">
        <v>21</v>
      </c>
      <c r="N19" s="54">
        <f t="shared" si="0"/>
        <v>25</v>
      </c>
      <c r="O19" s="170"/>
      <c r="P19" s="191"/>
      <c r="Q19" s="192"/>
      <c r="R19" s="192"/>
      <c r="S19" s="192"/>
      <c r="T19" s="192"/>
      <c r="U19" s="193"/>
    </row>
    <row r="20" spans="1:21" ht="15.75" customHeight="1">
      <c r="A20" s="85" t="s">
        <v>191</v>
      </c>
      <c r="B20" s="37">
        <f>ROW()-13</f>
        <v>7</v>
      </c>
      <c r="C20" s="145" t="s">
        <v>200</v>
      </c>
      <c r="D20" s="80"/>
      <c r="E20" s="81"/>
      <c r="F20" s="146"/>
      <c r="G20" s="17"/>
      <c r="H20" s="18" t="s">
        <v>51</v>
      </c>
      <c r="I20" s="59"/>
      <c r="J20" s="19">
        <v>4</v>
      </c>
      <c r="K20" s="19"/>
      <c r="L20" s="50" t="s">
        <v>190</v>
      </c>
      <c r="M20" s="73" t="s">
        <v>21</v>
      </c>
      <c r="N20" s="54">
        <f t="shared" si="0"/>
        <v>4</v>
      </c>
      <c r="O20" s="170"/>
      <c r="P20" s="191" t="s">
        <v>202</v>
      </c>
      <c r="Q20" s="192"/>
      <c r="R20" s="192"/>
      <c r="S20" s="192"/>
      <c r="T20" s="192"/>
      <c r="U20" s="193"/>
    </row>
    <row r="21" spans="1:21" ht="62.85" customHeight="1">
      <c r="A21" s="85" t="s">
        <v>191</v>
      </c>
      <c r="B21" s="37">
        <f>ROW()-13</f>
        <v>8</v>
      </c>
      <c r="C21" s="145" t="s">
        <v>203</v>
      </c>
      <c r="D21" s="80"/>
      <c r="E21" s="81"/>
      <c r="F21" s="146"/>
      <c r="G21" s="17"/>
      <c r="H21" s="18" t="s">
        <v>49</v>
      </c>
      <c r="I21" s="59"/>
      <c r="J21" s="19">
        <v>1</v>
      </c>
      <c r="K21" s="19"/>
      <c r="L21" s="50" t="s">
        <v>190</v>
      </c>
      <c r="M21" s="73" t="s">
        <v>21</v>
      </c>
      <c r="N21" s="54">
        <f t="shared" si="0"/>
        <v>1</v>
      </c>
      <c r="O21" s="170"/>
      <c r="P21" s="251" t="s">
        <v>264</v>
      </c>
      <c r="Q21" s="192"/>
      <c r="R21" s="192"/>
      <c r="S21" s="192"/>
      <c r="T21" s="192"/>
      <c r="U21" s="193"/>
    </row>
    <row r="22" spans="1:21" ht="15.75" customHeight="1">
      <c r="A22" s="85" t="s">
        <v>191</v>
      </c>
      <c r="B22" s="37">
        <f>ROW()-13</f>
        <v>9</v>
      </c>
      <c r="C22" s="145" t="s">
        <v>491</v>
      </c>
      <c r="D22" s="80"/>
      <c r="E22" s="81"/>
      <c r="F22" s="146"/>
      <c r="G22" s="17"/>
      <c r="H22" s="18" t="s">
        <v>208</v>
      </c>
      <c r="I22" s="59"/>
      <c r="J22" s="19"/>
      <c r="K22" s="19"/>
      <c r="L22" s="50" t="s">
        <v>190</v>
      </c>
      <c r="M22" s="73" t="s">
        <v>21</v>
      </c>
      <c r="N22" s="54">
        <f t="shared" si="0"/>
        <v>0</v>
      </c>
      <c r="O22" s="170"/>
      <c r="P22" s="191"/>
      <c r="Q22" s="192"/>
      <c r="R22" s="192"/>
      <c r="S22" s="192"/>
      <c r="T22" s="192"/>
      <c r="U22" s="193"/>
    </row>
    <row r="23" spans="1:21" ht="15.75">
      <c r="A23" s="85"/>
      <c r="B23" s="37">
        <f t="shared" ref="B23:B29" si="1">ROW()-13</f>
        <v>10</v>
      </c>
      <c r="C23" s="107" t="s">
        <v>36</v>
      </c>
      <c r="D23" s="107"/>
      <c r="E23" s="108"/>
      <c r="F23" s="109" t="s">
        <v>78</v>
      </c>
      <c r="G23" s="110"/>
      <c r="H23" s="18" t="s">
        <v>51</v>
      </c>
      <c r="I23" s="59"/>
      <c r="J23" s="113">
        <v>12</v>
      </c>
      <c r="K23" s="113"/>
      <c r="L23" s="114"/>
      <c r="M23" s="115" t="s">
        <v>35</v>
      </c>
      <c r="N23" s="116">
        <f t="shared" si="0"/>
        <v>12</v>
      </c>
      <c r="O23" s="171"/>
      <c r="P23" s="197"/>
      <c r="Q23" s="198"/>
      <c r="R23" s="198"/>
      <c r="S23" s="198"/>
      <c r="T23" s="198"/>
      <c r="U23" s="199"/>
    </row>
    <row r="24" spans="1:21" ht="15.75">
      <c r="A24" s="85"/>
      <c r="B24" s="37">
        <f t="shared" si="1"/>
        <v>11</v>
      </c>
      <c r="C24" s="107" t="s">
        <v>37</v>
      </c>
      <c r="D24" s="107"/>
      <c r="E24" s="108"/>
      <c r="F24" s="109" t="s">
        <v>43</v>
      </c>
      <c r="G24" s="110"/>
      <c r="H24" s="18" t="s">
        <v>51</v>
      </c>
      <c r="I24" s="59"/>
      <c r="J24" s="113">
        <v>10</v>
      </c>
      <c r="K24" s="113"/>
      <c r="L24" s="114"/>
      <c r="M24" s="115" t="s">
        <v>21</v>
      </c>
      <c r="N24" s="116">
        <f t="shared" si="0"/>
        <v>10</v>
      </c>
      <c r="O24" s="171"/>
      <c r="P24" s="197"/>
      <c r="Q24" s="198"/>
      <c r="R24" s="198"/>
      <c r="S24" s="198"/>
      <c r="T24" s="198"/>
      <c r="U24" s="199"/>
    </row>
    <row r="25" spans="1:21" ht="15.75">
      <c r="A25" s="85"/>
      <c r="B25" s="37">
        <f t="shared" si="1"/>
        <v>12</v>
      </c>
      <c r="C25" s="107" t="s">
        <v>38</v>
      </c>
      <c r="D25" s="107"/>
      <c r="E25" s="108"/>
      <c r="F25" s="109" t="s">
        <v>80</v>
      </c>
      <c r="G25" s="110"/>
      <c r="H25" s="18" t="s">
        <v>86</v>
      </c>
      <c r="I25" s="59"/>
      <c r="J25" s="113"/>
      <c r="K25" s="113"/>
      <c r="L25" s="114"/>
      <c r="M25" s="115" t="s">
        <v>21</v>
      </c>
      <c r="N25" s="116">
        <f t="shared" si="0"/>
        <v>0</v>
      </c>
      <c r="O25" s="171"/>
      <c r="P25" s="197"/>
      <c r="Q25" s="198"/>
      <c r="R25" s="198"/>
      <c r="S25" s="198"/>
      <c r="T25" s="198"/>
      <c r="U25" s="199"/>
    </row>
    <row r="26" spans="1:21" ht="15.75">
      <c r="A26" s="85"/>
      <c r="B26" s="37">
        <f t="shared" si="1"/>
        <v>13</v>
      </c>
      <c r="C26" s="107" t="s">
        <v>39</v>
      </c>
      <c r="D26" s="107"/>
      <c r="E26" s="108"/>
      <c r="F26" s="109" t="s">
        <v>79</v>
      </c>
      <c r="G26" s="110"/>
      <c r="H26" s="18" t="s">
        <v>51</v>
      </c>
      <c r="I26" s="59"/>
      <c r="J26" s="113">
        <v>12</v>
      </c>
      <c r="K26" s="113"/>
      <c r="L26" s="114"/>
      <c r="M26" s="115" t="s">
        <v>35</v>
      </c>
      <c r="N26" s="116">
        <f t="shared" si="0"/>
        <v>12</v>
      </c>
      <c r="O26" s="171"/>
      <c r="P26" s="197"/>
      <c r="Q26" s="198"/>
      <c r="R26" s="198"/>
      <c r="S26" s="198"/>
      <c r="T26" s="198"/>
      <c r="U26" s="199"/>
    </row>
    <row r="27" spans="1:21" ht="15.75">
      <c r="A27" s="85"/>
      <c r="B27" s="37">
        <f t="shared" si="1"/>
        <v>14</v>
      </c>
      <c r="C27" s="107" t="s">
        <v>40</v>
      </c>
      <c r="D27" s="107"/>
      <c r="E27" s="108"/>
      <c r="F27" s="109" t="s">
        <v>44</v>
      </c>
      <c r="G27" s="110"/>
      <c r="H27" s="18" t="s">
        <v>51</v>
      </c>
      <c r="I27" s="59"/>
      <c r="J27" s="113">
        <v>10</v>
      </c>
      <c r="K27" s="113"/>
      <c r="L27" s="114"/>
      <c r="M27" s="115" t="s">
        <v>21</v>
      </c>
      <c r="N27" s="116">
        <f t="shared" si="0"/>
        <v>10</v>
      </c>
      <c r="O27" s="171"/>
      <c r="P27" s="197"/>
      <c r="Q27" s="198"/>
      <c r="R27" s="198"/>
      <c r="S27" s="198"/>
      <c r="T27" s="198"/>
      <c r="U27" s="199"/>
    </row>
    <row r="28" spans="1:21" ht="15.75">
      <c r="A28" s="85"/>
      <c r="B28" s="37">
        <f t="shared" si="1"/>
        <v>15</v>
      </c>
      <c r="C28" s="107" t="s">
        <v>41</v>
      </c>
      <c r="D28" s="107"/>
      <c r="E28" s="108"/>
      <c r="F28" s="109" t="s">
        <v>81</v>
      </c>
      <c r="G28" s="110"/>
      <c r="H28" s="18" t="s">
        <v>86</v>
      </c>
      <c r="I28" s="59"/>
      <c r="J28" s="113"/>
      <c r="K28" s="113"/>
      <c r="L28" s="114"/>
      <c r="M28" s="115" t="s">
        <v>21</v>
      </c>
      <c r="N28" s="116">
        <f t="shared" si="0"/>
        <v>0</v>
      </c>
      <c r="O28" s="171"/>
      <c r="P28" s="197"/>
      <c r="Q28" s="198"/>
      <c r="R28" s="198"/>
      <c r="S28" s="198"/>
      <c r="T28" s="198"/>
      <c r="U28" s="199"/>
    </row>
    <row r="29" spans="1:21" ht="15.75">
      <c r="A29" s="85"/>
      <c r="B29" s="37">
        <f t="shared" si="1"/>
        <v>16</v>
      </c>
      <c r="C29" s="80" t="s">
        <v>46</v>
      </c>
      <c r="D29" s="80"/>
      <c r="E29" s="81"/>
      <c r="F29" s="84" t="s">
        <v>71</v>
      </c>
      <c r="G29" s="17"/>
      <c r="H29" s="18" t="s">
        <v>62</v>
      </c>
      <c r="I29" s="59"/>
      <c r="J29" s="19">
        <v>8</v>
      </c>
      <c r="K29" s="19"/>
      <c r="L29" s="50" t="s">
        <v>47</v>
      </c>
      <c r="M29" s="73" t="s">
        <v>35</v>
      </c>
      <c r="N29" s="54">
        <f t="shared" si="0"/>
        <v>8</v>
      </c>
      <c r="O29" s="170">
        <v>0</v>
      </c>
      <c r="P29" s="191" t="s">
        <v>48</v>
      </c>
      <c r="Q29" s="192"/>
      <c r="R29" s="192"/>
      <c r="S29" s="192"/>
      <c r="T29" s="192"/>
      <c r="U29" s="193"/>
    </row>
    <row r="30" spans="1:21" ht="16.5" thickBot="1">
      <c r="A30" s="118"/>
      <c r="B30" s="119"/>
      <c r="C30" s="120"/>
      <c r="D30" s="120"/>
      <c r="E30" s="121"/>
      <c r="F30" s="129"/>
      <c r="G30" s="122"/>
      <c r="H30" s="147"/>
      <c r="I30" s="148"/>
      <c r="J30" s="125"/>
      <c r="K30" s="125"/>
      <c r="L30" s="126"/>
      <c r="M30" s="126"/>
      <c r="N30" s="127"/>
      <c r="O30" s="172"/>
      <c r="P30" s="194"/>
      <c r="Q30" s="195"/>
      <c r="R30" s="195"/>
      <c r="S30" s="195"/>
      <c r="T30" s="195"/>
      <c r="U30" s="196"/>
    </row>
  </sheetData>
  <mergeCells count="47">
    <mergeCell ref="P28:U28"/>
    <mergeCell ref="P29:U29"/>
    <mergeCell ref="P30:U30"/>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6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686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686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686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686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687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F77E9235-030E-4613-82AF-865391190EAD}">
            <xm:f>(AND(H14&lt;&gt;"",ISERROR(VLOOKUP(H14,system!$E:$E,1,FALSE))))</xm:f>
            <x14:dxf>
              <fill>
                <patternFill patternType="solid">
                  <bgColor rgb="FFFF0000"/>
                </patternFill>
              </fill>
            </x14:dxf>
          </x14:cfRule>
          <xm:sqref>H14:H22</xm:sqref>
        </x14:conditionalFormatting>
        <x14:conditionalFormatting xmlns:xm="http://schemas.microsoft.com/office/excel/2006/main">
          <x14:cfRule type="expression" priority="3" id="{5B31E305-5108-4D88-BB53-618F8E8233FF}">
            <xm:f>(AND(H14&lt;&gt;"",ISERROR(VLOOKUP(H14,system!$E:$E,1,FALSE))))</xm:f>
            <x14:dxf>
              <fill>
                <patternFill>
                  <bgColor rgb="FFFF0000"/>
                </patternFill>
              </fill>
            </x14:dxf>
          </x14:cfRule>
          <xm:sqref>I14:I22</xm:sqref>
        </x14:conditionalFormatting>
        <x14:conditionalFormatting xmlns:xm="http://schemas.microsoft.com/office/excel/2006/main">
          <x14:cfRule type="expression" priority="2" id="{7989A0D4-4C3B-49F1-89A0-D5B86B67D2A9}">
            <xm:f>(AND(H23&lt;&gt;"",ISERROR(VLOOKUP(H23,system!$E:$E,1,FALSE))))</xm:f>
            <x14:dxf>
              <fill>
                <patternFill patternType="solid">
                  <bgColor rgb="FFFF0000"/>
                </patternFill>
              </fill>
            </x14:dxf>
          </x14:cfRule>
          <xm:sqref>H23:H30</xm:sqref>
        </x14:conditionalFormatting>
        <x14:conditionalFormatting xmlns:xm="http://schemas.microsoft.com/office/excel/2006/main">
          <x14:cfRule type="expression" priority="1" id="{2E8740BE-D471-41E9-9DD5-30C792BB46B0}">
            <xm:f>(AND(H23&lt;&gt;"",ISERROR(VLOOKUP(H23,system!$E:$E,1,FALSE))))</xm:f>
            <x14:dxf>
              <fill>
                <patternFill>
                  <bgColor rgb="FFFF0000"/>
                </patternFill>
              </fill>
            </x14:dxf>
          </x14:cfRule>
          <xm:sqref>I23:I30</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A1:U83"/>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494</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141</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SUM(N14:N84)</f>
        <v>567</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77" si="0">IF(H14="NUMBER",IF(J14&gt;0,INT((J14+1)/2+0.9),0),IF(H14="DATE",7,IF(OR(H14="LONG",H14="LONG RAW"),100000,J14)))</f>
        <v>1</v>
      </c>
      <c r="O14" s="170"/>
      <c r="P14" s="191"/>
      <c r="Q14" s="192"/>
      <c r="R14" s="192"/>
      <c r="S14" s="192"/>
      <c r="T14" s="192"/>
      <c r="U14" s="193"/>
    </row>
    <row r="15" spans="1:21" ht="15.75" customHeight="1">
      <c r="A15" s="85" t="s">
        <v>191</v>
      </c>
      <c r="B15" s="37">
        <f>ROW()-13</f>
        <v>2</v>
      </c>
      <c r="C15" s="145" t="s">
        <v>198</v>
      </c>
      <c r="D15" s="80"/>
      <c r="E15" s="81"/>
      <c r="F15" s="146"/>
      <c r="G15" s="17"/>
      <c r="H15" s="18" t="s">
        <v>51</v>
      </c>
      <c r="I15" s="59"/>
      <c r="J15" s="19">
        <v>25</v>
      </c>
      <c r="K15" s="19"/>
      <c r="L15" s="50" t="s">
        <v>190</v>
      </c>
      <c r="M15" s="73" t="s">
        <v>21</v>
      </c>
      <c r="N15" s="54">
        <f t="shared" si="0"/>
        <v>25</v>
      </c>
      <c r="O15" s="170"/>
      <c r="P15" s="191" t="s">
        <v>495</v>
      </c>
      <c r="Q15" s="192"/>
      <c r="R15" s="192"/>
      <c r="S15" s="192"/>
      <c r="T15" s="192"/>
      <c r="U15" s="193"/>
    </row>
    <row r="16" spans="1:21" ht="15.75" customHeight="1">
      <c r="A16" s="85" t="s">
        <v>191</v>
      </c>
      <c r="B16" s="37">
        <f>ROW()-13</f>
        <v>3</v>
      </c>
      <c r="C16" s="145" t="s">
        <v>200</v>
      </c>
      <c r="D16" s="80"/>
      <c r="E16" s="81"/>
      <c r="F16" s="146"/>
      <c r="G16" s="17"/>
      <c r="H16" s="18" t="s">
        <v>51</v>
      </c>
      <c r="I16" s="59"/>
      <c r="J16" s="19">
        <v>4</v>
      </c>
      <c r="K16" s="19"/>
      <c r="L16" s="50" t="s">
        <v>190</v>
      </c>
      <c r="M16" s="73" t="s">
        <v>21</v>
      </c>
      <c r="N16" s="54">
        <f t="shared" si="0"/>
        <v>4</v>
      </c>
      <c r="O16" s="170"/>
      <c r="P16" s="191" t="s">
        <v>202</v>
      </c>
      <c r="Q16" s="192"/>
      <c r="R16" s="192"/>
      <c r="S16" s="192"/>
      <c r="T16" s="192"/>
      <c r="U16" s="193"/>
    </row>
    <row r="17" spans="1:21" ht="74.45" customHeight="1">
      <c r="A17" s="85" t="s">
        <v>191</v>
      </c>
      <c r="B17" s="37">
        <f>ROW()-13</f>
        <v>4</v>
      </c>
      <c r="C17" s="145" t="s">
        <v>203</v>
      </c>
      <c r="D17" s="80"/>
      <c r="E17" s="81"/>
      <c r="F17" s="146"/>
      <c r="G17" s="17"/>
      <c r="H17" s="18" t="s">
        <v>49</v>
      </c>
      <c r="I17" s="59"/>
      <c r="J17" s="19">
        <v>1</v>
      </c>
      <c r="K17" s="19"/>
      <c r="L17" s="50" t="s">
        <v>190</v>
      </c>
      <c r="M17" s="73" t="s">
        <v>21</v>
      </c>
      <c r="N17" s="54">
        <f t="shared" si="0"/>
        <v>1</v>
      </c>
      <c r="O17" s="170"/>
      <c r="P17" s="251" t="s">
        <v>496</v>
      </c>
      <c r="Q17" s="192"/>
      <c r="R17" s="192"/>
      <c r="S17" s="192"/>
      <c r="T17" s="192"/>
      <c r="U17" s="193"/>
    </row>
    <row r="18" spans="1:21" ht="15.75" customHeight="1">
      <c r="A18" s="85"/>
      <c r="B18" s="37">
        <f>ROW()-13</f>
        <v>5</v>
      </c>
      <c r="C18" s="145" t="s">
        <v>497</v>
      </c>
      <c r="D18" s="80"/>
      <c r="E18" s="81"/>
      <c r="F18" s="146"/>
      <c r="G18" s="17"/>
      <c r="H18" s="18" t="s">
        <v>51</v>
      </c>
      <c r="I18" s="59"/>
      <c r="J18" s="19">
        <v>25</v>
      </c>
      <c r="K18" s="19"/>
      <c r="L18" s="50"/>
      <c r="M18" s="73" t="s">
        <v>21</v>
      </c>
      <c r="N18" s="54">
        <f t="shared" si="0"/>
        <v>25</v>
      </c>
      <c r="O18" s="170"/>
      <c r="P18" s="191" t="s">
        <v>498</v>
      </c>
      <c r="Q18" s="192"/>
      <c r="R18" s="192"/>
      <c r="S18" s="192"/>
      <c r="T18" s="192"/>
      <c r="U18" s="193"/>
    </row>
    <row r="19" spans="1:21" ht="15.75" customHeight="1">
      <c r="A19" s="85"/>
      <c r="B19" s="37">
        <f>ROW()-13</f>
        <v>6</v>
      </c>
      <c r="C19" s="145" t="s">
        <v>196</v>
      </c>
      <c r="D19" s="80"/>
      <c r="E19" s="81"/>
      <c r="F19" s="146"/>
      <c r="G19" s="17"/>
      <c r="H19" s="18" t="s">
        <v>49</v>
      </c>
      <c r="I19" s="59"/>
      <c r="J19" s="19">
        <v>12</v>
      </c>
      <c r="K19" s="19"/>
      <c r="L19" s="50" t="s">
        <v>190</v>
      </c>
      <c r="M19" s="73" t="s">
        <v>21</v>
      </c>
      <c r="N19" s="54">
        <f t="shared" si="0"/>
        <v>12</v>
      </c>
      <c r="O19" s="170"/>
      <c r="P19" s="191"/>
      <c r="Q19" s="192"/>
      <c r="R19" s="192"/>
      <c r="S19" s="192"/>
      <c r="T19" s="192"/>
      <c r="U19" s="193"/>
    </row>
    <row r="20" spans="1:21" ht="27.6" customHeight="1">
      <c r="A20" s="85"/>
      <c r="B20" s="37">
        <f>ROW()-13</f>
        <v>7</v>
      </c>
      <c r="C20" s="145" t="s">
        <v>418</v>
      </c>
      <c r="D20" s="80"/>
      <c r="E20" s="81"/>
      <c r="F20" s="146"/>
      <c r="G20" s="17"/>
      <c r="H20" s="18" t="s">
        <v>49</v>
      </c>
      <c r="I20" s="59"/>
      <c r="J20" s="19">
        <v>1</v>
      </c>
      <c r="K20" s="19"/>
      <c r="L20" s="50" t="s">
        <v>190</v>
      </c>
      <c r="M20" s="73" t="s">
        <v>21</v>
      </c>
      <c r="N20" s="54">
        <f t="shared" si="0"/>
        <v>1</v>
      </c>
      <c r="O20" s="170"/>
      <c r="P20" s="251" t="s">
        <v>419</v>
      </c>
      <c r="Q20" s="192"/>
      <c r="R20" s="192"/>
      <c r="S20" s="192"/>
      <c r="T20" s="192"/>
      <c r="U20" s="193"/>
    </row>
    <row r="21" spans="1:21" ht="15.75" customHeight="1">
      <c r="A21" s="85"/>
      <c r="B21" s="37">
        <f>ROW()-13</f>
        <v>8</v>
      </c>
      <c r="C21" s="145" t="s">
        <v>194</v>
      </c>
      <c r="D21" s="80"/>
      <c r="E21" s="81"/>
      <c r="F21" s="146"/>
      <c r="G21" s="17"/>
      <c r="H21" s="18" t="s">
        <v>49</v>
      </c>
      <c r="I21" s="59"/>
      <c r="J21" s="19">
        <v>2</v>
      </c>
      <c r="K21" s="19"/>
      <c r="L21" s="50" t="s">
        <v>190</v>
      </c>
      <c r="M21" s="73" t="s">
        <v>21</v>
      </c>
      <c r="N21" s="54">
        <f t="shared" si="0"/>
        <v>2</v>
      </c>
      <c r="O21" s="170"/>
      <c r="P21" s="191"/>
      <c r="Q21" s="192"/>
      <c r="R21" s="192"/>
      <c r="S21" s="192"/>
      <c r="T21" s="192"/>
      <c r="U21" s="193"/>
    </row>
    <row r="22" spans="1:21" ht="15.75" customHeight="1">
      <c r="A22" s="85"/>
      <c r="B22" s="37">
        <f>ROW()-13</f>
        <v>9</v>
      </c>
      <c r="C22" s="145" t="s">
        <v>318</v>
      </c>
      <c r="D22" s="80"/>
      <c r="E22" s="81"/>
      <c r="F22" s="146"/>
      <c r="G22" s="17"/>
      <c r="H22" s="18" t="s">
        <v>51</v>
      </c>
      <c r="I22" s="59"/>
      <c r="J22" s="19">
        <v>4</v>
      </c>
      <c r="K22" s="19"/>
      <c r="L22" s="50" t="s">
        <v>190</v>
      </c>
      <c r="M22" s="73" t="s">
        <v>21</v>
      </c>
      <c r="N22" s="54">
        <f t="shared" si="0"/>
        <v>4</v>
      </c>
      <c r="O22" s="170"/>
      <c r="P22" s="191" t="s">
        <v>202</v>
      </c>
      <c r="Q22" s="192"/>
      <c r="R22" s="192"/>
      <c r="S22" s="192"/>
      <c r="T22" s="192"/>
      <c r="U22" s="193"/>
    </row>
    <row r="23" spans="1:21" ht="27.6" customHeight="1">
      <c r="A23" s="85"/>
      <c r="B23" s="37">
        <f>ROW()-13</f>
        <v>10</v>
      </c>
      <c r="C23" s="145" t="s">
        <v>499</v>
      </c>
      <c r="D23" s="80"/>
      <c r="E23" s="81"/>
      <c r="F23" s="146"/>
      <c r="G23" s="17"/>
      <c r="H23" s="18" t="s">
        <v>49</v>
      </c>
      <c r="I23" s="59"/>
      <c r="J23" s="19">
        <v>1</v>
      </c>
      <c r="K23" s="19"/>
      <c r="L23" s="50" t="s">
        <v>190</v>
      </c>
      <c r="M23" s="73" t="s">
        <v>21</v>
      </c>
      <c r="N23" s="54">
        <f t="shared" si="0"/>
        <v>1</v>
      </c>
      <c r="O23" s="170"/>
      <c r="P23" s="251" t="s">
        <v>500</v>
      </c>
      <c r="Q23" s="192"/>
      <c r="R23" s="192"/>
      <c r="S23" s="192"/>
      <c r="T23" s="192"/>
      <c r="U23" s="193"/>
    </row>
    <row r="24" spans="1:21" ht="15.75" customHeight="1">
      <c r="A24" s="85"/>
      <c r="B24" s="37">
        <f>ROW()-13</f>
        <v>11</v>
      </c>
      <c r="C24" s="145" t="s">
        <v>501</v>
      </c>
      <c r="D24" s="80"/>
      <c r="E24" s="81"/>
      <c r="F24" s="146"/>
      <c r="G24" s="17"/>
      <c r="H24" s="18" t="s">
        <v>49</v>
      </c>
      <c r="I24" s="59"/>
      <c r="J24" s="19">
        <v>12</v>
      </c>
      <c r="K24" s="19"/>
      <c r="L24" s="50"/>
      <c r="M24" s="73" t="s">
        <v>21</v>
      </c>
      <c r="N24" s="54">
        <f t="shared" si="0"/>
        <v>12</v>
      </c>
      <c r="O24" s="170"/>
      <c r="P24" s="191" t="s">
        <v>502</v>
      </c>
      <c r="Q24" s="192"/>
      <c r="R24" s="192"/>
      <c r="S24" s="192"/>
      <c r="T24" s="192"/>
      <c r="U24" s="193"/>
    </row>
    <row r="25" spans="1:21" ht="15.75" customHeight="1">
      <c r="A25" s="85"/>
      <c r="B25" s="37">
        <f>ROW()-13</f>
        <v>12</v>
      </c>
      <c r="C25" s="145" t="s">
        <v>503</v>
      </c>
      <c r="D25" s="80"/>
      <c r="E25" s="81"/>
      <c r="F25" s="146"/>
      <c r="G25" s="17"/>
      <c r="H25" s="18" t="s">
        <v>51</v>
      </c>
      <c r="I25" s="59"/>
      <c r="J25" s="19">
        <v>25</v>
      </c>
      <c r="K25" s="19"/>
      <c r="L25" s="50" t="s">
        <v>190</v>
      </c>
      <c r="M25" s="73" t="s">
        <v>21</v>
      </c>
      <c r="N25" s="54">
        <f t="shared" si="0"/>
        <v>25</v>
      </c>
      <c r="O25" s="170"/>
      <c r="P25" s="191"/>
      <c r="Q25" s="192"/>
      <c r="R25" s="192"/>
      <c r="S25" s="192"/>
      <c r="T25" s="192"/>
      <c r="U25" s="193"/>
    </row>
    <row r="26" spans="1:21" ht="15.75" customHeight="1">
      <c r="A26" s="85"/>
      <c r="B26" s="37">
        <f>ROW()-13</f>
        <v>13</v>
      </c>
      <c r="C26" s="145" t="s">
        <v>504</v>
      </c>
      <c r="D26" s="80"/>
      <c r="E26" s="81"/>
      <c r="F26" s="146"/>
      <c r="G26" s="17"/>
      <c r="H26" s="18" t="s">
        <v>51</v>
      </c>
      <c r="I26" s="59"/>
      <c r="J26" s="19">
        <v>4</v>
      </c>
      <c r="K26" s="19"/>
      <c r="L26" s="50" t="s">
        <v>190</v>
      </c>
      <c r="M26" s="73" t="s">
        <v>21</v>
      </c>
      <c r="N26" s="54">
        <f t="shared" si="0"/>
        <v>4</v>
      </c>
      <c r="O26" s="170"/>
      <c r="P26" s="191" t="s">
        <v>202</v>
      </c>
      <c r="Q26" s="192"/>
      <c r="R26" s="192"/>
      <c r="S26" s="192"/>
      <c r="T26" s="192"/>
      <c r="U26" s="193"/>
    </row>
    <row r="27" spans="1:21" ht="62.85" customHeight="1">
      <c r="A27" s="85"/>
      <c r="B27" s="37">
        <f>ROW()-13</f>
        <v>14</v>
      </c>
      <c r="C27" s="145" t="s">
        <v>505</v>
      </c>
      <c r="D27" s="80"/>
      <c r="E27" s="81"/>
      <c r="F27" s="146"/>
      <c r="G27" s="17"/>
      <c r="H27" s="18" t="s">
        <v>49</v>
      </c>
      <c r="I27" s="59"/>
      <c r="J27" s="19">
        <v>1</v>
      </c>
      <c r="K27" s="19"/>
      <c r="L27" s="50" t="s">
        <v>190</v>
      </c>
      <c r="M27" s="73" t="s">
        <v>21</v>
      </c>
      <c r="N27" s="54">
        <f t="shared" si="0"/>
        <v>1</v>
      </c>
      <c r="O27" s="170"/>
      <c r="P27" s="251" t="s">
        <v>264</v>
      </c>
      <c r="Q27" s="192"/>
      <c r="R27" s="192"/>
      <c r="S27" s="192"/>
      <c r="T27" s="192"/>
      <c r="U27" s="193"/>
    </row>
    <row r="28" spans="1:21" ht="15.75" customHeight="1">
      <c r="A28" s="85"/>
      <c r="B28" s="37">
        <f>ROW()-13</f>
        <v>15</v>
      </c>
      <c r="C28" s="145" t="s">
        <v>506</v>
      </c>
      <c r="D28" s="80"/>
      <c r="E28" s="81"/>
      <c r="F28" s="146"/>
      <c r="G28" s="17"/>
      <c r="H28" s="18" t="s">
        <v>208</v>
      </c>
      <c r="I28" s="59"/>
      <c r="J28" s="19"/>
      <c r="K28" s="19"/>
      <c r="L28" s="50"/>
      <c r="M28" s="73" t="s">
        <v>21</v>
      </c>
      <c r="N28" s="54">
        <f t="shared" si="0"/>
        <v>0</v>
      </c>
      <c r="O28" s="170"/>
      <c r="P28" s="191"/>
      <c r="Q28" s="192"/>
      <c r="R28" s="192"/>
      <c r="S28" s="192"/>
      <c r="T28" s="192"/>
      <c r="U28" s="193"/>
    </row>
    <row r="29" spans="1:21" ht="27.6" customHeight="1">
      <c r="A29" s="85"/>
      <c r="B29" s="37">
        <f>ROW()-13</f>
        <v>16</v>
      </c>
      <c r="C29" s="145" t="s">
        <v>507</v>
      </c>
      <c r="D29" s="80"/>
      <c r="E29" s="81"/>
      <c r="F29" s="146"/>
      <c r="G29" s="17"/>
      <c r="H29" s="18" t="s">
        <v>49</v>
      </c>
      <c r="I29" s="59"/>
      <c r="J29" s="19">
        <v>1</v>
      </c>
      <c r="K29" s="19"/>
      <c r="L29" s="50"/>
      <c r="M29" s="73" t="s">
        <v>21</v>
      </c>
      <c r="N29" s="54">
        <f t="shared" si="0"/>
        <v>1</v>
      </c>
      <c r="O29" s="170"/>
      <c r="P29" s="251" t="s">
        <v>508</v>
      </c>
      <c r="Q29" s="192"/>
      <c r="R29" s="192"/>
      <c r="S29" s="192"/>
      <c r="T29" s="192"/>
      <c r="U29" s="193"/>
    </row>
    <row r="30" spans="1:21" ht="15.75" customHeight="1">
      <c r="A30" s="85"/>
      <c r="B30" s="37">
        <f>ROW()-13</f>
        <v>17</v>
      </c>
      <c r="C30" s="145" t="s">
        <v>509</v>
      </c>
      <c r="D30" s="80"/>
      <c r="E30" s="81"/>
      <c r="F30" s="146"/>
      <c r="G30" s="17"/>
      <c r="H30" s="18" t="s">
        <v>51</v>
      </c>
      <c r="I30" s="59"/>
      <c r="J30" s="19">
        <v>2</v>
      </c>
      <c r="K30" s="19"/>
      <c r="L30" s="50"/>
      <c r="M30" s="73" t="s">
        <v>21</v>
      </c>
      <c r="N30" s="54">
        <f t="shared" si="0"/>
        <v>2</v>
      </c>
      <c r="O30" s="170"/>
      <c r="P30" s="191" t="s">
        <v>202</v>
      </c>
      <c r="Q30" s="192"/>
      <c r="R30" s="192"/>
      <c r="S30" s="192"/>
      <c r="T30" s="192"/>
      <c r="U30" s="193"/>
    </row>
    <row r="31" spans="1:21" ht="15.75" customHeight="1">
      <c r="A31" s="85"/>
      <c r="B31" s="37">
        <f>ROW()-13</f>
        <v>18</v>
      </c>
      <c r="C31" s="145" t="s">
        <v>510</v>
      </c>
      <c r="D31" s="80"/>
      <c r="E31" s="81"/>
      <c r="F31" s="146"/>
      <c r="G31" s="17"/>
      <c r="H31" s="18" t="s">
        <v>51</v>
      </c>
      <c r="I31" s="59"/>
      <c r="J31" s="19">
        <v>100</v>
      </c>
      <c r="K31" s="19"/>
      <c r="L31" s="50"/>
      <c r="M31" s="73" t="s">
        <v>21</v>
      </c>
      <c r="N31" s="54">
        <f t="shared" si="0"/>
        <v>100</v>
      </c>
      <c r="O31" s="170"/>
      <c r="P31" s="191"/>
      <c r="Q31" s="192"/>
      <c r="R31" s="192"/>
      <c r="S31" s="192"/>
      <c r="T31" s="192"/>
      <c r="U31" s="193"/>
    </row>
    <row r="32" spans="1:21" ht="15.75" customHeight="1">
      <c r="A32" s="85"/>
      <c r="B32" s="37">
        <f>ROW()-13</f>
        <v>19</v>
      </c>
      <c r="C32" s="145" t="s">
        <v>511</v>
      </c>
      <c r="D32" s="80"/>
      <c r="E32" s="81"/>
      <c r="F32" s="146"/>
      <c r="G32" s="17"/>
      <c r="H32" s="18" t="s">
        <v>51</v>
      </c>
      <c r="I32" s="59"/>
      <c r="J32" s="19">
        <v>2</v>
      </c>
      <c r="K32" s="19"/>
      <c r="L32" s="50"/>
      <c r="M32" s="73" t="s">
        <v>21</v>
      </c>
      <c r="N32" s="54">
        <f t="shared" si="0"/>
        <v>2</v>
      </c>
      <c r="O32" s="170"/>
      <c r="P32" s="191"/>
      <c r="Q32" s="192"/>
      <c r="R32" s="192"/>
      <c r="S32" s="192"/>
      <c r="T32" s="192"/>
      <c r="U32" s="193"/>
    </row>
    <row r="33" spans="1:21" ht="15.75" customHeight="1">
      <c r="A33" s="85"/>
      <c r="B33" s="37">
        <f>ROW()-13</f>
        <v>20</v>
      </c>
      <c r="C33" s="145" t="s">
        <v>512</v>
      </c>
      <c r="D33" s="80"/>
      <c r="E33" s="81"/>
      <c r="F33" s="146"/>
      <c r="G33" s="17"/>
      <c r="H33" s="18" t="s">
        <v>51</v>
      </c>
      <c r="I33" s="59"/>
      <c r="J33" s="19">
        <v>4</v>
      </c>
      <c r="K33" s="19"/>
      <c r="L33" s="50"/>
      <c r="M33" s="73" t="s">
        <v>21</v>
      </c>
      <c r="N33" s="54">
        <f t="shared" si="0"/>
        <v>4</v>
      </c>
      <c r="O33" s="170"/>
      <c r="P33" s="191"/>
      <c r="Q33" s="192"/>
      <c r="R33" s="192"/>
      <c r="S33" s="192"/>
      <c r="T33" s="192"/>
      <c r="U33" s="193"/>
    </row>
    <row r="34" spans="1:21" ht="15.75" customHeight="1">
      <c r="A34" s="85"/>
      <c r="B34" s="37">
        <f>ROW()-13</f>
        <v>21</v>
      </c>
      <c r="C34" s="145" t="s">
        <v>513</v>
      </c>
      <c r="D34" s="80"/>
      <c r="E34" s="81"/>
      <c r="F34" s="146"/>
      <c r="G34" s="17"/>
      <c r="H34" s="18" t="s">
        <v>51</v>
      </c>
      <c r="I34" s="59"/>
      <c r="J34" s="19">
        <v>2</v>
      </c>
      <c r="K34" s="19"/>
      <c r="L34" s="50"/>
      <c r="M34" s="73" t="s">
        <v>21</v>
      </c>
      <c r="N34" s="54">
        <f t="shared" si="0"/>
        <v>2</v>
      </c>
      <c r="O34" s="170"/>
      <c r="P34" s="191"/>
      <c r="Q34" s="192"/>
      <c r="R34" s="192"/>
      <c r="S34" s="192"/>
      <c r="T34" s="192"/>
      <c r="U34" s="193"/>
    </row>
    <row r="35" spans="1:21" ht="15.75" customHeight="1">
      <c r="A35" s="85"/>
      <c r="B35" s="37">
        <f>ROW()-13</f>
        <v>22</v>
      </c>
      <c r="C35" s="145" t="s">
        <v>514</v>
      </c>
      <c r="D35" s="80"/>
      <c r="E35" s="81"/>
      <c r="F35" s="146"/>
      <c r="G35" s="17"/>
      <c r="H35" s="18" t="s">
        <v>51</v>
      </c>
      <c r="I35" s="59"/>
      <c r="J35" s="19">
        <v>6</v>
      </c>
      <c r="K35" s="19"/>
      <c r="L35" s="50"/>
      <c r="M35" s="73" t="s">
        <v>21</v>
      </c>
      <c r="N35" s="54">
        <f t="shared" si="0"/>
        <v>6</v>
      </c>
      <c r="O35" s="170"/>
      <c r="P35" s="191"/>
      <c r="Q35" s="192"/>
      <c r="R35" s="192"/>
      <c r="S35" s="192"/>
      <c r="T35" s="192"/>
      <c r="U35" s="193"/>
    </row>
    <row r="36" spans="1:21" ht="15.75" customHeight="1">
      <c r="A36" s="85"/>
      <c r="B36" s="37">
        <f>ROW()-13</f>
        <v>23</v>
      </c>
      <c r="C36" s="145" t="s">
        <v>515</v>
      </c>
      <c r="D36" s="80"/>
      <c r="E36" s="81"/>
      <c r="F36" s="146"/>
      <c r="G36" s="17"/>
      <c r="H36" s="18" t="s">
        <v>51</v>
      </c>
      <c r="I36" s="59"/>
      <c r="J36" s="19">
        <v>6</v>
      </c>
      <c r="K36" s="19"/>
      <c r="L36" s="50"/>
      <c r="M36" s="73" t="s">
        <v>21</v>
      </c>
      <c r="N36" s="54">
        <f t="shared" si="0"/>
        <v>6</v>
      </c>
      <c r="O36" s="170"/>
      <c r="P36" s="191"/>
      <c r="Q36" s="192"/>
      <c r="R36" s="192"/>
      <c r="S36" s="192"/>
      <c r="T36" s="192"/>
      <c r="U36" s="193"/>
    </row>
    <row r="37" spans="1:21" ht="15.75" customHeight="1">
      <c r="A37" s="85"/>
      <c r="B37" s="37">
        <f>ROW()-13</f>
        <v>24</v>
      </c>
      <c r="C37" s="145" t="s">
        <v>516</v>
      </c>
      <c r="D37" s="80"/>
      <c r="E37" s="81"/>
      <c r="F37" s="146"/>
      <c r="G37" s="17"/>
      <c r="H37" s="18" t="s">
        <v>51</v>
      </c>
      <c r="I37" s="59"/>
      <c r="J37" s="19">
        <v>4</v>
      </c>
      <c r="K37" s="19"/>
      <c r="L37" s="50"/>
      <c r="M37" s="73" t="s">
        <v>21</v>
      </c>
      <c r="N37" s="54">
        <f t="shared" si="0"/>
        <v>4</v>
      </c>
      <c r="O37" s="170"/>
      <c r="P37" s="191"/>
      <c r="Q37" s="192"/>
      <c r="R37" s="192"/>
      <c r="S37" s="192"/>
      <c r="T37" s="192"/>
      <c r="U37" s="193"/>
    </row>
    <row r="38" spans="1:21" ht="15.75" customHeight="1">
      <c r="A38" s="85"/>
      <c r="B38" s="37">
        <f>ROW()-13</f>
        <v>25</v>
      </c>
      <c r="C38" s="145" t="s">
        <v>517</v>
      </c>
      <c r="D38" s="80"/>
      <c r="E38" s="81"/>
      <c r="F38" s="146"/>
      <c r="G38" s="17"/>
      <c r="H38" s="18" t="s">
        <v>51</v>
      </c>
      <c r="I38" s="59"/>
      <c r="J38" s="19">
        <v>20</v>
      </c>
      <c r="K38" s="19"/>
      <c r="L38" s="50"/>
      <c r="M38" s="73" t="s">
        <v>21</v>
      </c>
      <c r="N38" s="54">
        <f t="shared" si="0"/>
        <v>20</v>
      </c>
      <c r="O38" s="170"/>
      <c r="P38" s="191"/>
      <c r="Q38" s="192"/>
      <c r="R38" s="192"/>
      <c r="S38" s="192"/>
      <c r="T38" s="192"/>
      <c r="U38" s="193"/>
    </row>
    <row r="39" spans="1:21" ht="15.75" customHeight="1">
      <c r="A39" s="85"/>
      <c r="B39" s="37">
        <f>ROW()-13</f>
        <v>26</v>
      </c>
      <c r="C39" s="145" t="s">
        <v>518</v>
      </c>
      <c r="D39" s="80"/>
      <c r="E39" s="81"/>
      <c r="F39" s="146"/>
      <c r="G39" s="17"/>
      <c r="H39" s="18" t="s">
        <v>51</v>
      </c>
      <c r="I39" s="59"/>
      <c r="J39" s="19">
        <v>2</v>
      </c>
      <c r="K39" s="19"/>
      <c r="L39" s="50"/>
      <c r="M39" s="73" t="s">
        <v>21</v>
      </c>
      <c r="N39" s="54">
        <f t="shared" si="0"/>
        <v>2</v>
      </c>
      <c r="O39" s="170"/>
      <c r="P39" s="191"/>
      <c r="Q39" s="192"/>
      <c r="R39" s="192"/>
      <c r="S39" s="192"/>
      <c r="T39" s="192"/>
      <c r="U39" s="193"/>
    </row>
    <row r="40" spans="1:21" ht="15.75" customHeight="1">
      <c r="A40" s="85"/>
      <c r="B40" s="37">
        <f>ROW()-13</f>
        <v>27</v>
      </c>
      <c r="C40" s="145" t="s">
        <v>519</v>
      </c>
      <c r="D40" s="80"/>
      <c r="E40" s="81"/>
      <c r="F40" s="146"/>
      <c r="G40" s="17"/>
      <c r="H40" s="18" t="s">
        <v>51</v>
      </c>
      <c r="I40" s="59"/>
      <c r="J40" s="19">
        <v>2</v>
      </c>
      <c r="K40" s="19"/>
      <c r="L40" s="50"/>
      <c r="M40" s="73" t="s">
        <v>21</v>
      </c>
      <c r="N40" s="54">
        <f t="shared" si="0"/>
        <v>2</v>
      </c>
      <c r="O40" s="170"/>
      <c r="P40" s="191"/>
      <c r="Q40" s="192"/>
      <c r="R40" s="192"/>
      <c r="S40" s="192"/>
      <c r="T40" s="192"/>
      <c r="U40" s="193"/>
    </row>
    <row r="41" spans="1:21" ht="15.75" customHeight="1">
      <c r="A41" s="85"/>
      <c r="B41" s="37">
        <f>ROW()-13</f>
        <v>28</v>
      </c>
      <c r="C41" s="145" t="s">
        <v>520</v>
      </c>
      <c r="D41" s="80"/>
      <c r="E41" s="81"/>
      <c r="F41" s="146"/>
      <c r="G41" s="17"/>
      <c r="H41" s="18" t="s">
        <v>51</v>
      </c>
      <c r="I41" s="59"/>
      <c r="J41" s="19">
        <v>4</v>
      </c>
      <c r="K41" s="19"/>
      <c r="L41" s="50"/>
      <c r="M41" s="73" t="s">
        <v>21</v>
      </c>
      <c r="N41" s="54">
        <f t="shared" si="0"/>
        <v>4</v>
      </c>
      <c r="O41" s="170"/>
      <c r="P41" s="191"/>
      <c r="Q41" s="192"/>
      <c r="R41" s="192"/>
      <c r="S41" s="192"/>
      <c r="T41" s="192"/>
      <c r="U41" s="193"/>
    </row>
    <row r="42" spans="1:21" ht="15.75" customHeight="1">
      <c r="A42" s="85"/>
      <c r="B42" s="37">
        <f>ROW()-13</f>
        <v>29</v>
      </c>
      <c r="C42" s="145" t="s">
        <v>521</v>
      </c>
      <c r="D42" s="80"/>
      <c r="E42" s="81"/>
      <c r="F42" s="146"/>
      <c r="G42" s="17"/>
      <c r="H42" s="18" t="s">
        <v>49</v>
      </c>
      <c r="I42" s="59"/>
      <c r="J42" s="19">
        <v>4</v>
      </c>
      <c r="K42" s="19"/>
      <c r="L42" s="50"/>
      <c r="M42" s="73" t="s">
        <v>21</v>
      </c>
      <c r="N42" s="54">
        <f t="shared" si="0"/>
        <v>4</v>
      </c>
      <c r="O42" s="170"/>
      <c r="P42" s="191"/>
      <c r="Q42" s="192"/>
      <c r="R42" s="192"/>
      <c r="S42" s="192"/>
      <c r="T42" s="192"/>
      <c r="U42" s="193"/>
    </row>
    <row r="43" spans="1:21" ht="15.75" customHeight="1">
      <c r="A43" s="85"/>
      <c r="B43" s="37">
        <f>ROW()-13</f>
        <v>30</v>
      </c>
      <c r="C43" s="145" t="s">
        <v>522</v>
      </c>
      <c r="D43" s="80"/>
      <c r="E43" s="81"/>
      <c r="F43" s="146"/>
      <c r="G43" s="17"/>
      <c r="H43" s="18" t="s">
        <v>49</v>
      </c>
      <c r="I43" s="59"/>
      <c r="J43" s="19">
        <v>12</v>
      </c>
      <c r="K43" s="19"/>
      <c r="L43" s="50"/>
      <c r="M43" s="73" t="s">
        <v>21</v>
      </c>
      <c r="N43" s="54">
        <f t="shared" si="0"/>
        <v>12</v>
      </c>
      <c r="O43" s="170"/>
      <c r="P43" s="191"/>
      <c r="Q43" s="192"/>
      <c r="R43" s="192"/>
      <c r="S43" s="192"/>
      <c r="T43" s="192"/>
      <c r="U43" s="193"/>
    </row>
    <row r="44" spans="1:21" ht="15.75" customHeight="1">
      <c r="A44" s="85"/>
      <c r="B44" s="37">
        <f>ROW()-13</f>
        <v>31</v>
      </c>
      <c r="C44" s="145" t="s">
        <v>523</v>
      </c>
      <c r="D44" s="80"/>
      <c r="E44" s="81"/>
      <c r="F44" s="146"/>
      <c r="G44" s="17"/>
      <c r="H44" s="18" t="s">
        <v>51</v>
      </c>
      <c r="I44" s="59"/>
      <c r="J44" s="19">
        <v>12</v>
      </c>
      <c r="K44" s="19"/>
      <c r="L44" s="50"/>
      <c r="M44" s="73" t="s">
        <v>21</v>
      </c>
      <c r="N44" s="54">
        <f t="shared" si="0"/>
        <v>12</v>
      </c>
      <c r="O44" s="170"/>
      <c r="P44" s="191" t="s">
        <v>524</v>
      </c>
      <c r="Q44" s="192"/>
      <c r="R44" s="192"/>
      <c r="S44" s="192"/>
      <c r="T44" s="192"/>
      <c r="U44" s="193"/>
    </row>
    <row r="45" spans="1:21" ht="15.75" customHeight="1">
      <c r="A45" s="85"/>
      <c r="B45" s="37">
        <f>ROW()-13</f>
        <v>32</v>
      </c>
      <c r="C45" s="145" t="s">
        <v>525</v>
      </c>
      <c r="D45" s="80"/>
      <c r="E45" s="81"/>
      <c r="F45" s="146"/>
      <c r="G45" s="17"/>
      <c r="H45" s="18" t="s">
        <v>51</v>
      </c>
      <c r="I45" s="59"/>
      <c r="J45" s="19">
        <v>4</v>
      </c>
      <c r="K45" s="19"/>
      <c r="L45" s="50"/>
      <c r="M45" s="73" t="s">
        <v>21</v>
      </c>
      <c r="N45" s="54">
        <f t="shared" si="0"/>
        <v>4</v>
      </c>
      <c r="O45" s="170"/>
      <c r="P45" s="191"/>
      <c r="Q45" s="192"/>
      <c r="R45" s="192"/>
      <c r="S45" s="192"/>
      <c r="T45" s="192"/>
      <c r="U45" s="193"/>
    </row>
    <row r="46" spans="1:21" ht="15.75" customHeight="1">
      <c r="A46" s="85"/>
      <c r="B46" s="37">
        <f>ROW()-13</f>
        <v>33</v>
      </c>
      <c r="C46" s="145" t="s">
        <v>526</v>
      </c>
      <c r="D46" s="80"/>
      <c r="E46" s="81"/>
      <c r="F46" s="146"/>
      <c r="G46" s="17"/>
      <c r="H46" s="18" t="s">
        <v>51</v>
      </c>
      <c r="I46" s="59"/>
      <c r="J46" s="19">
        <v>6</v>
      </c>
      <c r="K46" s="19"/>
      <c r="L46" s="50"/>
      <c r="M46" s="73" t="s">
        <v>21</v>
      </c>
      <c r="N46" s="54">
        <f t="shared" si="0"/>
        <v>6</v>
      </c>
      <c r="O46" s="170"/>
      <c r="P46" s="191"/>
      <c r="Q46" s="192"/>
      <c r="R46" s="192"/>
      <c r="S46" s="192"/>
      <c r="T46" s="192"/>
      <c r="U46" s="193"/>
    </row>
    <row r="47" spans="1:21" ht="15.75" customHeight="1">
      <c r="A47" s="85"/>
      <c r="B47" s="37">
        <f>ROW()-13</f>
        <v>34</v>
      </c>
      <c r="C47" s="145" t="s">
        <v>527</v>
      </c>
      <c r="D47" s="80"/>
      <c r="E47" s="81"/>
      <c r="F47" s="146"/>
      <c r="G47" s="17"/>
      <c r="H47" s="18" t="s">
        <v>49</v>
      </c>
      <c r="I47" s="59"/>
      <c r="J47" s="19">
        <v>12</v>
      </c>
      <c r="K47" s="19"/>
      <c r="L47" s="50"/>
      <c r="M47" s="73" t="s">
        <v>21</v>
      </c>
      <c r="N47" s="54">
        <f t="shared" si="0"/>
        <v>12</v>
      </c>
      <c r="O47" s="170"/>
      <c r="P47" s="191"/>
      <c r="Q47" s="192"/>
      <c r="R47" s="192"/>
      <c r="S47" s="192"/>
      <c r="T47" s="192"/>
      <c r="U47" s="193"/>
    </row>
    <row r="48" spans="1:21" ht="15.75" customHeight="1">
      <c r="A48" s="85"/>
      <c r="B48" s="37">
        <f>ROW()-13</f>
        <v>35</v>
      </c>
      <c r="C48" s="145" t="s">
        <v>528</v>
      </c>
      <c r="D48" s="80"/>
      <c r="E48" s="81"/>
      <c r="F48" s="146"/>
      <c r="G48" s="17"/>
      <c r="H48" s="18" t="s">
        <v>51</v>
      </c>
      <c r="I48" s="59"/>
      <c r="J48" s="19">
        <v>4</v>
      </c>
      <c r="K48" s="19"/>
      <c r="L48" s="50"/>
      <c r="M48" s="73" t="s">
        <v>21</v>
      </c>
      <c r="N48" s="54">
        <f t="shared" si="0"/>
        <v>4</v>
      </c>
      <c r="O48" s="170"/>
      <c r="P48" s="191"/>
      <c r="Q48" s="192"/>
      <c r="R48" s="192"/>
      <c r="S48" s="192"/>
      <c r="T48" s="192"/>
      <c r="U48" s="193"/>
    </row>
    <row r="49" spans="1:21" ht="15.75" customHeight="1">
      <c r="A49" s="85"/>
      <c r="B49" s="37">
        <f>ROW()-13</f>
        <v>36</v>
      </c>
      <c r="C49" s="145" t="s">
        <v>529</v>
      </c>
      <c r="D49" s="80"/>
      <c r="E49" s="81"/>
      <c r="F49" s="146"/>
      <c r="G49" s="17"/>
      <c r="H49" s="18" t="s">
        <v>51</v>
      </c>
      <c r="I49" s="59"/>
      <c r="J49" s="19">
        <v>4</v>
      </c>
      <c r="K49" s="19"/>
      <c r="L49" s="50"/>
      <c r="M49" s="73" t="s">
        <v>21</v>
      </c>
      <c r="N49" s="54">
        <f t="shared" si="0"/>
        <v>4</v>
      </c>
      <c r="O49" s="170"/>
      <c r="P49" s="191"/>
      <c r="Q49" s="192"/>
      <c r="R49" s="192"/>
      <c r="S49" s="192"/>
      <c r="T49" s="192"/>
      <c r="U49" s="193"/>
    </row>
    <row r="50" spans="1:21" ht="15.75" customHeight="1">
      <c r="A50" s="85"/>
      <c r="B50" s="37">
        <f>ROW()-13</f>
        <v>37</v>
      </c>
      <c r="C50" s="145" t="s">
        <v>530</v>
      </c>
      <c r="D50" s="80"/>
      <c r="E50" s="81"/>
      <c r="F50" s="146"/>
      <c r="G50" s="17"/>
      <c r="H50" s="18" t="s">
        <v>51</v>
      </c>
      <c r="I50" s="59"/>
      <c r="J50" s="19">
        <v>4</v>
      </c>
      <c r="K50" s="19"/>
      <c r="L50" s="50"/>
      <c r="M50" s="73" t="s">
        <v>21</v>
      </c>
      <c r="N50" s="54">
        <f t="shared" si="0"/>
        <v>4</v>
      </c>
      <c r="O50" s="170"/>
      <c r="P50" s="191"/>
      <c r="Q50" s="192"/>
      <c r="R50" s="192"/>
      <c r="S50" s="192"/>
      <c r="T50" s="192"/>
      <c r="U50" s="193"/>
    </row>
    <row r="51" spans="1:21" ht="15.75" customHeight="1">
      <c r="A51" s="85"/>
      <c r="B51" s="37">
        <f>ROW()-13</f>
        <v>38</v>
      </c>
      <c r="C51" s="145" t="s">
        <v>531</v>
      </c>
      <c r="D51" s="80"/>
      <c r="E51" s="81"/>
      <c r="F51" s="146"/>
      <c r="G51" s="17"/>
      <c r="H51" s="18" t="s">
        <v>51</v>
      </c>
      <c r="I51" s="59"/>
      <c r="J51" s="19">
        <v>4</v>
      </c>
      <c r="K51" s="19"/>
      <c r="L51" s="50"/>
      <c r="M51" s="73" t="s">
        <v>21</v>
      </c>
      <c r="N51" s="54">
        <f t="shared" si="0"/>
        <v>4</v>
      </c>
      <c r="O51" s="170"/>
      <c r="P51" s="191"/>
      <c r="Q51" s="192"/>
      <c r="R51" s="192"/>
      <c r="S51" s="192"/>
      <c r="T51" s="192"/>
      <c r="U51" s="193"/>
    </row>
    <row r="52" spans="1:21" ht="15.75" customHeight="1">
      <c r="A52" s="85"/>
      <c r="B52" s="37">
        <f>ROW()-13</f>
        <v>39</v>
      </c>
      <c r="C52" s="145" t="s">
        <v>532</v>
      </c>
      <c r="D52" s="80"/>
      <c r="E52" s="81"/>
      <c r="F52" s="146"/>
      <c r="G52" s="17"/>
      <c r="H52" s="18" t="s">
        <v>51</v>
      </c>
      <c r="I52" s="59"/>
      <c r="J52" s="19">
        <v>4</v>
      </c>
      <c r="K52" s="19"/>
      <c r="L52" s="50"/>
      <c r="M52" s="73" t="s">
        <v>21</v>
      </c>
      <c r="N52" s="54">
        <f t="shared" si="0"/>
        <v>4</v>
      </c>
      <c r="O52" s="170"/>
      <c r="P52" s="191"/>
      <c r="Q52" s="192"/>
      <c r="R52" s="192"/>
      <c r="S52" s="192"/>
      <c r="T52" s="192"/>
      <c r="U52" s="193"/>
    </row>
    <row r="53" spans="1:21" ht="15.75" customHeight="1">
      <c r="A53" s="85"/>
      <c r="B53" s="37">
        <f>ROW()-13</f>
        <v>40</v>
      </c>
      <c r="C53" s="145" t="s">
        <v>533</v>
      </c>
      <c r="D53" s="80"/>
      <c r="E53" s="81"/>
      <c r="F53" s="146"/>
      <c r="G53" s="17"/>
      <c r="H53" s="18" t="s">
        <v>51</v>
      </c>
      <c r="I53" s="59"/>
      <c r="J53" s="19">
        <v>10</v>
      </c>
      <c r="K53" s="19"/>
      <c r="L53" s="50"/>
      <c r="M53" s="73" t="s">
        <v>21</v>
      </c>
      <c r="N53" s="54">
        <f t="shared" si="0"/>
        <v>10</v>
      </c>
      <c r="O53" s="170"/>
      <c r="P53" s="191"/>
      <c r="Q53" s="192"/>
      <c r="R53" s="192"/>
      <c r="S53" s="192"/>
      <c r="T53" s="192"/>
      <c r="U53" s="193"/>
    </row>
    <row r="54" spans="1:21" ht="15.75" customHeight="1">
      <c r="A54" s="85"/>
      <c r="B54" s="37">
        <f>ROW()-13</f>
        <v>41</v>
      </c>
      <c r="C54" s="145" t="s">
        <v>534</v>
      </c>
      <c r="D54" s="80"/>
      <c r="E54" s="81"/>
      <c r="F54" s="146"/>
      <c r="G54" s="17"/>
      <c r="H54" s="18" t="s">
        <v>51</v>
      </c>
      <c r="I54" s="59"/>
      <c r="J54" s="19">
        <v>4</v>
      </c>
      <c r="K54" s="19"/>
      <c r="L54" s="50"/>
      <c r="M54" s="73" t="s">
        <v>21</v>
      </c>
      <c r="N54" s="54">
        <f t="shared" si="0"/>
        <v>4</v>
      </c>
      <c r="O54" s="170"/>
      <c r="P54" s="191"/>
      <c r="Q54" s="192"/>
      <c r="R54" s="192"/>
      <c r="S54" s="192"/>
      <c r="T54" s="192"/>
      <c r="U54" s="193"/>
    </row>
    <row r="55" spans="1:21" ht="15.75" customHeight="1">
      <c r="A55" s="85"/>
      <c r="B55" s="37">
        <f>ROW()-13</f>
        <v>42</v>
      </c>
      <c r="C55" s="145" t="s">
        <v>535</v>
      </c>
      <c r="D55" s="80"/>
      <c r="E55" s="81"/>
      <c r="F55" s="146"/>
      <c r="G55" s="17"/>
      <c r="H55" s="18" t="s">
        <v>51</v>
      </c>
      <c r="I55" s="59"/>
      <c r="J55" s="19">
        <v>4</v>
      </c>
      <c r="K55" s="19"/>
      <c r="L55" s="50"/>
      <c r="M55" s="73" t="s">
        <v>21</v>
      </c>
      <c r="N55" s="54">
        <f t="shared" si="0"/>
        <v>4</v>
      </c>
      <c r="O55" s="170"/>
      <c r="P55" s="191"/>
      <c r="Q55" s="192"/>
      <c r="R55" s="192"/>
      <c r="S55" s="192"/>
      <c r="T55" s="192"/>
      <c r="U55" s="193"/>
    </row>
    <row r="56" spans="1:21" ht="15.75" customHeight="1">
      <c r="A56" s="85"/>
      <c r="B56" s="37">
        <f>ROW()-13</f>
        <v>43</v>
      </c>
      <c r="C56" s="145" t="s">
        <v>536</v>
      </c>
      <c r="D56" s="80"/>
      <c r="E56" s="81"/>
      <c r="F56" s="146"/>
      <c r="G56" s="17"/>
      <c r="H56" s="18" t="s">
        <v>51</v>
      </c>
      <c r="I56" s="59"/>
      <c r="J56" s="19">
        <v>4</v>
      </c>
      <c r="K56" s="19"/>
      <c r="L56" s="50"/>
      <c r="M56" s="73" t="s">
        <v>21</v>
      </c>
      <c r="N56" s="54">
        <f t="shared" si="0"/>
        <v>4</v>
      </c>
      <c r="O56" s="170"/>
      <c r="P56" s="191"/>
      <c r="Q56" s="192"/>
      <c r="R56" s="192"/>
      <c r="S56" s="192"/>
      <c r="T56" s="192"/>
      <c r="U56" s="193"/>
    </row>
    <row r="57" spans="1:21" ht="15.75" customHeight="1">
      <c r="A57" s="85"/>
      <c r="B57" s="37">
        <f>ROW()-13</f>
        <v>44</v>
      </c>
      <c r="C57" s="145" t="s">
        <v>537</v>
      </c>
      <c r="D57" s="80"/>
      <c r="E57" s="81"/>
      <c r="F57" s="146"/>
      <c r="G57" s="17"/>
      <c r="H57" s="18" t="s">
        <v>51</v>
      </c>
      <c r="I57" s="59"/>
      <c r="J57" s="19">
        <v>4</v>
      </c>
      <c r="K57" s="19"/>
      <c r="L57" s="50"/>
      <c r="M57" s="73" t="s">
        <v>21</v>
      </c>
      <c r="N57" s="54">
        <f t="shared" si="0"/>
        <v>4</v>
      </c>
      <c r="O57" s="170"/>
      <c r="P57" s="191"/>
      <c r="Q57" s="192"/>
      <c r="R57" s="192"/>
      <c r="S57" s="192"/>
      <c r="T57" s="192"/>
      <c r="U57" s="193"/>
    </row>
    <row r="58" spans="1:21" ht="15.75" customHeight="1">
      <c r="A58" s="85"/>
      <c r="B58" s="37">
        <f>ROW()-13</f>
        <v>45</v>
      </c>
      <c r="C58" s="145" t="s">
        <v>538</v>
      </c>
      <c r="D58" s="80"/>
      <c r="E58" s="81"/>
      <c r="F58" s="146"/>
      <c r="G58" s="17"/>
      <c r="H58" s="18" t="s">
        <v>51</v>
      </c>
      <c r="I58" s="59"/>
      <c r="J58" s="19">
        <v>4</v>
      </c>
      <c r="K58" s="19"/>
      <c r="L58" s="50"/>
      <c r="M58" s="73" t="s">
        <v>21</v>
      </c>
      <c r="N58" s="54">
        <f t="shared" si="0"/>
        <v>4</v>
      </c>
      <c r="O58" s="170"/>
      <c r="P58" s="191"/>
      <c r="Q58" s="192"/>
      <c r="R58" s="192"/>
      <c r="S58" s="192"/>
      <c r="T58" s="192"/>
      <c r="U58" s="193"/>
    </row>
    <row r="59" spans="1:21" ht="15.75" customHeight="1">
      <c r="A59" s="85"/>
      <c r="B59" s="37">
        <f>ROW()-13</f>
        <v>46</v>
      </c>
      <c r="C59" s="145" t="s">
        <v>539</v>
      </c>
      <c r="D59" s="80"/>
      <c r="E59" s="81"/>
      <c r="F59" s="146"/>
      <c r="G59" s="17"/>
      <c r="H59" s="18" t="s">
        <v>49</v>
      </c>
      <c r="I59" s="59"/>
      <c r="J59" s="19">
        <v>12</v>
      </c>
      <c r="K59" s="19"/>
      <c r="L59" s="50"/>
      <c r="M59" s="73" t="s">
        <v>21</v>
      </c>
      <c r="N59" s="54">
        <f t="shared" si="0"/>
        <v>12</v>
      </c>
      <c r="O59" s="170"/>
      <c r="P59" s="191"/>
      <c r="Q59" s="192"/>
      <c r="R59" s="192"/>
      <c r="S59" s="192"/>
      <c r="T59" s="192"/>
      <c r="U59" s="193"/>
    </row>
    <row r="60" spans="1:21" ht="15.75" customHeight="1">
      <c r="A60" s="85"/>
      <c r="B60" s="37">
        <f>ROW()-13</f>
        <v>47</v>
      </c>
      <c r="C60" s="145" t="s">
        <v>540</v>
      </c>
      <c r="D60" s="80"/>
      <c r="E60" s="81"/>
      <c r="F60" s="146"/>
      <c r="G60" s="17"/>
      <c r="H60" s="18" t="s">
        <v>51</v>
      </c>
      <c r="I60" s="59"/>
      <c r="J60" s="19">
        <v>4</v>
      </c>
      <c r="K60" s="19"/>
      <c r="L60" s="50"/>
      <c r="M60" s="73" t="s">
        <v>21</v>
      </c>
      <c r="N60" s="54">
        <f t="shared" si="0"/>
        <v>4</v>
      </c>
      <c r="O60" s="170"/>
      <c r="P60" s="191"/>
      <c r="Q60" s="192"/>
      <c r="R60" s="192"/>
      <c r="S60" s="192"/>
      <c r="T60" s="192"/>
      <c r="U60" s="193"/>
    </row>
    <row r="61" spans="1:21" ht="15.75" customHeight="1">
      <c r="A61" s="85"/>
      <c r="B61" s="37">
        <f>ROW()-13</f>
        <v>48</v>
      </c>
      <c r="C61" s="145" t="s">
        <v>541</v>
      </c>
      <c r="D61" s="80"/>
      <c r="E61" s="81"/>
      <c r="F61" s="146"/>
      <c r="G61" s="17"/>
      <c r="H61" s="18" t="s">
        <v>51</v>
      </c>
      <c r="I61" s="59"/>
      <c r="J61" s="19">
        <v>10</v>
      </c>
      <c r="K61" s="19"/>
      <c r="L61" s="50"/>
      <c r="M61" s="73" t="s">
        <v>21</v>
      </c>
      <c r="N61" s="54">
        <f t="shared" si="0"/>
        <v>10</v>
      </c>
      <c r="O61" s="170"/>
      <c r="P61" s="191"/>
      <c r="Q61" s="192"/>
      <c r="R61" s="192"/>
      <c r="S61" s="192"/>
      <c r="T61" s="192"/>
      <c r="U61" s="193"/>
    </row>
    <row r="62" spans="1:21" ht="15.75" customHeight="1">
      <c r="A62" s="85"/>
      <c r="B62" s="37">
        <f>ROW()-13</f>
        <v>49</v>
      </c>
      <c r="C62" s="145" t="s">
        <v>542</v>
      </c>
      <c r="D62" s="80"/>
      <c r="E62" s="81"/>
      <c r="F62" s="146"/>
      <c r="G62" s="17"/>
      <c r="H62" s="18" t="s">
        <v>51</v>
      </c>
      <c r="I62" s="59"/>
      <c r="J62" s="19">
        <v>12</v>
      </c>
      <c r="K62" s="19"/>
      <c r="L62" s="50"/>
      <c r="M62" s="73" t="s">
        <v>21</v>
      </c>
      <c r="N62" s="54">
        <f t="shared" si="0"/>
        <v>12</v>
      </c>
      <c r="O62" s="170"/>
      <c r="P62" s="191"/>
      <c r="Q62" s="192"/>
      <c r="R62" s="192"/>
      <c r="S62" s="192"/>
      <c r="T62" s="192"/>
      <c r="U62" s="193"/>
    </row>
    <row r="63" spans="1:21" ht="15.75" customHeight="1">
      <c r="A63" s="85"/>
      <c r="B63" s="37">
        <f>ROW()-13</f>
        <v>50</v>
      </c>
      <c r="C63" s="145" t="s">
        <v>543</v>
      </c>
      <c r="D63" s="80"/>
      <c r="E63" s="81"/>
      <c r="F63" s="146"/>
      <c r="G63" s="17"/>
      <c r="H63" s="18" t="s">
        <v>51</v>
      </c>
      <c r="I63" s="59"/>
      <c r="J63" s="19">
        <v>4</v>
      </c>
      <c r="K63" s="19"/>
      <c r="L63" s="50"/>
      <c r="M63" s="73" t="s">
        <v>21</v>
      </c>
      <c r="N63" s="54">
        <f t="shared" si="0"/>
        <v>4</v>
      </c>
      <c r="O63" s="170"/>
      <c r="P63" s="191"/>
      <c r="Q63" s="192"/>
      <c r="R63" s="192"/>
      <c r="S63" s="192"/>
      <c r="T63" s="192"/>
      <c r="U63" s="193"/>
    </row>
    <row r="64" spans="1:21" ht="15.75" customHeight="1">
      <c r="A64" s="85"/>
      <c r="B64" s="37">
        <f>ROW()-13</f>
        <v>51</v>
      </c>
      <c r="C64" s="145" t="s">
        <v>544</v>
      </c>
      <c r="D64" s="80"/>
      <c r="E64" s="81"/>
      <c r="F64" s="146"/>
      <c r="G64" s="17"/>
      <c r="H64" s="18" t="s">
        <v>208</v>
      </c>
      <c r="I64" s="59"/>
      <c r="J64" s="19"/>
      <c r="K64" s="19"/>
      <c r="L64" s="50"/>
      <c r="M64" s="73" t="s">
        <v>21</v>
      </c>
      <c r="N64" s="54">
        <f t="shared" si="0"/>
        <v>0</v>
      </c>
      <c r="O64" s="170"/>
      <c r="P64" s="191"/>
      <c r="Q64" s="192"/>
      <c r="R64" s="192"/>
      <c r="S64" s="192"/>
      <c r="T64" s="192"/>
      <c r="U64" s="193"/>
    </row>
    <row r="65" spans="1:21" ht="15.75" customHeight="1">
      <c r="A65" s="85"/>
      <c r="B65" s="37">
        <f>ROW()-13</f>
        <v>52</v>
      </c>
      <c r="C65" s="145" t="s">
        <v>545</v>
      </c>
      <c r="D65" s="80"/>
      <c r="E65" s="81"/>
      <c r="F65" s="146"/>
      <c r="G65" s="17"/>
      <c r="H65" s="18" t="s">
        <v>49</v>
      </c>
      <c r="I65" s="59"/>
      <c r="J65" s="19">
        <v>1</v>
      </c>
      <c r="K65" s="19"/>
      <c r="L65" s="50"/>
      <c r="M65" s="73" t="s">
        <v>21</v>
      </c>
      <c r="N65" s="54">
        <f t="shared" si="0"/>
        <v>1</v>
      </c>
      <c r="O65" s="170"/>
      <c r="P65" s="191"/>
      <c r="Q65" s="192"/>
      <c r="R65" s="192"/>
      <c r="S65" s="192"/>
      <c r="T65" s="192"/>
      <c r="U65" s="193"/>
    </row>
    <row r="66" spans="1:21" ht="15.75" customHeight="1">
      <c r="A66" s="85"/>
      <c r="B66" s="37">
        <f>ROW()-13</f>
        <v>53</v>
      </c>
      <c r="C66" s="145" t="s">
        <v>546</v>
      </c>
      <c r="D66" s="80"/>
      <c r="E66" s="81"/>
      <c r="F66" s="146"/>
      <c r="G66" s="17"/>
      <c r="H66" s="18" t="s">
        <v>49</v>
      </c>
      <c r="I66" s="59"/>
      <c r="J66" s="19">
        <v>1</v>
      </c>
      <c r="K66" s="19"/>
      <c r="L66" s="50"/>
      <c r="M66" s="73" t="s">
        <v>21</v>
      </c>
      <c r="N66" s="54">
        <f t="shared" si="0"/>
        <v>1</v>
      </c>
      <c r="O66" s="170"/>
      <c r="P66" s="191"/>
      <c r="Q66" s="192"/>
      <c r="R66" s="192"/>
      <c r="S66" s="192"/>
      <c r="T66" s="192"/>
      <c r="U66" s="193"/>
    </row>
    <row r="67" spans="1:21" ht="15.75" customHeight="1">
      <c r="A67" s="85"/>
      <c r="B67" s="37">
        <f>ROW()-13</f>
        <v>54</v>
      </c>
      <c r="C67" s="145" t="s">
        <v>547</v>
      </c>
      <c r="D67" s="80"/>
      <c r="E67" s="81"/>
      <c r="F67" s="146"/>
      <c r="G67" s="17"/>
      <c r="H67" s="18" t="s">
        <v>51</v>
      </c>
      <c r="I67" s="59"/>
      <c r="J67" s="19">
        <v>2</v>
      </c>
      <c r="K67" s="19"/>
      <c r="L67" s="50"/>
      <c r="M67" s="73" t="s">
        <v>21</v>
      </c>
      <c r="N67" s="54">
        <f t="shared" si="0"/>
        <v>2</v>
      </c>
      <c r="O67" s="170"/>
      <c r="P67" s="191"/>
      <c r="Q67" s="192"/>
      <c r="R67" s="192"/>
      <c r="S67" s="192"/>
      <c r="T67" s="192"/>
      <c r="U67" s="193"/>
    </row>
    <row r="68" spans="1:21" ht="15.75" customHeight="1">
      <c r="A68" s="85"/>
      <c r="B68" s="37">
        <f>ROW()-13</f>
        <v>55</v>
      </c>
      <c r="C68" s="145" t="s">
        <v>548</v>
      </c>
      <c r="D68" s="80"/>
      <c r="E68" s="81"/>
      <c r="F68" s="146"/>
      <c r="G68" s="17"/>
      <c r="H68" s="18" t="s">
        <v>51</v>
      </c>
      <c r="I68" s="59"/>
      <c r="J68" s="19">
        <v>2</v>
      </c>
      <c r="K68" s="19"/>
      <c r="L68" s="50"/>
      <c r="M68" s="73" t="s">
        <v>21</v>
      </c>
      <c r="N68" s="54">
        <f t="shared" si="0"/>
        <v>2</v>
      </c>
      <c r="O68" s="170"/>
      <c r="P68" s="191"/>
      <c r="Q68" s="192"/>
      <c r="R68" s="192"/>
      <c r="S68" s="192"/>
      <c r="T68" s="192"/>
      <c r="U68" s="193"/>
    </row>
    <row r="69" spans="1:21" ht="15.75" customHeight="1">
      <c r="A69" s="85"/>
      <c r="B69" s="37">
        <f>ROW()-13</f>
        <v>56</v>
      </c>
      <c r="C69" s="145" t="s">
        <v>549</v>
      </c>
      <c r="D69" s="80"/>
      <c r="E69" s="81"/>
      <c r="F69" s="146"/>
      <c r="G69" s="17"/>
      <c r="H69" s="18" t="s">
        <v>51</v>
      </c>
      <c r="I69" s="59"/>
      <c r="J69" s="19">
        <v>4</v>
      </c>
      <c r="K69" s="19"/>
      <c r="L69" s="50"/>
      <c r="M69" s="73" t="s">
        <v>21</v>
      </c>
      <c r="N69" s="54">
        <f t="shared" si="0"/>
        <v>4</v>
      </c>
      <c r="O69" s="170"/>
      <c r="P69" s="191"/>
      <c r="Q69" s="192"/>
      <c r="R69" s="192"/>
      <c r="S69" s="192"/>
      <c r="T69" s="192"/>
      <c r="U69" s="193"/>
    </row>
    <row r="70" spans="1:21" ht="15.75" customHeight="1">
      <c r="A70" s="85"/>
      <c r="B70" s="37">
        <f>ROW()-13</f>
        <v>57</v>
      </c>
      <c r="C70" s="145" t="s">
        <v>550</v>
      </c>
      <c r="D70" s="80"/>
      <c r="E70" s="81"/>
      <c r="F70" s="146"/>
      <c r="G70" s="17"/>
      <c r="H70" s="18" t="s">
        <v>51</v>
      </c>
      <c r="I70" s="59"/>
      <c r="J70" s="19">
        <v>2</v>
      </c>
      <c r="K70" s="19"/>
      <c r="L70" s="50"/>
      <c r="M70" s="73" t="s">
        <v>21</v>
      </c>
      <c r="N70" s="54">
        <f t="shared" si="0"/>
        <v>2</v>
      </c>
      <c r="O70" s="170"/>
      <c r="P70" s="191"/>
      <c r="Q70" s="192"/>
      <c r="R70" s="192"/>
      <c r="S70" s="192"/>
      <c r="T70" s="192"/>
      <c r="U70" s="193"/>
    </row>
    <row r="71" spans="1:21" ht="15.75" customHeight="1">
      <c r="A71" s="85"/>
      <c r="B71" s="37">
        <f>ROW()-13</f>
        <v>58</v>
      </c>
      <c r="C71" s="145" t="s">
        <v>551</v>
      </c>
      <c r="D71" s="80"/>
      <c r="E71" s="81"/>
      <c r="F71" s="146"/>
      <c r="G71" s="17"/>
      <c r="H71" s="18" t="s">
        <v>49</v>
      </c>
      <c r="I71" s="59"/>
      <c r="J71" s="19">
        <v>12</v>
      </c>
      <c r="K71" s="19"/>
      <c r="L71" s="50"/>
      <c r="M71" s="73" t="s">
        <v>21</v>
      </c>
      <c r="N71" s="54">
        <f t="shared" si="0"/>
        <v>12</v>
      </c>
      <c r="O71" s="170"/>
      <c r="P71" s="191"/>
      <c r="Q71" s="192"/>
      <c r="R71" s="192"/>
      <c r="S71" s="192"/>
      <c r="T71" s="192"/>
      <c r="U71" s="193"/>
    </row>
    <row r="72" spans="1:21" ht="15.75" customHeight="1">
      <c r="A72" s="85"/>
      <c r="B72" s="37">
        <f>ROW()-13</f>
        <v>59</v>
      </c>
      <c r="C72" s="145" t="s">
        <v>552</v>
      </c>
      <c r="D72" s="80"/>
      <c r="E72" s="81"/>
      <c r="F72" s="146"/>
      <c r="G72" s="17"/>
      <c r="H72" s="18" t="s">
        <v>51</v>
      </c>
      <c r="I72" s="59"/>
      <c r="J72" s="19">
        <v>2</v>
      </c>
      <c r="K72" s="19"/>
      <c r="L72" s="50"/>
      <c r="M72" s="73" t="s">
        <v>21</v>
      </c>
      <c r="N72" s="54">
        <f t="shared" si="0"/>
        <v>2</v>
      </c>
      <c r="O72" s="170"/>
      <c r="P72" s="191"/>
      <c r="Q72" s="192"/>
      <c r="R72" s="192"/>
      <c r="S72" s="192"/>
      <c r="T72" s="192"/>
      <c r="U72" s="193"/>
    </row>
    <row r="73" spans="1:21" ht="15.75" customHeight="1">
      <c r="A73" s="85"/>
      <c r="B73" s="37">
        <f>ROW()-13</f>
        <v>60</v>
      </c>
      <c r="C73" s="145" t="s">
        <v>553</v>
      </c>
      <c r="D73" s="80"/>
      <c r="E73" s="81"/>
      <c r="F73" s="146"/>
      <c r="G73" s="17"/>
      <c r="H73" s="18" t="s">
        <v>51</v>
      </c>
      <c r="I73" s="59"/>
      <c r="J73" s="19">
        <v>4</v>
      </c>
      <c r="K73" s="19"/>
      <c r="L73" s="50"/>
      <c r="M73" s="73" t="s">
        <v>21</v>
      </c>
      <c r="N73" s="54">
        <f t="shared" si="0"/>
        <v>4</v>
      </c>
      <c r="O73" s="170"/>
      <c r="P73" s="191"/>
      <c r="Q73" s="192"/>
      <c r="R73" s="192"/>
      <c r="S73" s="192"/>
      <c r="T73" s="192"/>
      <c r="U73" s="193"/>
    </row>
    <row r="74" spans="1:21" ht="27.6" customHeight="1">
      <c r="A74" s="85"/>
      <c r="B74" s="37">
        <f>ROW()-13</f>
        <v>61</v>
      </c>
      <c r="C74" s="145" t="s">
        <v>554</v>
      </c>
      <c r="D74" s="80"/>
      <c r="E74" s="81"/>
      <c r="F74" s="146"/>
      <c r="G74" s="17"/>
      <c r="H74" s="18" t="s">
        <v>51</v>
      </c>
      <c r="I74" s="59"/>
      <c r="J74" s="19">
        <v>20</v>
      </c>
      <c r="K74" s="19"/>
      <c r="L74" s="50"/>
      <c r="M74" s="73" t="s">
        <v>21</v>
      </c>
      <c r="N74" s="54">
        <f t="shared" si="0"/>
        <v>20</v>
      </c>
      <c r="O74" s="170"/>
      <c r="P74" s="251" t="s">
        <v>555</v>
      </c>
      <c r="Q74" s="192"/>
      <c r="R74" s="192"/>
      <c r="S74" s="192"/>
      <c r="T74" s="192"/>
      <c r="U74" s="193"/>
    </row>
    <row r="75" spans="1:21" ht="15.75" customHeight="1">
      <c r="A75" s="85"/>
      <c r="B75" s="37">
        <f>ROW()-13</f>
        <v>62</v>
      </c>
      <c r="C75" s="145" t="s">
        <v>556</v>
      </c>
      <c r="D75" s="80"/>
      <c r="E75" s="81"/>
      <c r="F75" s="146" t="s">
        <v>557</v>
      </c>
      <c r="G75" s="17"/>
      <c r="H75" s="18" t="s">
        <v>51</v>
      </c>
      <c r="I75" s="59"/>
      <c r="J75" s="19">
        <v>50</v>
      </c>
      <c r="K75" s="19"/>
      <c r="L75" s="50"/>
      <c r="M75" s="73" t="s">
        <v>21</v>
      </c>
      <c r="N75" s="54">
        <f t="shared" si="0"/>
        <v>50</v>
      </c>
      <c r="O75" s="170"/>
      <c r="P75" s="191"/>
      <c r="Q75" s="192"/>
      <c r="R75" s="192"/>
      <c r="S75" s="192"/>
      <c r="T75" s="192"/>
      <c r="U75" s="193"/>
    </row>
    <row r="76" spans="1:21" ht="15.75">
      <c r="A76" s="85"/>
      <c r="B76" s="37">
        <f t="shared" ref="B76:B82" si="1">ROW()-13</f>
        <v>63</v>
      </c>
      <c r="C76" s="107" t="s">
        <v>36</v>
      </c>
      <c r="D76" s="107"/>
      <c r="E76" s="108"/>
      <c r="F76" s="109" t="s">
        <v>78</v>
      </c>
      <c r="G76" s="110"/>
      <c r="H76" s="18" t="s">
        <v>51</v>
      </c>
      <c r="I76" s="59"/>
      <c r="J76" s="113">
        <v>12</v>
      </c>
      <c r="K76" s="113"/>
      <c r="L76" s="114"/>
      <c r="M76" s="115" t="s">
        <v>35</v>
      </c>
      <c r="N76" s="116">
        <f t="shared" si="0"/>
        <v>12</v>
      </c>
      <c r="O76" s="171"/>
      <c r="P76" s="197"/>
      <c r="Q76" s="198"/>
      <c r="R76" s="198"/>
      <c r="S76" s="198"/>
      <c r="T76" s="198"/>
      <c r="U76" s="199"/>
    </row>
    <row r="77" spans="1:21" ht="15.75">
      <c r="A77" s="85"/>
      <c r="B77" s="37">
        <f t="shared" si="1"/>
        <v>64</v>
      </c>
      <c r="C77" s="107" t="s">
        <v>37</v>
      </c>
      <c r="D77" s="107"/>
      <c r="E77" s="108"/>
      <c r="F77" s="109" t="s">
        <v>43</v>
      </c>
      <c r="G77" s="110"/>
      <c r="H77" s="18" t="s">
        <v>51</v>
      </c>
      <c r="I77" s="59"/>
      <c r="J77" s="113">
        <v>10</v>
      </c>
      <c r="K77" s="113"/>
      <c r="L77" s="114"/>
      <c r="M77" s="115" t="s">
        <v>21</v>
      </c>
      <c r="N77" s="116">
        <f t="shared" si="0"/>
        <v>10</v>
      </c>
      <c r="O77" s="171"/>
      <c r="P77" s="197"/>
      <c r="Q77" s="198"/>
      <c r="R77" s="198"/>
      <c r="S77" s="198"/>
      <c r="T77" s="198"/>
      <c r="U77" s="199"/>
    </row>
    <row r="78" spans="1:21" ht="15.75">
      <c r="A78" s="85"/>
      <c r="B78" s="37">
        <f t="shared" si="1"/>
        <v>65</v>
      </c>
      <c r="C78" s="107" t="s">
        <v>38</v>
      </c>
      <c r="D78" s="107"/>
      <c r="E78" s="108"/>
      <c r="F78" s="109" t="s">
        <v>80</v>
      </c>
      <c r="G78" s="110"/>
      <c r="H78" s="18" t="s">
        <v>86</v>
      </c>
      <c r="I78" s="59"/>
      <c r="J78" s="113"/>
      <c r="K78" s="113"/>
      <c r="L78" s="114"/>
      <c r="M78" s="115" t="s">
        <v>21</v>
      </c>
      <c r="N78" s="116">
        <f t="shared" ref="N78:N83" si="2">IF(H78="NUMBER",IF(J78&gt;0,INT((J78+1)/2+0.9),0),IF(H78="DATE",7,IF(OR(H78="LONG",H78="LONG RAW"),100000,J78)))</f>
        <v>0</v>
      </c>
      <c r="O78" s="171"/>
      <c r="P78" s="197"/>
      <c r="Q78" s="198"/>
      <c r="R78" s="198"/>
      <c r="S78" s="198"/>
      <c r="T78" s="198"/>
      <c r="U78" s="199"/>
    </row>
    <row r="79" spans="1:21" ht="15.75">
      <c r="A79" s="85"/>
      <c r="B79" s="37">
        <f t="shared" si="1"/>
        <v>66</v>
      </c>
      <c r="C79" s="107" t="s">
        <v>39</v>
      </c>
      <c r="D79" s="107"/>
      <c r="E79" s="108"/>
      <c r="F79" s="109" t="s">
        <v>79</v>
      </c>
      <c r="G79" s="110"/>
      <c r="H79" s="18" t="s">
        <v>51</v>
      </c>
      <c r="I79" s="59"/>
      <c r="J79" s="113">
        <v>12</v>
      </c>
      <c r="K79" s="113"/>
      <c r="L79" s="114"/>
      <c r="M79" s="115" t="s">
        <v>35</v>
      </c>
      <c r="N79" s="116">
        <f t="shared" si="2"/>
        <v>12</v>
      </c>
      <c r="O79" s="171"/>
      <c r="P79" s="197"/>
      <c r="Q79" s="198"/>
      <c r="R79" s="198"/>
      <c r="S79" s="198"/>
      <c r="T79" s="198"/>
      <c r="U79" s="199"/>
    </row>
    <row r="80" spans="1:21" ht="15.75">
      <c r="A80" s="85"/>
      <c r="B80" s="37">
        <f t="shared" si="1"/>
        <v>67</v>
      </c>
      <c r="C80" s="107" t="s">
        <v>40</v>
      </c>
      <c r="D80" s="107"/>
      <c r="E80" s="108"/>
      <c r="F80" s="109" t="s">
        <v>44</v>
      </c>
      <c r="G80" s="110"/>
      <c r="H80" s="18" t="s">
        <v>51</v>
      </c>
      <c r="I80" s="59"/>
      <c r="J80" s="113">
        <v>10</v>
      </c>
      <c r="K80" s="113"/>
      <c r="L80" s="114"/>
      <c r="M80" s="115" t="s">
        <v>21</v>
      </c>
      <c r="N80" s="116">
        <f t="shared" si="2"/>
        <v>10</v>
      </c>
      <c r="O80" s="171"/>
      <c r="P80" s="197"/>
      <c r="Q80" s="198"/>
      <c r="R80" s="198"/>
      <c r="S80" s="198"/>
      <c r="T80" s="198"/>
      <c r="U80" s="199"/>
    </row>
    <row r="81" spans="1:21" ht="15.75">
      <c r="A81" s="85"/>
      <c r="B81" s="37">
        <f t="shared" si="1"/>
        <v>68</v>
      </c>
      <c r="C81" s="107" t="s">
        <v>41</v>
      </c>
      <c r="D81" s="107"/>
      <c r="E81" s="108"/>
      <c r="F81" s="109" t="s">
        <v>81</v>
      </c>
      <c r="G81" s="110"/>
      <c r="H81" s="18" t="s">
        <v>86</v>
      </c>
      <c r="I81" s="59"/>
      <c r="J81" s="113"/>
      <c r="K81" s="113"/>
      <c r="L81" s="114"/>
      <c r="M81" s="115" t="s">
        <v>21</v>
      </c>
      <c r="N81" s="116">
        <f t="shared" si="2"/>
        <v>0</v>
      </c>
      <c r="O81" s="171"/>
      <c r="P81" s="197"/>
      <c r="Q81" s="198"/>
      <c r="R81" s="198"/>
      <c r="S81" s="198"/>
      <c r="T81" s="198"/>
      <c r="U81" s="199"/>
    </row>
    <row r="82" spans="1:21" ht="15.75">
      <c r="A82" s="85"/>
      <c r="B82" s="37">
        <f t="shared" si="1"/>
        <v>69</v>
      </c>
      <c r="C82" s="80" t="s">
        <v>46</v>
      </c>
      <c r="D82" s="80"/>
      <c r="E82" s="81"/>
      <c r="F82" s="84" t="s">
        <v>71</v>
      </c>
      <c r="G82" s="17"/>
      <c r="H82" s="18" t="s">
        <v>62</v>
      </c>
      <c r="I82" s="59"/>
      <c r="J82" s="19">
        <v>8</v>
      </c>
      <c r="K82" s="19"/>
      <c r="L82" s="50" t="s">
        <v>47</v>
      </c>
      <c r="M82" s="73" t="s">
        <v>35</v>
      </c>
      <c r="N82" s="54">
        <f t="shared" si="2"/>
        <v>8</v>
      </c>
      <c r="O82" s="170">
        <v>0</v>
      </c>
      <c r="P82" s="191" t="s">
        <v>48</v>
      </c>
      <c r="Q82" s="192"/>
      <c r="R82" s="192"/>
      <c r="S82" s="192"/>
      <c r="T82" s="192"/>
      <c r="U82" s="193"/>
    </row>
    <row r="83" spans="1:21" ht="16.5" thickBot="1">
      <c r="A83" s="118"/>
      <c r="B83" s="119"/>
      <c r="C83" s="120"/>
      <c r="D83" s="120"/>
      <c r="E83" s="121"/>
      <c r="F83" s="129"/>
      <c r="G83" s="122"/>
      <c r="H83" s="147"/>
      <c r="I83" s="148"/>
      <c r="J83" s="125"/>
      <c r="K83" s="125"/>
      <c r="L83" s="126"/>
      <c r="M83" s="126"/>
      <c r="N83" s="127"/>
      <c r="O83" s="172"/>
      <c r="P83" s="194"/>
      <c r="Q83" s="195"/>
      <c r="R83" s="195"/>
      <c r="S83" s="195"/>
      <c r="T83" s="195"/>
      <c r="U83" s="196"/>
    </row>
  </sheetData>
  <mergeCells count="100">
    <mergeCell ref="P82:U82"/>
    <mergeCell ref="P83:U83"/>
    <mergeCell ref="P76:U76"/>
    <mergeCell ref="P77:U77"/>
    <mergeCell ref="P78:U78"/>
    <mergeCell ref="P79:U79"/>
    <mergeCell ref="P80:U80"/>
    <mergeCell ref="P81:U81"/>
    <mergeCell ref="P70:U70"/>
    <mergeCell ref="P71:U71"/>
    <mergeCell ref="P72:U72"/>
    <mergeCell ref="P73:U73"/>
    <mergeCell ref="P74:U74"/>
    <mergeCell ref="P75:U75"/>
    <mergeCell ref="P64:U64"/>
    <mergeCell ref="P65:U65"/>
    <mergeCell ref="P66:U66"/>
    <mergeCell ref="P67:U67"/>
    <mergeCell ref="P68:U68"/>
    <mergeCell ref="P69:U69"/>
    <mergeCell ref="P58:U58"/>
    <mergeCell ref="P59:U59"/>
    <mergeCell ref="P60:U60"/>
    <mergeCell ref="P61:U61"/>
    <mergeCell ref="P62:U62"/>
    <mergeCell ref="P63:U63"/>
    <mergeCell ref="P52:U52"/>
    <mergeCell ref="P53:U53"/>
    <mergeCell ref="P54:U54"/>
    <mergeCell ref="P55:U55"/>
    <mergeCell ref="P56:U56"/>
    <mergeCell ref="P57:U57"/>
    <mergeCell ref="P46:U46"/>
    <mergeCell ref="P47:U47"/>
    <mergeCell ref="P48:U48"/>
    <mergeCell ref="P49:U49"/>
    <mergeCell ref="P50:U50"/>
    <mergeCell ref="P51:U51"/>
    <mergeCell ref="P40:U40"/>
    <mergeCell ref="P41:U41"/>
    <mergeCell ref="P42:U42"/>
    <mergeCell ref="P43:U43"/>
    <mergeCell ref="P44:U44"/>
    <mergeCell ref="P45:U45"/>
    <mergeCell ref="P34:U34"/>
    <mergeCell ref="P35:U35"/>
    <mergeCell ref="P36:U36"/>
    <mergeCell ref="P37:U37"/>
    <mergeCell ref="P38:U38"/>
    <mergeCell ref="P39:U39"/>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8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789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789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789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789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789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7CAA018D-609C-4707-9943-10B849DC4241}">
            <xm:f>(AND(H14&lt;&gt;"",ISERROR(VLOOKUP(H14,system!$E:$E,1,FALSE))))</xm:f>
            <x14:dxf>
              <fill>
                <patternFill patternType="solid">
                  <bgColor rgb="FFFF0000"/>
                </patternFill>
              </fill>
            </x14:dxf>
          </x14:cfRule>
          <xm:sqref>H14:H75</xm:sqref>
        </x14:conditionalFormatting>
        <x14:conditionalFormatting xmlns:xm="http://schemas.microsoft.com/office/excel/2006/main">
          <x14:cfRule type="expression" priority="3" id="{2FB24A8F-C86C-4E57-AD8E-EAB1E0C4849F}">
            <xm:f>(AND(H14&lt;&gt;"",ISERROR(VLOOKUP(H14,system!$E:$E,1,FALSE))))</xm:f>
            <x14:dxf>
              <fill>
                <patternFill>
                  <bgColor rgb="FFFF0000"/>
                </patternFill>
              </fill>
            </x14:dxf>
          </x14:cfRule>
          <xm:sqref>I14:I75</xm:sqref>
        </x14:conditionalFormatting>
        <x14:conditionalFormatting xmlns:xm="http://schemas.microsoft.com/office/excel/2006/main">
          <x14:cfRule type="expression" priority="2" id="{93691A3B-BF02-4254-AC69-01AC86CF13FB}">
            <xm:f>(AND(H76&lt;&gt;"",ISERROR(VLOOKUP(H76,system!$E:$E,1,FALSE))))</xm:f>
            <x14:dxf>
              <fill>
                <patternFill patternType="solid">
                  <bgColor rgb="FFFF0000"/>
                </patternFill>
              </fill>
            </x14:dxf>
          </x14:cfRule>
          <xm:sqref>H76:H83</xm:sqref>
        </x14:conditionalFormatting>
        <x14:conditionalFormatting xmlns:xm="http://schemas.microsoft.com/office/excel/2006/main">
          <x14:cfRule type="expression" priority="1" id="{CDAD5715-7179-47C2-81CA-2C566D1BE887}">
            <xm:f>(AND(H76&lt;&gt;"",ISERROR(VLOOKUP(H76,system!$E:$E,1,FALSE))))</xm:f>
            <x14:dxf>
              <fill>
                <patternFill>
                  <bgColor rgb="FFFF0000"/>
                </patternFill>
              </fill>
            </x14:dxf>
          </x14:cfRule>
          <xm:sqref>I76:I83</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A1:U33"/>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559</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144</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SUM(N14:N34)</f>
        <v>179</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32" si="0">IF(H14="NUMBER",IF(J14&gt;0,INT((J14+1)/2+0.9),0),IF(H14="DATE",7,IF(OR(H14="LONG",H14="LONG RAW"),100000,J14)))</f>
        <v>1</v>
      </c>
      <c r="O14" s="170"/>
      <c r="P14" s="191"/>
      <c r="Q14" s="192"/>
      <c r="R14" s="192"/>
      <c r="S14" s="192"/>
      <c r="T14" s="192"/>
      <c r="U14" s="193"/>
    </row>
    <row r="15" spans="1:21" ht="27.6" customHeight="1">
      <c r="A15" s="85" t="s">
        <v>191</v>
      </c>
      <c r="B15" s="37">
        <f>ROW()-13</f>
        <v>2</v>
      </c>
      <c r="C15" s="145" t="s">
        <v>198</v>
      </c>
      <c r="D15" s="80"/>
      <c r="E15" s="81"/>
      <c r="F15" s="146"/>
      <c r="G15" s="17"/>
      <c r="H15" s="18" t="s">
        <v>51</v>
      </c>
      <c r="I15" s="59"/>
      <c r="J15" s="19">
        <v>25</v>
      </c>
      <c r="K15" s="19"/>
      <c r="L15" s="50" t="s">
        <v>190</v>
      </c>
      <c r="M15" s="73" t="s">
        <v>21</v>
      </c>
      <c r="N15" s="54">
        <f t="shared" si="0"/>
        <v>25</v>
      </c>
      <c r="O15" s="170"/>
      <c r="P15" s="251" t="s">
        <v>560</v>
      </c>
      <c r="Q15" s="192"/>
      <c r="R15" s="192"/>
      <c r="S15" s="192"/>
      <c r="T15" s="192"/>
      <c r="U15" s="193"/>
    </row>
    <row r="16" spans="1:21" ht="27.6" customHeight="1">
      <c r="A16" s="85" t="s">
        <v>191</v>
      </c>
      <c r="B16" s="37">
        <f>ROW()-13</f>
        <v>3</v>
      </c>
      <c r="C16" s="145" t="s">
        <v>200</v>
      </c>
      <c r="D16" s="80"/>
      <c r="E16" s="81"/>
      <c r="F16" s="146"/>
      <c r="G16" s="17"/>
      <c r="H16" s="18" t="s">
        <v>51</v>
      </c>
      <c r="I16" s="59"/>
      <c r="J16" s="19">
        <v>4</v>
      </c>
      <c r="K16" s="19"/>
      <c r="L16" s="50" t="s">
        <v>190</v>
      </c>
      <c r="M16" s="73" t="s">
        <v>21</v>
      </c>
      <c r="N16" s="54">
        <f t="shared" si="0"/>
        <v>4</v>
      </c>
      <c r="O16" s="170"/>
      <c r="P16" s="251" t="s">
        <v>561</v>
      </c>
      <c r="Q16" s="192"/>
      <c r="R16" s="192"/>
      <c r="S16" s="192"/>
      <c r="T16" s="192"/>
      <c r="U16" s="193"/>
    </row>
    <row r="17" spans="1:21" ht="27.6" customHeight="1">
      <c r="A17" s="85" t="s">
        <v>191</v>
      </c>
      <c r="B17" s="37">
        <f>ROW()-13</f>
        <v>4</v>
      </c>
      <c r="C17" s="145" t="s">
        <v>203</v>
      </c>
      <c r="D17" s="80"/>
      <c r="E17" s="81"/>
      <c r="F17" s="146"/>
      <c r="G17" s="17"/>
      <c r="H17" s="18" t="s">
        <v>49</v>
      </c>
      <c r="I17" s="59"/>
      <c r="J17" s="19">
        <v>1</v>
      </c>
      <c r="K17" s="19"/>
      <c r="L17" s="50" t="s">
        <v>190</v>
      </c>
      <c r="M17" s="73" t="s">
        <v>21</v>
      </c>
      <c r="N17" s="54">
        <f t="shared" si="0"/>
        <v>1</v>
      </c>
      <c r="O17" s="170"/>
      <c r="P17" s="251" t="s">
        <v>562</v>
      </c>
      <c r="Q17" s="192"/>
      <c r="R17" s="192"/>
      <c r="S17" s="192"/>
      <c r="T17" s="192"/>
      <c r="U17" s="193"/>
    </row>
    <row r="18" spans="1:21" ht="27.6" customHeight="1">
      <c r="A18" s="85"/>
      <c r="B18" s="37">
        <f>ROW()-13</f>
        <v>5</v>
      </c>
      <c r="C18" s="145" t="s">
        <v>563</v>
      </c>
      <c r="D18" s="80"/>
      <c r="E18" s="81"/>
      <c r="F18" s="146"/>
      <c r="G18" s="17"/>
      <c r="H18" s="18" t="s">
        <v>49</v>
      </c>
      <c r="I18" s="59"/>
      <c r="J18" s="19">
        <v>1</v>
      </c>
      <c r="K18" s="19"/>
      <c r="L18" s="50" t="s">
        <v>190</v>
      </c>
      <c r="M18" s="73" t="s">
        <v>21</v>
      </c>
      <c r="N18" s="54">
        <f t="shared" si="0"/>
        <v>1</v>
      </c>
      <c r="O18" s="170"/>
      <c r="P18" s="251" t="s">
        <v>564</v>
      </c>
      <c r="Q18" s="192"/>
      <c r="R18" s="192"/>
      <c r="S18" s="192"/>
      <c r="T18" s="192"/>
      <c r="U18" s="193"/>
    </row>
    <row r="19" spans="1:21" ht="15.75" customHeight="1">
      <c r="A19" s="85" t="s">
        <v>191</v>
      </c>
      <c r="B19" s="37">
        <f>ROW()-13</f>
        <v>6</v>
      </c>
      <c r="C19" s="145" t="s">
        <v>565</v>
      </c>
      <c r="D19" s="80"/>
      <c r="E19" s="81"/>
      <c r="F19" s="146"/>
      <c r="G19" s="17"/>
      <c r="H19" s="18" t="s">
        <v>49</v>
      </c>
      <c r="I19" s="59"/>
      <c r="J19" s="19">
        <v>1</v>
      </c>
      <c r="K19" s="19"/>
      <c r="L19" s="50" t="s">
        <v>190</v>
      </c>
      <c r="M19" s="73" t="s">
        <v>21</v>
      </c>
      <c r="N19" s="54">
        <f t="shared" si="0"/>
        <v>1</v>
      </c>
      <c r="O19" s="170"/>
      <c r="P19" s="191"/>
      <c r="Q19" s="192"/>
      <c r="R19" s="192"/>
      <c r="S19" s="192"/>
      <c r="T19" s="192"/>
      <c r="U19" s="193"/>
    </row>
    <row r="20" spans="1:21" ht="15.75" customHeight="1">
      <c r="A20" s="85" t="s">
        <v>191</v>
      </c>
      <c r="B20" s="37">
        <f>ROW()-13</f>
        <v>7</v>
      </c>
      <c r="C20" s="145" t="s">
        <v>566</v>
      </c>
      <c r="D20" s="80"/>
      <c r="E20" s="81"/>
      <c r="F20" s="146"/>
      <c r="G20" s="17"/>
      <c r="H20" s="18" t="s">
        <v>51</v>
      </c>
      <c r="I20" s="59"/>
      <c r="J20" s="19">
        <v>25</v>
      </c>
      <c r="K20" s="19"/>
      <c r="L20" s="50" t="s">
        <v>190</v>
      </c>
      <c r="M20" s="73" t="s">
        <v>21</v>
      </c>
      <c r="N20" s="54">
        <f t="shared" si="0"/>
        <v>25</v>
      </c>
      <c r="O20" s="170"/>
      <c r="P20" s="191"/>
      <c r="Q20" s="192"/>
      <c r="R20" s="192"/>
      <c r="S20" s="192"/>
      <c r="T20" s="192"/>
      <c r="U20" s="193"/>
    </row>
    <row r="21" spans="1:21" ht="15.75" customHeight="1">
      <c r="A21" s="85" t="s">
        <v>191</v>
      </c>
      <c r="B21" s="37">
        <f>ROW()-13</f>
        <v>8</v>
      </c>
      <c r="C21" s="145" t="s">
        <v>567</v>
      </c>
      <c r="D21" s="80"/>
      <c r="E21" s="81"/>
      <c r="F21" s="146"/>
      <c r="G21" s="17"/>
      <c r="H21" s="18" t="s">
        <v>51</v>
      </c>
      <c r="I21" s="59"/>
      <c r="J21" s="19">
        <v>4</v>
      </c>
      <c r="K21" s="19"/>
      <c r="L21" s="50" t="s">
        <v>190</v>
      </c>
      <c r="M21" s="73" t="s">
        <v>21</v>
      </c>
      <c r="N21" s="54">
        <f t="shared" si="0"/>
        <v>4</v>
      </c>
      <c r="O21" s="170"/>
      <c r="P21" s="191" t="s">
        <v>202</v>
      </c>
      <c r="Q21" s="192"/>
      <c r="R21" s="192"/>
      <c r="S21" s="192"/>
      <c r="T21" s="192"/>
      <c r="U21" s="193"/>
    </row>
    <row r="22" spans="1:21" ht="62.85" customHeight="1">
      <c r="A22" s="85" t="s">
        <v>191</v>
      </c>
      <c r="B22" s="37">
        <f>ROW()-13</f>
        <v>9</v>
      </c>
      <c r="C22" s="145" t="s">
        <v>568</v>
      </c>
      <c r="D22" s="80"/>
      <c r="E22" s="81"/>
      <c r="F22" s="146"/>
      <c r="G22" s="17"/>
      <c r="H22" s="18" t="s">
        <v>49</v>
      </c>
      <c r="I22" s="59"/>
      <c r="J22" s="19">
        <v>1</v>
      </c>
      <c r="K22" s="19"/>
      <c r="L22" s="50" t="s">
        <v>190</v>
      </c>
      <c r="M22" s="73" t="s">
        <v>21</v>
      </c>
      <c r="N22" s="54">
        <f t="shared" si="0"/>
        <v>1</v>
      </c>
      <c r="O22" s="170"/>
      <c r="P22" s="251" t="s">
        <v>264</v>
      </c>
      <c r="Q22" s="192"/>
      <c r="R22" s="192"/>
      <c r="S22" s="192"/>
      <c r="T22" s="192"/>
      <c r="U22" s="193"/>
    </row>
    <row r="23" spans="1:21" ht="15.75" customHeight="1">
      <c r="A23" s="85"/>
      <c r="B23" s="37">
        <f>ROW()-13</f>
        <v>10</v>
      </c>
      <c r="C23" s="145" t="s">
        <v>569</v>
      </c>
      <c r="D23" s="80"/>
      <c r="E23" s="81"/>
      <c r="F23" s="146"/>
      <c r="G23" s="17"/>
      <c r="H23" s="18" t="s">
        <v>56</v>
      </c>
      <c r="I23" s="59"/>
      <c r="J23" s="19">
        <v>4</v>
      </c>
      <c r="K23" s="19">
        <v>2</v>
      </c>
      <c r="L23" s="50" t="s">
        <v>190</v>
      </c>
      <c r="M23" s="73" t="s">
        <v>21</v>
      </c>
      <c r="N23" s="54">
        <f t="shared" si="0"/>
        <v>4</v>
      </c>
      <c r="O23" s="170"/>
      <c r="P23" s="191"/>
      <c r="Q23" s="192"/>
      <c r="R23" s="192"/>
      <c r="S23" s="192"/>
      <c r="T23" s="192"/>
      <c r="U23" s="193"/>
    </row>
    <row r="24" spans="1:21" ht="27.6" customHeight="1">
      <c r="A24" s="85"/>
      <c r="B24" s="37">
        <f>ROW()-13</f>
        <v>11</v>
      </c>
      <c r="C24" s="145" t="s">
        <v>570</v>
      </c>
      <c r="D24" s="80"/>
      <c r="E24" s="81"/>
      <c r="F24" s="146"/>
      <c r="G24" s="17"/>
      <c r="H24" s="18" t="s">
        <v>51</v>
      </c>
      <c r="I24" s="59"/>
      <c r="J24" s="19">
        <v>10</v>
      </c>
      <c r="K24" s="19"/>
      <c r="L24" s="50" t="s">
        <v>190</v>
      </c>
      <c r="M24" s="73" t="s">
        <v>21</v>
      </c>
      <c r="N24" s="54">
        <f t="shared" si="0"/>
        <v>10</v>
      </c>
      <c r="O24" s="170"/>
      <c r="P24" s="251" t="s">
        <v>571</v>
      </c>
      <c r="Q24" s="192"/>
      <c r="R24" s="192"/>
      <c r="S24" s="192"/>
      <c r="T24" s="192"/>
      <c r="U24" s="193"/>
    </row>
    <row r="25" spans="1:21" ht="15.75" customHeight="1">
      <c r="A25" s="85"/>
      <c r="B25" s="37">
        <f>ROW()-13</f>
        <v>12</v>
      </c>
      <c r="C25" s="145" t="s">
        <v>277</v>
      </c>
      <c r="D25" s="80"/>
      <c r="E25" s="81"/>
      <c r="F25" s="146" t="s">
        <v>557</v>
      </c>
      <c r="G25" s="17"/>
      <c r="H25" s="18" t="s">
        <v>51</v>
      </c>
      <c r="I25" s="59"/>
      <c r="J25" s="19">
        <v>50</v>
      </c>
      <c r="K25" s="19"/>
      <c r="L25" s="50"/>
      <c r="M25" s="73" t="s">
        <v>21</v>
      </c>
      <c r="N25" s="54">
        <f t="shared" si="0"/>
        <v>50</v>
      </c>
      <c r="O25" s="170"/>
      <c r="P25" s="191"/>
      <c r="Q25" s="192"/>
      <c r="R25" s="192"/>
      <c r="S25" s="192"/>
      <c r="T25" s="192"/>
      <c r="U25" s="193"/>
    </row>
    <row r="26" spans="1:21" ht="15.75">
      <c r="A26" s="85"/>
      <c r="B26" s="37">
        <f t="shared" ref="B26:B32" si="1">ROW()-13</f>
        <v>13</v>
      </c>
      <c r="C26" s="107" t="s">
        <v>36</v>
      </c>
      <c r="D26" s="107"/>
      <c r="E26" s="108"/>
      <c r="F26" s="109" t="s">
        <v>78</v>
      </c>
      <c r="G26" s="110"/>
      <c r="H26" s="18" t="s">
        <v>51</v>
      </c>
      <c r="I26" s="59"/>
      <c r="J26" s="113">
        <v>12</v>
      </c>
      <c r="K26" s="113"/>
      <c r="L26" s="114"/>
      <c r="M26" s="115" t="s">
        <v>35</v>
      </c>
      <c r="N26" s="116">
        <f t="shared" si="0"/>
        <v>12</v>
      </c>
      <c r="O26" s="171"/>
      <c r="P26" s="197"/>
      <c r="Q26" s="198"/>
      <c r="R26" s="198"/>
      <c r="S26" s="198"/>
      <c r="T26" s="198"/>
      <c r="U26" s="199"/>
    </row>
    <row r="27" spans="1:21" ht="15.75">
      <c r="A27" s="85"/>
      <c r="B27" s="37">
        <f t="shared" si="1"/>
        <v>14</v>
      </c>
      <c r="C27" s="107" t="s">
        <v>37</v>
      </c>
      <c r="D27" s="107"/>
      <c r="E27" s="108"/>
      <c r="F27" s="109" t="s">
        <v>43</v>
      </c>
      <c r="G27" s="110"/>
      <c r="H27" s="18" t="s">
        <v>51</v>
      </c>
      <c r="I27" s="59"/>
      <c r="J27" s="113">
        <v>10</v>
      </c>
      <c r="K27" s="113"/>
      <c r="L27" s="114"/>
      <c r="M27" s="115" t="s">
        <v>21</v>
      </c>
      <c r="N27" s="116">
        <f t="shared" si="0"/>
        <v>10</v>
      </c>
      <c r="O27" s="171"/>
      <c r="P27" s="197"/>
      <c r="Q27" s="198"/>
      <c r="R27" s="198"/>
      <c r="S27" s="198"/>
      <c r="T27" s="198"/>
      <c r="U27" s="199"/>
    </row>
    <row r="28" spans="1:21" ht="15.75">
      <c r="A28" s="85"/>
      <c r="B28" s="37">
        <f t="shared" si="1"/>
        <v>15</v>
      </c>
      <c r="C28" s="107" t="s">
        <v>38</v>
      </c>
      <c r="D28" s="107"/>
      <c r="E28" s="108"/>
      <c r="F28" s="109" t="s">
        <v>80</v>
      </c>
      <c r="G28" s="110"/>
      <c r="H28" s="18" t="s">
        <v>86</v>
      </c>
      <c r="I28" s="59"/>
      <c r="J28" s="113"/>
      <c r="K28" s="113"/>
      <c r="L28" s="114"/>
      <c r="M28" s="115" t="s">
        <v>21</v>
      </c>
      <c r="N28" s="116">
        <f t="shared" si="0"/>
        <v>0</v>
      </c>
      <c r="O28" s="171"/>
      <c r="P28" s="197"/>
      <c r="Q28" s="198"/>
      <c r="R28" s="198"/>
      <c r="S28" s="198"/>
      <c r="T28" s="198"/>
      <c r="U28" s="199"/>
    </row>
    <row r="29" spans="1:21" ht="15.75">
      <c r="A29" s="85"/>
      <c r="B29" s="37">
        <f t="shared" si="1"/>
        <v>16</v>
      </c>
      <c r="C29" s="107" t="s">
        <v>39</v>
      </c>
      <c r="D29" s="107"/>
      <c r="E29" s="108"/>
      <c r="F29" s="109" t="s">
        <v>79</v>
      </c>
      <c r="G29" s="110"/>
      <c r="H29" s="18" t="s">
        <v>51</v>
      </c>
      <c r="I29" s="59"/>
      <c r="J29" s="113">
        <v>12</v>
      </c>
      <c r="K29" s="113"/>
      <c r="L29" s="114"/>
      <c r="M29" s="115" t="s">
        <v>35</v>
      </c>
      <c r="N29" s="116">
        <f t="shared" si="0"/>
        <v>12</v>
      </c>
      <c r="O29" s="171"/>
      <c r="P29" s="197"/>
      <c r="Q29" s="198"/>
      <c r="R29" s="198"/>
      <c r="S29" s="198"/>
      <c r="T29" s="198"/>
      <c r="U29" s="199"/>
    </row>
    <row r="30" spans="1:21" ht="15.75">
      <c r="A30" s="85"/>
      <c r="B30" s="37">
        <f t="shared" si="1"/>
        <v>17</v>
      </c>
      <c r="C30" s="107" t="s">
        <v>40</v>
      </c>
      <c r="D30" s="107"/>
      <c r="E30" s="108"/>
      <c r="F30" s="109" t="s">
        <v>44</v>
      </c>
      <c r="G30" s="110"/>
      <c r="H30" s="18" t="s">
        <v>51</v>
      </c>
      <c r="I30" s="59"/>
      <c r="J30" s="113">
        <v>10</v>
      </c>
      <c r="K30" s="113"/>
      <c r="L30" s="114"/>
      <c r="M30" s="115" t="s">
        <v>21</v>
      </c>
      <c r="N30" s="116">
        <f t="shared" si="0"/>
        <v>10</v>
      </c>
      <c r="O30" s="171"/>
      <c r="P30" s="197"/>
      <c r="Q30" s="198"/>
      <c r="R30" s="198"/>
      <c r="S30" s="198"/>
      <c r="T30" s="198"/>
      <c r="U30" s="199"/>
    </row>
    <row r="31" spans="1:21" ht="15.75">
      <c r="A31" s="85"/>
      <c r="B31" s="37">
        <f t="shared" si="1"/>
        <v>18</v>
      </c>
      <c r="C31" s="107" t="s">
        <v>41</v>
      </c>
      <c r="D31" s="107"/>
      <c r="E31" s="108"/>
      <c r="F31" s="109" t="s">
        <v>81</v>
      </c>
      <c r="G31" s="110"/>
      <c r="H31" s="18" t="s">
        <v>86</v>
      </c>
      <c r="I31" s="59"/>
      <c r="J31" s="113"/>
      <c r="K31" s="113"/>
      <c r="L31" s="114"/>
      <c r="M31" s="115" t="s">
        <v>21</v>
      </c>
      <c r="N31" s="116">
        <f t="shared" si="0"/>
        <v>0</v>
      </c>
      <c r="O31" s="171"/>
      <c r="P31" s="197"/>
      <c r="Q31" s="198"/>
      <c r="R31" s="198"/>
      <c r="S31" s="198"/>
      <c r="T31" s="198"/>
      <c r="U31" s="199"/>
    </row>
    <row r="32" spans="1:21" ht="15.75">
      <c r="A32" s="85"/>
      <c r="B32" s="37">
        <f t="shared" si="1"/>
        <v>19</v>
      </c>
      <c r="C32" s="80" t="s">
        <v>46</v>
      </c>
      <c r="D32" s="80"/>
      <c r="E32" s="81"/>
      <c r="F32" s="84" t="s">
        <v>71</v>
      </c>
      <c r="G32" s="17"/>
      <c r="H32" s="18" t="s">
        <v>62</v>
      </c>
      <c r="I32" s="59"/>
      <c r="J32" s="19">
        <v>8</v>
      </c>
      <c r="K32" s="19"/>
      <c r="L32" s="50" t="s">
        <v>47</v>
      </c>
      <c r="M32" s="73" t="s">
        <v>35</v>
      </c>
      <c r="N32" s="54">
        <f t="shared" si="0"/>
        <v>8</v>
      </c>
      <c r="O32" s="170">
        <v>0</v>
      </c>
      <c r="P32" s="191" t="s">
        <v>48</v>
      </c>
      <c r="Q32" s="192"/>
      <c r="R32" s="192"/>
      <c r="S32" s="192"/>
      <c r="T32" s="192"/>
      <c r="U32" s="193"/>
    </row>
    <row r="33" spans="1:21" ht="16.5" thickBot="1">
      <c r="A33" s="118"/>
      <c r="B33" s="119"/>
      <c r="C33" s="120"/>
      <c r="D33" s="120"/>
      <c r="E33" s="121"/>
      <c r="F33" s="129"/>
      <c r="G33" s="122"/>
      <c r="H33" s="147"/>
      <c r="I33" s="148"/>
      <c r="J33" s="125"/>
      <c r="K33" s="125"/>
      <c r="L33" s="126"/>
      <c r="M33" s="126"/>
      <c r="N33" s="127"/>
      <c r="O33" s="172"/>
      <c r="P33" s="194"/>
      <c r="Q33" s="195"/>
      <c r="R33" s="195"/>
      <c r="S33" s="195"/>
      <c r="T33" s="195"/>
      <c r="U33" s="196"/>
    </row>
  </sheetData>
  <mergeCells count="50">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91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891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891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891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891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891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DB7DA2B7-E99C-4822-BE2B-191BD18FA535}">
            <xm:f>(AND(H14&lt;&gt;"",ISERROR(VLOOKUP(H14,system!$E:$E,1,FALSE))))</xm:f>
            <x14:dxf>
              <fill>
                <patternFill patternType="solid">
                  <bgColor rgb="FFFF0000"/>
                </patternFill>
              </fill>
            </x14:dxf>
          </x14:cfRule>
          <xm:sqref>H14:H25</xm:sqref>
        </x14:conditionalFormatting>
        <x14:conditionalFormatting xmlns:xm="http://schemas.microsoft.com/office/excel/2006/main">
          <x14:cfRule type="expression" priority="3" id="{F48B9BAF-03B1-4785-A235-86F924C2DB56}">
            <xm:f>(AND(H14&lt;&gt;"",ISERROR(VLOOKUP(H14,system!$E:$E,1,FALSE))))</xm:f>
            <x14:dxf>
              <fill>
                <patternFill>
                  <bgColor rgb="FFFF0000"/>
                </patternFill>
              </fill>
            </x14:dxf>
          </x14:cfRule>
          <xm:sqref>I14:I25</xm:sqref>
        </x14:conditionalFormatting>
        <x14:conditionalFormatting xmlns:xm="http://schemas.microsoft.com/office/excel/2006/main">
          <x14:cfRule type="expression" priority="2" id="{45A6F148-969E-4F04-B7E7-CED1A9D30219}">
            <xm:f>(AND(H26&lt;&gt;"",ISERROR(VLOOKUP(H26,system!$E:$E,1,FALSE))))</xm:f>
            <x14:dxf>
              <fill>
                <patternFill patternType="solid">
                  <bgColor rgb="FFFF0000"/>
                </patternFill>
              </fill>
            </x14:dxf>
          </x14:cfRule>
          <xm:sqref>H26:H33</xm:sqref>
        </x14:conditionalFormatting>
        <x14:conditionalFormatting xmlns:xm="http://schemas.microsoft.com/office/excel/2006/main">
          <x14:cfRule type="expression" priority="1" id="{8E83816F-DA29-4C3C-85A2-7ACCB7CF9F55}">
            <xm:f>(AND(H26&lt;&gt;"",ISERROR(VLOOKUP(H26,system!$E:$E,1,FALSE))))</xm:f>
            <x14:dxf>
              <fill>
                <patternFill>
                  <bgColor rgb="FFFF0000"/>
                </patternFill>
              </fill>
            </x14:dxf>
          </x14:cfRule>
          <xm:sqref>I26:I33</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A1:U2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573</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146</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SUM(N14:N26)</f>
        <v>146</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574</v>
      </c>
      <c r="D14" s="80"/>
      <c r="E14" s="81"/>
      <c r="F14" s="146"/>
      <c r="G14" s="17"/>
      <c r="H14" s="18" t="s">
        <v>49</v>
      </c>
      <c r="I14" s="59"/>
      <c r="J14" s="19">
        <v>12</v>
      </c>
      <c r="K14" s="19"/>
      <c r="L14" s="50" t="s">
        <v>190</v>
      </c>
      <c r="M14" s="73" t="s">
        <v>21</v>
      </c>
      <c r="N14" s="54">
        <f t="shared" ref="N14:N24" si="0">IF(H14="NUMBER",IF(J14&gt;0,INT((J14+1)/2+0.9),0),IF(H14="DATE",7,IF(OR(H14="LONG",H14="LONG RAW"),100000,J14)))</f>
        <v>12</v>
      </c>
      <c r="O14" s="170"/>
      <c r="P14" s="191"/>
      <c r="Q14" s="192"/>
      <c r="R14" s="192"/>
      <c r="S14" s="192"/>
      <c r="T14" s="192"/>
      <c r="U14" s="193"/>
    </row>
    <row r="15" spans="1:21" ht="15.75" customHeight="1">
      <c r="A15" s="85"/>
      <c r="B15" s="37">
        <f>ROW()-13</f>
        <v>2</v>
      </c>
      <c r="C15" s="145" t="s">
        <v>575</v>
      </c>
      <c r="D15" s="80"/>
      <c r="E15" s="81"/>
      <c r="F15" s="146"/>
      <c r="G15" s="17"/>
      <c r="H15" s="18" t="s">
        <v>51</v>
      </c>
      <c r="I15" s="59"/>
      <c r="J15" s="19">
        <v>30</v>
      </c>
      <c r="K15" s="19"/>
      <c r="L15" s="50" t="s">
        <v>190</v>
      </c>
      <c r="M15" s="73" t="s">
        <v>21</v>
      </c>
      <c r="N15" s="54">
        <f t="shared" si="0"/>
        <v>30</v>
      </c>
      <c r="O15" s="170"/>
      <c r="P15" s="191"/>
      <c r="Q15" s="192"/>
      <c r="R15" s="192"/>
      <c r="S15" s="192"/>
      <c r="T15" s="192"/>
      <c r="U15" s="193"/>
    </row>
    <row r="16" spans="1:21" ht="15.75" customHeight="1">
      <c r="A16" s="85"/>
      <c r="B16" s="37">
        <f>ROW()-13</f>
        <v>3</v>
      </c>
      <c r="C16" s="145" t="s">
        <v>509</v>
      </c>
      <c r="D16" s="80"/>
      <c r="E16" s="81"/>
      <c r="F16" s="146"/>
      <c r="G16" s="17"/>
      <c r="H16" s="18" t="s">
        <v>51</v>
      </c>
      <c r="I16" s="59"/>
      <c r="J16" s="19">
        <v>2</v>
      </c>
      <c r="K16" s="19"/>
      <c r="L16" s="50"/>
      <c r="M16" s="73" t="s">
        <v>21</v>
      </c>
      <c r="N16" s="54">
        <f t="shared" si="0"/>
        <v>2</v>
      </c>
      <c r="O16" s="170"/>
      <c r="P16" s="191" t="s">
        <v>576</v>
      </c>
      <c r="Q16" s="192"/>
      <c r="R16" s="192"/>
      <c r="S16" s="192"/>
      <c r="T16" s="192"/>
      <c r="U16" s="193"/>
    </row>
    <row r="17" spans="1:21" ht="15.75" customHeight="1">
      <c r="A17" s="85"/>
      <c r="B17" s="37">
        <f>ROW()-13</f>
        <v>4</v>
      </c>
      <c r="C17" s="145" t="s">
        <v>277</v>
      </c>
      <c r="D17" s="80"/>
      <c r="E17" s="81"/>
      <c r="F17" s="146" t="s">
        <v>557</v>
      </c>
      <c r="G17" s="17"/>
      <c r="H17" s="18" t="s">
        <v>51</v>
      </c>
      <c r="I17" s="59"/>
      <c r="J17" s="19">
        <v>50</v>
      </c>
      <c r="K17" s="19"/>
      <c r="L17" s="50"/>
      <c r="M17" s="73" t="s">
        <v>21</v>
      </c>
      <c r="N17" s="54">
        <f t="shared" si="0"/>
        <v>50</v>
      </c>
      <c r="O17" s="170"/>
      <c r="P17" s="191"/>
      <c r="Q17" s="192"/>
      <c r="R17" s="192"/>
      <c r="S17" s="192"/>
      <c r="T17" s="192"/>
      <c r="U17" s="193"/>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71"/>
      <c r="P18" s="197"/>
      <c r="Q18" s="198"/>
      <c r="R18" s="198"/>
      <c r="S18" s="198"/>
      <c r="T18" s="198"/>
      <c r="U18" s="199"/>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71"/>
      <c r="P19" s="197"/>
      <c r="Q19" s="198"/>
      <c r="R19" s="198"/>
      <c r="S19" s="198"/>
      <c r="T19" s="198"/>
      <c r="U19" s="199"/>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71"/>
      <c r="P20" s="197"/>
      <c r="Q20" s="198"/>
      <c r="R20" s="198"/>
      <c r="S20" s="198"/>
      <c r="T20" s="198"/>
      <c r="U20" s="199"/>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71"/>
      <c r="P21" s="197"/>
      <c r="Q21" s="198"/>
      <c r="R21" s="198"/>
      <c r="S21" s="198"/>
      <c r="T21" s="198"/>
      <c r="U21" s="199"/>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71"/>
      <c r="P22" s="197"/>
      <c r="Q22" s="198"/>
      <c r="R22" s="198"/>
      <c r="S22" s="198"/>
      <c r="T22" s="198"/>
      <c r="U22" s="199"/>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71"/>
      <c r="P23" s="197"/>
      <c r="Q23" s="198"/>
      <c r="R23" s="198"/>
      <c r="S23" s="198"/>
      <c r="T23" s="198"/>
      <c r="U23" s="199"/>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70">
        <v>0</v>
      </c>
      <c r="P24" s="191" t="s">
        <v>48</v>
      </c>
      <c r="Q24" s="192"/>
      <c r="R24" s="192"/>
      <c r="S24" s="192"/>
      <c r="T24" s="192"/>
      <c r="U24" s="193"/>
    </row>
    <row r="25" spans="1:21" ht="16.5" thickBot="1">
      <c r="A25" s="118"/>
      <c r="B25" s="119"/>
      <c r="C25" s="120"/>
      <c r="D25" s="120"/>
      <c r="E25" s="121"/>
      <c r="F25" s="129"/>
      <c r="G25" s="122"/>
      <c r="H25" s="147"/>
      <c r="I25" s="148"/>
      <c r="J25" s="125"/>
      <c r="K25" s="125"/>
      <c r="L25" s="126"/>
      <c r="M25" s="126"/>
      <c r="N25" s="127"/>
      <c r="O25" s="172"/>
      <c r="P25" s="194"/>
      <c r="Q25" s="195"/>
      <c r="R25" s="195"/>
      <c r="S25" s="195"/>
      <c r="T25" s="195"/>
      <c r="U25" s="196"/>
    </row>
  </sheetData>
  <mergeCells count="42">
    <mergeCell ref="P22:U22"/>
    <mergeCell ref="P23:U23"/>
    <mergeCell ref="P24:U24"/>
    <mergeCell ref="P25:U25"/>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93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993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993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994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994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994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9F7BE3E-3C28-458E-A449-9222B993E530}">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6DC63C7D-F207-4489-9D04-E995148F833E}">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898D0D08-3B08-4EC3-840A-88FDD7E2F01F}">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3CA05D27-DB4E-4D0B-A7A9-03C7EA01309C}">
            <xm:f>(AND(H18&lt;&gt;"",ISERROR(VLOOKUP(H18,system!$E:$E,1,FALSE))))</xm:f>
            <x14:dxf>
              <fill>
                <patternFill>
                  <bgColor rgb="FFFF0000"/>
                </patternFill>
              </fill>
            </x14:dxf>
          </x14:cfRule>
          <xm:sqref>I18:I25</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A1:U26"/>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578</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148</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SUM(N14:N27)</f>
        <v>160</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579</v>
      </c>
      <c r="D14" s="80"/>
      <c r="E14" s="81"/>
      <c r="F14" s="146"/>
      <c r="G14" s="17"/>
      <c r="H14" s="18" t="s">
        <v>49</v>
      </c>
      <c r="I14" s="59"/>
      <c r="J14" s="19">
        <v>12</v>
      </c>
      <c r="K14" s="19"/>
      <c r="L14" s="50" t="s">
        <v>190</v>
      </c>
      <c r="M14" s="73" t="s">
        <v>21</v>
      </c>
      <c r="N14" s="54">
        <f t="shared" ref="N14:N25" si="0">IF(H14="NUMBER",IF(J14&gt;0,INT((J14+1)/2+0.9),0),IF(H14="DATE",7,IF(OR(H14="LONG",H14="LONG RAW"),100000,J14)))</f>
        <v>12</v>
      </c>
      <c r="O14" s="170"/>
      <c r="P14" s="191"/>
      <c r="Q14" s="192"/>
      <c r="R14" s="192"/>
      <c r="S14" s="192"/>
      <c r="T14" s="192"/>
      <c r="U14" s="193"/>
    </row>
    <row r="15" spans="1:21" ht="15.75" customHeight="1">
      <c r="A15" s="85"/>
      <c r="B15" s="37">
        <f>ROW()-13</f>
        <v>2</v>
      </c>
      <c r="C15" s="145" t="s">
        <v>580</v>
      </c>
      <c r="D15" s="80"/>
      <c r="E15" s="81"/>
      <c r="F15" s="146"/>
      <c r="G15" s="17"/>
      <c r="H15" s="18" t="s">
        <v>51</v>
      </c>
      <c r="I15" s="59"/>
      <c r="J15" s="19">
        <v>30</v>
      </c>
      <c r="K15" s="19"/>
      <c r="L15" s="50" t="s">
        <v>190</v>
      </c>
      <c r="M15" s="73" t="s">
        <v>21</v>
      </c>
      <c r="N15" s="54">
        <f t="shared" si="0"/>
        <v>30</v>
      </c>
      <c r="O15" s="170"/>
      <c r="P15" s="191" t="s">
        <v>146</v>
      </c>
      <c r="Q15" s="192"/>
      <c r="R15" s="192"/>
      <c r="S15" s="192"/>
      <c r="T15" s="192"/>
      <c r="U15" s="193"/>
    </row>
    <row r="16" spans="1:21" ht="15.75" customHeight="1">
      <c r="A16" s="85"/>
      <c r="B16" s="37">
        <f>ROW()-13</f>
        <v>3</v>
      </c>
      <c r="C16" s="145" t="s">
        <v>569</v>
      </c>
      <c r="D16" s="80"/>
      <c r="E16" s="81"/>
      <c r="F16" s="146"/>
      <c r="G16" s="17"/>
      <c r="H16" s="18" t="s">
        <v>56</v>
      </c>
      <c r="I16" s="59"/>
      <c r="J16" s="19">
        <v>6</v>
      </c>
      <c r="K16" s="19">
        <v>2</v>
      </c>
      <c r="L16" s="50" t="s">
        <v>190</v>
      </c>
      <c r="M16" s="73" t="s">
        <v>21</v>
      </c>
      <c r="N16" s="54">
        <f t="shared" si="0"/>
        <v>6</v>
      </c>
      <c r="O16" s="170"/>
      <c r="P16" s="191"/>
      <c r="Q16" s="192"/>
      <c r="R16" s="192"/>
      <c r="S16" s="192"/>
      <c r="T16" s="192"/>
      <c r="U16" s="193"/>
    </row>
    <row r="17" spans="1:21" ht="27.6" customHeight="1">
      <c r="A17" s="85"/>
      <c r="B17" s="37">
        <f>ROW()-13</f>
        <v>4</v>
      </c>
      <c r="C17" s="145" t="s">
        <v>329</v>
      </c>
      <c r="D17" s="80"/>
      <c r="E17" s="81"/>
      <c r="F17" s="146"/>
      <c r="G17" s="17"/>
      <c r="H17" s="18" t="s">
        <v>51</v>
      </c>
      <c r="I17" s="59"/>
      <c r="J17" s="19">
        <v>10</v>
      </c>
      <c r="K17" s="19"/>
      <c r="L17" s="50" t="s">
        <v>190</v>
      </c>
      <c r="M17" s="73" t="s">
        <v>21</v>
      </c>
      <c r="N17" s="54">
        <f t="shared" si="0"/>
        <v>10</v>
      </c>
      <c r="O17" s="170"/>
      <c r="P17" s="251" t="s">
        <v>581</v>
      </c>
      <c r="Q17" s="192"/>
      <c r="R17" s="192"/>
      <c r="S17" s="192"/>
      <c r="T17" s="192"/>
      <c r="U17" s="193"/>
    </row>
    <row r="18" spans="1:21" ht="15.75" customHeight="1">
      <c r="A18" s="85"/>
      <c r="B18" s="37">
        <f>ROW()-13</f>
        <v>5</v>
      </c>
      <c r="C18" s="145" t="s">
        <v>277</v>
      </c>
      <c r="D18" s="80"/>
      <c r="E18" s="81"/>
      <c r="F18" s="146" t="s">
        <v>557</v>
      </c>
      <c r="G18" s="17"/>
      <c r="H18" s="18" t="s">
        <v>51</v>
      </c>
      <c r="I18" s="59"/>
      <c r="J18" s="19">
        <v>50</v>
      </c>
      <c r="K18" s="19"/>
      <c r="L18" s="50"/>
      <c r="M18" s="73" t="s">
        <v>21</v>
      </c>
      <c r="N18" s="54">
        <f t="shared" si="0"/>
        <v>50</v>
      </c>
      <c r="O18" s="170"/>
      <c r="P18" s="191"/>
      <c r="Q18" s="192"/>
      <c r="R18" s="192"/>
      <c r="S18" s="192"/>
      <c r="T18" s="192"/>
      <c r="U18" s="193"/>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71"/>
      <c r="P19" s="197"/>
      <c r="Q19" s="198"/>
      <c r="R19" s="198"/>
      <c r="S19" s="198"/>
      <c r="T19" s="198"/>
      <c r="U19" s="199"/>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71"/>
      <c r="P20" s="197"/>
      <c r="Q20" s="198"/>
      <c r="R20" s="198"/>
      <c r="S20" s="198"/>
      <c r="T20" s="198"/>
      <c r="U20" s="199"/>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71"/>
      <c r="P21" s="197"/>
      <c r="Q21" s="198"/>
      <c r="R21" s="198"/>
      <c r="S21" s="198"/>
      <c r="T21" s="198"/>
      <c r="U21" s="199"/>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71"/>
      <c r="P22" s="197"/>
      <c r="Q22" s="198"/>
      <c r="R22" s="198"/>
      <c r="S22" s="198"/>
      <c r="T22" s="198"/>
      <c r="U22" s="199"/>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71"/>
      <c r="P23" s="197"/>
      <c r="Q23" s="198"/>
      <c r="R23" s="198"/>
      <c r="S23" s="198"/>
      <c r="T23" s="198"/>
      <c r="U23" s="199"/>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71"/>
      <c r="P24" s="197"/>
      <c r="Q24" s="198"/>
      <c r="R24" s="198"/>
      <c r="S24" s="198"/>
      <c r="T24" s="198"/>
      <c r="U24" s="199"/>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70">
        <v>0</v>
      </c>
      <c r="P25" s="191" t="s">
        <v>48</v>
      </c>
      <c r="Q25" s="192"/>
      <c r="R25" s="192"/>
      <c r="S25" s="192"/>
      <c r="T25" s="192"/>
      <c r="U25" s="193"/>
    </row>
    <row r="26" spans="1:21" ht="16.5" thickBot="1">
      <c r="A26" s="118"/>
      <c r="B26" s="119"/>
      <c r="C26" s="120"/>
      <c r="D26" s="120"/>
      <c r="E26" s="121"/>
      <c r="F26" s="129"/>
      <c r="G26" s="122"/>
      <c r="H26" s="147"/>
      <c r="I26" s="148"/>
      <c r="J26" s="125"/>
      <c r="K26" s="125"/>
      <c r="L26" s="126"/>
      <c r="M26" s="126"/>
      <c r="N26" s="127"/>
      <c r="O26" s="172"/>
      <c r="P26" s="194"/>
      <c r="Q26" s="195"/>
      <c r="R26" s="195"/>
      <c r="S26" s="195"/>
      <c r="T26" s="195"/>
      <c r="U26" s="196"/>
    </row>
  </sheetData>
  <mergeCells count="43">
    <mergeCell ref="P22:U22"/>
    <mergeCell ref="P23:U23"/>
    <mergeCell ref="P24:U24"/>
    <mergeCell ref="P25:U25"/>
    <mergeCell ref="P26:U26"/>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096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096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096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096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096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89CD3468-06C5-4D3B-9EC1-F66D476EBFDD}">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15246E96-850B-4E51-B413-8B7C72BB28FE}">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38B52165-0F1C-4ABD-A27D-CF5249B916DA}">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5622DE67-26F1-47D4-A4A7-BA25E231F34B}">
            <xm:f>(AND(H19&lt;&gt;"",ISERROR(VLOOKUP(H19,system!$E:$E,1,FALSE))))</xm:f>
            <x14:dxf>
              <fill>
                <patternFill>
                  <bgColor rgb="FFFF0000"/>
                </patternFill>
              </fill>
            </x14:dxf>
          </x14:cfRule>
          <xm:sqref>I19:I26</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A1:U33"/>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583</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150</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SUM(N14:N34)</f>
        <v>222</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32" si="0">IF(H14="NUMBER",IF(J14&gt;0,INT((J14+1)/2+0.9),0),IF(H14="DATE",7,IF(OR(H14="LONG",H14="LONG RAW"),100000,J14)))</f>
        <v>1</v>
      </c>
      <c r="O14" s="170"/>
      <c r="P14" s="191"/>
      <c r="Q14" s="192"/>
      <c r="R14" s="192"/>
      <c r="S14" s="192"/>
      <c r="T14" s="192"/>
      <c r="U14" s="193"/>
    </row>
    <row r="15" spans="1:21" ht="15.75" customHeight="1">
      <c r="A15" s="85"/>
      <c r="B15" s="37">
        <f>ROW()-13</f>
        <v>2</v>
      </c>
      <c r="C15" s="145" t="s">
        <v>196</v>
      </c>
      <c r="D15" s="80"/>
      <c r="E15" s="81"/>
      <c r="F15" s="146"/>
      <c r="G15" s="17"/>
      <c r="H15" s="18" t="s">
        <v>49</v>
      </c>
      <c r="I15" s="59"/>
      <c r="J15" s="19">
        <v>12</v>
      </c>
      <c r="K15" s="19"/>
      <c r="L15" s="50" t="s">
        <v>190</v>
      </c>
      <c r="M15" s="73" t="s">
        <v>21</v>
      </c>
      <c r="N15" s="54">
        <f t="shared" si="0"/>
        <v>12</v>
      </c>
      <c r="O15" s="170"/>
      <c r="P15" s="191"/>
      <c r="Q15" s="192"/>
      <c r="R15" s="192"/>
      <c r="S15" s="192"/>
      <c r="T15" s="192"/>
      <c r="U15" s="193"/>
    </row>
    <row r="16" spans="1:21" ht="15.75" customHeight="1">
      <c r="A16" s="85" t="s">
        <v>191</v>
      </c>
      <c r="B16" s="37">
        <f>ROW()-13</f>
        <v>3</v>
      </c>
      <c r="C16" s="145" t="s">
        <v>198</v>
      </c>
      <c r="D16" s="80"/>
      <c r="E16" s="81"/>
      <c r="F16" s="146"/>
      <c r="G16" s="17"/>
      <c r="H16" s="18" t="s">
        <v>51</v>
      </c>
      <c r="I16" s="59"/>
      <c r="J16" s="19">
        <v>25</v>
      </c>
      <c r="K16" s="19"/>
      <c r="L16" s="50" t="s">
        <v>190</v>
      </c>
      <c r="M16" s="73" t="s">
        <v>21</v>
      </c>
      <c r="N16" s="54">
        <f t="shared" si="0"/>
        <v>25</v>
      </c>
      <c r="O16" s="170"/>
      <c r="P16" s="191"/>
      <c r="Q16" s="192"/>
      <c r="R16" s="192"/>
      <c r="S16" s="192"/>
      <c r="T16" s="192"/>
      <c r="U16" s="193"/>
    </row>
    <row r="17" spans="1:21" ht="15.75" customHeight="1">
      <c r="A17" s="85" t="s">
        <v>191</v>
      </c>
      <c r="B17" s="37">
        <f>ROW()-13</f>
        <v>4</v>
      </c>
      <c r="C17" s="145" t="s">
        <v>200</v>
      </c>
      <c r="D17" s="80"/>
      <c r="E17" s="81"/>
      <c r="F17" s="146"/>
      <c r="G17" s="17"/>
      <c r="H17" s="18" t="s">
        <v>51</v>
      </c>
      <c r="I17" s="59"/>
      <c r="J17" s="19">
        <v>4</v>
      </c>
      <c r="K17" s="19"/>
      <c r="L17" s="50" t="s">
        <v>190</v>
      </c>
      <c r="M17" s="73" t="s">
        <v>21</v>
      </c>
      <c r="N17" s="54">
        <f t="shared" si="0"/>
        <v>4</v>
      </c>
      <c r="O17" s="170"/>
      <c r="P17" s="191" t="s">
        <v>202</v>
      </c>
      <c r="Q17" s="192"/>
      <c r="R17" s="192"/>
      <c r="S17" s="192"/>
      <c r="T17" s="192"/>
      <c r="U17" s="193"/>
    </row>
    <row r="18" spans="1:21" ht="62.85" customHeight="1">
      <c r="A18" s="85" t="s">
        <v>191</v>
      </c>
      <c r="B18" s="37">
        <f>ROW()-13</f>
        <v>5</v>
      </c>
      <c r="C18" s="145" t="s">
        <v>203</v>
      </c>
      <c r="D18" s="80"/>
      <c r="E18" s="81"/>
      <c r="F18" s="146"/>
      <c r="G18" s="17"/>
      <c r="H18" s="18" t="s">
        <v>49</v>
      </c>
      <c r="I18" s="59"/>
      <c r="J18" s="19">
        <v>1</v>
      </c>
      <c r="K18" s="19"/>
      <c r="L18" s="50" t="s">
        <v>190</v>
      </c>
      <c r="M18" s="73" t="s">
        <v>21</v>
      </c>
      <c r="N18" s="54">
        <f t="shared" si="0"/>
        <v>1</v>
      </c>
      <c r="O18" s="170"/>
      <c r="P18" s="251" t="s">
        <v>264</v>
      </c>
      <c r="Q18" s="192"/>
      <c r="R18" s="192"/>
      <c r="S18" s="192"/>
      <c r="T18" s="192"/>
      <c r="U18" s="193"/>
    </row>
    <row r="19" spans="1:21" ht="15.75" customHeight="1">
      <c r="A19" s="85"/>
      <c r="B19" s="37">
        <f>ROW()-13</f>
        <v>6</v>
      </c>
      <c r="C19" s="145" t="s">
        <v>454</v>
      </c>
      <c r="D19" s="80"/>
      <c r="E19" s="81"/>
      <c r="F19" s="146"/>
      <c r="G19" s="17"/>
      <c r="H19" s="18" t="s">
        <v>51</v>
      </c>
      <c r="I19" s="59"/>
      <c r="J19" s="19">
        <v>15</v>
      </c>
      <c r="K19" s="19"/>
      <c r="L19" s="50" t="s">
        <v>190</v>
      </c>
      <c r="M19" s="73" t="s">
        <v>21</v>
      </c>
      <c r="N19" s="54">
        <f t="shared" si="0"/>
        <v>15</v>
      </c>
      <c r="O19" s="170"/>
      <c r="P19" s="191"/>
      <c r="Q19" s="192"/>
      <c r="R19" s="192"/>
      <c r="S19" s="192"/>
      <c r="T19" s="192"/>
      <c r="U19" s="193"/>
    </row>
    <row r="20" spans="1:21" ht="15.75" customHeight="1">
      <c r="A20" s="85"/>
      <c r="B20" s="37">
        <f>ROW()-13</f>
        <v>7</v>
      </c>
      <c r="C20" s="145" t="s">
        <v>584</v>
      </c>
      <c r="D20" s="80"/>
      <c r="E20" s="81"/>
      <c r="F20" s="146"/>
      <c r="G20" s="17"/>
      <c r="H20" s="18" t="s">
        <v>49</v>
      </c>
      <c r="I20" s="59"/>
      <c r="J20" s="19">
        <v>2</v>
      </c>
      <c r="K20" s="19"/>
      <c r="L20" s="50" t="s">
        <v>190</v>
      </c>
      <c r="M20" s="73" t="s">
        <v>21</v>
      </c>
      <c r="N20" s="54">
        <f t="shared" si="0"/>
        <v>2</v>
      </c>
      <c r="O20" s="170"/>
      <c r="P20" s="191" t="s">
        <v>176</v>
      </c>
      <c r="Q20" s="192"/>
      <c r="R20" s="192"/>
      <c r="S20" s="192"/>
      <c r="T20" s="192"/>
      <c r="U20" s="193"/>
    </row>
    <row r="21" spans="1:21" ht="15.75" customHeight="1">
      <c r="A21" s="85"/>
      <c r="B21" s="37">
        <f>ROW()-13</f>
        <v>8</v>
      </c>
      <c r="C21" s="145" t="s">
        <v>390</v>
      </c>
      <c r="D21" s="80"/>
      <c r="E21" s="81"/>
      <c r="F21" s="146"/>
      <c r="G21" s="17"/>
      <c r="H21" s="18" t="s">
        <v>49</v>
      </c>
      <c r="I21" s="59"/>
      <c r="J21" s="19">
        <v>4</v>
      </c>
      <c r="K21" s="19"/>
      <c r="L21" s="50" t="s">
        <v>190</v>
      </c>
      <c r="M21" s="73" t="s">
        <v>21</v>
      </c>
      <c r="N21" s="54">
        <f t="shared" si="0"/>
        <v>4</v>
      </c>
      <c r="O21" s="170"/>
      <c r="P21" s="191" t="s">
        <v>152</v>
      </c>
      <c r="Q21" s="192"/>
      <c r="R21" s="192"/>
      <c r="S21" s="192"/>
      <c r="T21" s="192"/>
      <c r="U21" s="193"/>
    </row>
    <row r="22" spans="1:21" ht="15.75" customHeight="1">
      <c r="A22" s="85"/>
      <c r="B22" s="37">
        <f>ROW()-13</f>
        <v>9</v>
      </c>
      <c r="C22" s="145" t="s">
        <v>585</v>
      </c>
      <c r="D22" s="80"/>
      <c r="E22" s="81"/>
      <c r="F22" s="146"/>
      <c r="G22" s="17"/>
      <c r="H22" s="18" t="s">
        <v>51</v>
      </c>
      <c r="I22" s="59"/>
      <c r="J22" s="19">
        <v>5</v>
      </c>
      <c r="K22" s="19"/>
      <c r="L22" s="50" t="s">
        <v>190</v>
      </c>
      <c r="M22" s="73" t="s">
        <v>21</v>
      </c>
      <c r="N22" s="54">
        <f t="shared" si="0"/>
        <v>5</v>
      </c>
      <c r="O22" s="170"/>
      <c r="P22" s="191"/>
      <c r="Q22" s="192"/>
      <c r="R22" s="192"/>
      <c r="S22" s="192"/>
      <c r="T22" s="192"/>
      <c r="U22" s="193"/>
    </row>
    <row r="23" spans="1:21" ht="15.75" customHeight="1">
      <c r="A23" s="85"/>
      <c r="B23" s="37">
        <f>ROW()-13</f>
        <v>10</v>
      </c>
      <c r="C23" s="145" t="s">
        <v>586</v>
      </c>
      <c r="D23" s="80"/>
      <c r="E23" s="81"/>
      <c r="F23" s="146"/>
      <c r="G23" s="17"/>
      <c r="H23" s="18" t="s">
        <v>56</v>
      </c>
      <c r="I23" s="59"/>
      <c r="J23" s="19">
        <v>1</v>
      </c>
      <c r="K23" s="19">
        <v>0</v>
      </c>
      <c r="L23" s="50" t="s">
        <v>190</v>
      </c>
      <c r="M23" s="73" t="s">
        <v>21</v>
      </c>
      <c r="N23" s="54">
        <f t="shared" si="0"/>
        <v>1</v>
      </c>
      <c r="O23" s="170"/>
      <c r="P23" s="191"/>
      <c r="Q23" s="192"/>
      <c r="R23" s="192"/>
      <c r="S23" s="192"/>
      <c r="T23" s="192"/>
      <c r="U23" s="193"/>
    </row>
    <row r="24" spans="1:21" ht="15.75" customHeight="1">
      <c r="A24" s="85"/>
      <c r="B24" s="37">
        <f>ROW()-13</f>
        <v>11</v>
      </c>
      <c r="C24" s="145" t="s">
        <v>587</v>
      </c>
      <c r="D24" s="80"/>
      <c r="E24" s="81"/>
      <c r="F24" s="146"/>
      <c r="G24" s="17"/>
      <c r="H24" s="18" t="s">
        <v>51</v>
      </c>
      <c r="I24" s="59"/>
      <c r="J24" s="19">
        <v>50</v>
      </c>
      <c r="K24" s="19"/>
      <c r="L24" s="50"/>
      <c r="M24" s="73" t="s">
        <v>21</v>
      </c>
      <c r="N24" s="54">
        <f t="shared" si="0"/>
        <v>50</v>
      </c>
      <c r="O24" s="170"/>
      <c r="P24" s="191"/>
      <c r="Q24" s="192"/>
      <c r="R24" s="192"/>
      <c r="S24" s="192"/>
      <c r="T24" s="192"/>
      <c r="U24" s="193"/>
    </row>
    <row r="25" spans="1:21" ht="15.75" customHeight="1">
      <c r="A25" s="85"/>
      <c r="B25" s="37">
        <f>ROW()-13</f>
        <v>12</v>
      </c>
      <c r="C25" s="145" t="s">
        <v>277</v>
      </c>
      <c r="D25" s="80"/>
      <c r="E25" s="81"/>
      <c r="F25" s="146" t="s">
        <v>557</v>
      </c>
      <c r="G25" s="17"/>
      <c r="H25" s="18" t="s">
        <v>51</v>
      </c>
      <c r="I25" s="59"/>
      <c r="J25" s="19">
        <v>50</v>
      </c>
      <c r="K25" s="19"/>
      <c r="L25" s="50"/>
      <c r="M25" s="73" t="s">
        <v>21</v>
      </c>
      <c r="N25" s="54">
        <f t="shared" si="0"/>
        <v>50</v>
      </c>
      <c r="O25" s="170"/>
      <c r="P25" s="191"/>
      <c r="Q25" s="192"/>
      <c r="R25" s="192"/>
      <c r="S25" s="192"/>
      <c r="T25" s="192"/>
      <c r="U25" s="193"/>
    </row>
    <row r="26" spans="1:21" ht="15.75">
      <c r="A26" s="85"/>
      <c r="B26" s="37">
        <f t="shared" ref="B26:B32" si="1">ROW()-13</f>
        <v>13</v>
      </c>
      <c r="C26" s="107" t="s">
        <v>36</v>
      </c>
      <c r="D26" s="107"/>
      <c r="E26" s="108"/>
      <c r="F26" s="109" t="s">
        <v>78</v>
      </c>
      <c r="G26" s="110"/>
      <c r="H26" s="18" t="s">
        <v>51</v>
      </c>
      <c r="I26" s="59"/>
      <c r="J26" s="113">
        <v>12</v>
      </c>
      <c r="K26" s="113"/>
      <c r="L26" s="114"/>
      <c r="M26" s="115" t="s">
        <v>35</v>
      </c>
      <c r="N26" s="116">
        <f t="shared" si="0"/>
        <v>12</v>
      </c>
      <c r="O26" s="171"/>
      <c r="P26" s="197"/>
      <c r="Q26" s="198"/>
      <c r="R26" s="198"/>
      <c r="S26" s="198"/>
      <c r="T26" s="198"/>
      <c r="U26" s="199"/>
    </row>
    <row r="27" spans="1:21" ht="15.75">
      <c r="A27" s="85"/>
      <c r="B27" s="37">
        <f t="shared" si="1"/>
        <v>14</v>
      </c>
      <c r="C27" s="107" t="s">
        <v>37</v>
      </c>
      <c r="D27" s="107"/>
      <c r="E27" s="108"/>
      <c r="F27" s="109" t="s">
        <v>43</v>
      </c>
      <c r="G27" s="110"/>
      <c r="H27" s="18" t="s">
        <v>51</v>
      </c>
      <c r="I27" s="59"/>
      <c r="J27" s="113">
        <v>10</v>
      </c>
      <c r="K27" s="113"/>
      <c r="L27" s="114"/>
      <c r="M27" s="115" t="s">
        <v>21</v>
      </c>
      <c r="N27" s="116">
        <f t="shared" si="0"/>
        <v>10</v>
      </c>
      <c r="O27" s="171"/>
      <c r="P27" s="197"/>
      <c r="Q27" s="198"/>
      <c r="R27" s="198"/>
      <c r="S27" s="198"/>
      <c r="T27" s="198"/>
      <c r="U27" s="199"/>
    </row>
    <row r="28" spans="1:21" ht="15.75">
      <c r="A28" s="85"/>
      <c r="B28" s="37">
        <f t="shared" si="1"/>
        <v>15</v>
      </c>
      <c r="C28" s="107" t="s">
        <v>38</v>
      </c>
      <c r="D28" s="107"/>
      <c r="E28" s="108"/>
      <c r="F28" s="109" t="s">
        <v>80</v>
      </c>
      <c r="G28" s="110"/>
      <c r="H28" s="18" t="s">
        <v>86</v>
      </c>
      <c r="I28" s="59"/>
      <c r="J28" s="113"/>
      <c r="K28" s="113"/>
      <c r="L28" s="114"/>
      <c r="M28" s="115" t="s">
        <v>21</v>
      </c>
      <c r="N28" s="116">
        <f t="shared" si="0"/>
        <v>0</v>
      </c>
      <c r="O28" s="171"/>
      <c r="P28" s="197"/>
      <c r="Q28" s="198"/>
      <c r="R28" s="198"/>
      <c r="S28" s="198"/>
      <c r="T28" s="198"/>
      <c r="U28" s="199"/>
    </row>
    <row r="29" spans="1:21" ht="15.75">
      <c r="A29" s="85"/>
      <c r="B29" s="37">
        <f t="shared" si="1"/>
        <v>16</v>
      </c>
      <c r="C29" s="107" t="s">
        <v>39</v>
      </c>
      <c r="D29" s="107"/>
      <c r="E29" s="108"/>
      <c r="F29" s="109" t="s">
        <v>79</v>
      </c>
      <c r="G29" s="110"/>
      <c r="H29" s="18" t="s">
        <v>51</v>
      </c>
      <c r="I29" s="59"/>
      <c r="J29" s="113">
        <v>12</v>
      </c>
      <c r="K29" s="113"/>
      <c r="L29" s="114"/>
      <c r="M29" s="115" t="s">
        <v>35</v>
      </c>
      <c r="N29" s="116">
        <f t="shared" si="0"/>
        <v>12</v>
      </c>
      <c r="O29" s="171"/>
      <c r="P29" s="197"/>
      <c r="Q29" s="198"/>
      <c r="R29" s="198"/>
      <c r="S29" s="198"/>
      <c r="T29" s="198"/>
      <c r="U29" s="199"/>
    </row>
    <row r="30" spans="1:21" ht="15.75">
      <c r="A30" s="85"/>
      <c r="B30" s="37">
        <f t="shared" si="1"/>
        <v>17</v>
      </c>
      <c r="C30" s="107" t="s">
        <v>40</v>
      </c>
      <c r="D30" s="107"/>
      <c r="E30" s="108"/>
      <c r="F30" s="109" t="s">
        <v>44</v>
      </c>
      <c r="G30" s="110"/>
      <c r="H30" s="18" t="s">
        <v>51</v>
      </c>
      <c r="I30" s="59"/>
      <c r="J30" s="113">
        <v>10</v>
      </c>
      <c r="K30" s="113"/>
      <c r="L30" s="114"/>
      <c r="M30" s="115" t="s">
        <v>21</v>
      </c>
      <c r="N30" s="116">
        <f t="shared" si="0"/>
        <v>10</v>
      </c>
      <c r="O30" s="171"/>
      <c r="P30" s="197"/>
      <c r="Q30" s="198"/>
      <c r="R30" s="198"/>
      <c r="S30" s="198"/>
      <c r="T30" s="198"/>
      <c r="U30" s="199"/>
    </row>
    <row r="31" spans="1:21" ht="15.75">
      <c r="A31" s="85"/>
      <c r="B31" s="37">
        <f t="shared" si="1"/>
        <v>18</v>
      </c>
      <c r="C31" s="107" t="s">
        <v>41</v>
      </c>
      <c r="D31" s="107"/>
      <c r="E31" s="108"/>
      <c r="F31" s="109" t="s">
        <v>81</v>
      </c>
      <c r="G31" s="110"/>
      <c r="H31" s="18" t="s">
        <v>86</v>
      </c>
      <c r="I31" s="59"/>
      <c r="J31" s="113"/>
      <c r="K31" s="113"/>
      <c r="L31" s="114"/>
      <c r="M31" s="115" t="s">
        <v>21</v>
      </c>
      <c r="N31" s="116">
        <f t="shared" si="0"/>
        <v>0</v>
      </c>
      <c r="O31" s="171"/>
      <c r="P31" s="197"/>
      <c r="Q31" s="198"/>
      <c r="R31" s="198"/>
      <c r="S31" s="198"/>
      <c r="T31" s="198"/>
      <c r="U31" s="199"/>
    </row>
    <row r="32" spans="1:21" ht="15.75">
      <c r="A32" s="85"/>
      <c r="B32" s="37">
        <f t="shared" si="1"/>
        <v>19</v>
      </c>
      <c r="C32" s="80" t="s">
        <v>46</v>
      </c>
      <c r="D32" s="80"/>
      <c r="E32" s="81"/>
      <c r="F32" s="84" t="s">
        <v>71</v>
      </c>
      <c r="G32" s="17"/>
      <c r="H32" s="18" t="s">
        <v>62</v>
      </c>
      <c r="I32" s="59"/>
      <c r="J32" s="19">
        <v>8</v>
      </c>
      <c r="K32" s="19"/>
      <c r="L32" s="50" t="s">
        <v>47</v>
      </c>
      <c r="M32" s="73" t="s">
        <v>35</v>
      </c>
      <c r="N32" s="54">
        <f t="shared" si="0"/>
        <v>8</v>
      </c>
      <c r="O32" s="170">
        <v>0</v>
      </c>
      <c r="P32" s="191" t="s">
        <v>48</v>
      </c>
      <c r="Q32" s="192"/>
      <c r="R32" s="192"/>
      <c r="S32" s="192"/>
      <c r="T32" s="192"/>
      <c r="U32" s="193"/>
    </row>
    <row r="33" spans="1:21" ht="16.5" thickBot="1">
      <c r="A33" s="118"/>
      <c r="B33" s="119"/>
      <c r="C33" s="120"/>
      <c r="D33" s="120"/>
      <c r="E33" s="121"/>
      <c r="F33" s="129"/>
      <c r="G33" s="122"/>
      <c r="H33" s="147"/>
      <c r="I33" s="148"/>
      <c r="J33" s="125"/>
      <c r="K33" s="125"/>
      <c r="L33" s="126"/>
      <c r="M33" s="126"/>
      <c r="N33" s="127"/>
      <c r="O33" s="172"/>
      <c r="P33" s="194"/>
      <c r="Q33" s="195"/>
      <c r="R33" s="195"/>
      <c r="S33" s="195"/>
      <c r="T33" s="195"/>
      <c r="U33" s="196"/>
    </row>
  </sheetData>
  <mergeCells count="50">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198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198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198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198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199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C486B2C9-B4CF-413A-B275-524148D3A408}">
            <xm:f>(AND(H14&lt;&gt;"",ISERROR(VLOOKUP(H14,system!$E:$E,1,FALSE))))</xm:f>
            <x14:dxf>
              <fill>
                <patternFill patternType="solid">
                  <bgColor rgb="FFFF0000"/>
                </patternFill>
              </fill>
            </x14:dxf>
          </x14:cfRule>
          <xm:sqref>H14:H25</xm:sqref>
        </x14:conditionalFormatting>
        <x14:conditionalFormatting xmlns:xm="http://schemas.microsoft.com/office/excel/2006/main">
          <x14:cfRule type="expression" priority="3" id="{7CC6E91A-30B6-4BC3-BE58-C87AB6AFF6C9}">
            <xm:f>(AND(H14&lt;&gt;"",ISERROR(VLOOKUP(H14,system!$E:$E,1,FALSE))))</xm:f>
            <x14:dxf>
              <fill>
                <patternFill>
                  <bgColor rgb="FFFF0000"/>
                </patternFill>
              </fill>
            </x14:dxf>
          </x14:cfRule>
          <xm:sqref>I14:I25</xm:sqref>
        </x14:conditionalFormatting>
        <x14:conditionalFormatting xmlns:xm="http://schemas.microsoft.com/office/excel/2006/main">
          <x14:cfRule type="expression" priority="2" id="{0750620F-5592-426D-8A61-A48A99F18690}">
            <xm:f>(AND(H26&lt;&gt;"",ISERROR(VLOOKUP(H26,system!$E:$E,1,FALSE))))</xm:f>
            <x14:dxf>
              <fill>
                <patternFill patternType="solid">
                  <bgColor rgb="FFFF0000"/>
                </patternFill>
              </fill>
            </x14:dxf>
          </x14:cfRule>
          <xm:sqref>H26:H33</xm:sqref>
        </x14:conditionalFormatting>
        <x14:conditionalFormatting xmlns:xm="http://schemas.microsoft.com/office/excel/2006/main">
          <x14:cfRule type="expression" priority="1" id="{9D5168BD-D13A-4834-BD3A-85EBB63AC965}">
            <xm:f>(AND(H26&lt;&gt;"",ISERROR(VLOOKUP(H26,system!$E:$E,1,FALSE))))</xm:f>
            <x14:dxf>
              <fill>
                <patternFill>
                  <bgColor rgb="FFFF0000"/>
                </patternFill>
              </fill>
            </x14:dxf>
          </x14:cfRule>
          <xm:sqref>I26:I33</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A1:U26"/>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589</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152</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SUM(N14:N27)</f>
        <v>127</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590</v>
      </c>
      <c r="D14" s="80"/>
      <c r="E14" s="81"/>
      <c r="F14" s="146"/>
      <c r="G14" s="17"/>
      <c r="H14" s="18" t="s">
        <v>49</v>
      </c>
      <c r="I14" s="59"/>
      <c r="J14" s="19">
        <v>4</v>
      </c>
      <c r="K14" s="19"/>
      <c r="L14" s="50" t="s">
        <v>190</v>
      </c>
      <c r="M14" s="73" t="s">
        <v>21</v>
      </c>
      <c r="N14" s="54">
        <f t="shared" ref="N14:N25" si="0">IF(H14="NUMBER",IF(J14&gt;0,INT((J14+1)/2+0.9),0),IF(H14="DATE",7,IF(OR(H14="LONG",H14="LONG RAW"),100000,J14)))</f>
        <v>4</v>
      </c>
      <c r="O14" s="170"/>
      <c r="P14" s="191"/>
      <c r="Q14" s="192"/>
      <c r="R14" s="192"/>
      <c r="S14" s="192"/>
      <c r="T14" s="192"/>
      <c r="U14" s="193"/>
    </row>
    <row r="15" spans="1:21" ht="15.75" customHeight="1">
      <c r="A15" s="85"/>
      <c r="B15" s="37">
        <f>ROW()-13</f>
        <v>2</v>
      </c>
      <c r="C15" s="145" t="s">
        <v>591</v>
      </c>
      <c r="D15" s="80"/>
      <c r="E15" s="81"/>
      <c r="F15" s="146"/>
      <c r="G15" s="17"/>
      <c r="H15" s="18" t="s">
        <v>51</v>
      </c>
      <c r="I15" s="59"/>
      <c r="J15" s="19">
        <v>20</v>
      </c>
      <c r="K15" s="19"/>
      <c r="L15" s="50" t="s">
        <v>190</v>
      </c>
      <c r="M15" s="73" t="s">
        <v>21</v>
      </c>
      <c r="N15" s="54">
        <f t="shared" si="0"/>
        <v>20</v>
      </c>
      <c r="O15" s="170"/>
      <c r="P15" s="191"/>
      <c r="Q15" s="192"/>
      <c r="R15" s="192"/>
      <c r="S15" s="192"/>
      <c r="T15" s="192"/>
      <c r="U15" s="193"/>
    </row>
    <row r="16" spans="1:21" ht="15.75" customHeight="1">
      <c r="A16" s="85"/>
      <c r="B16" s="37">
        <f>ROW()-13</f>
        <v>3</v>
      </c>
      <c r="C16" s="145" t="s">
        <v>592</v>
      </c>
      <c r="D16" s="80"/>
      <c r="E16" s="81"/>
      <c r="F16" s="146"/>
      <c r="G16" s="17"/>
      <c r="H16" s="18" t="s">
        <v>208</v>
      </c>
      <c r="I16" s="59"/>
      <c r="J16" s="19"/>
      <c r="K16" s="19"/>
      <c r="L16" s="50" t="s">
        <v>190</v>
      </c>
      <c r="M16" s="73" t="s">
        <v>21</v>
      </c>
      <c r="N16" s="54">
        <f t="shared" si="0"/>
        <v>0</v>
      </c>
      <c r="O16" s="170"/>
      <c r="P16" s="191"/>
      <c r="Q16" s="192"/>
      <c r="R16" s="192"/>
      <c r="S16" s="192"/>
      <c r="T16" s="192"/>
      <c r="U16" s="193"/>
    </row>
    <row r="17" spans="1:21" ht="27.6" customHeight="1">
      <c r="A17" s="85"/>
      <c r="B17" s="37">
        <f>ROW()-13</f>
        <v>4</v>
      </c>
      <c r="C17" s="145" t="s">
        <v>593</v>
      </c>
      <c r="D17" s="80"/>
      <c r="E17" s="81"/>
      <c r="F17" s="146"/>
      <c r="G17" s="17"/>
      <c r="H17" s="18" t="s">
        <v>49</v>
      </c>
      <c r="I17" s="59"/>
      <c r="J17" s="19">
        <v>1</v>
      </c>
      <c r="K17" s="19"/>
      <c r="L17" s="50" t="s">
        <v>190</v>
      </c>
      <c r="M17" s="73" t="s">
        <v>21</v>
      </c>
      <c r="N17" s="54">
        <f t="shared" si="0"/>
        <v>1</v>
      </c>
      <c r="O17" s="170"/>
      <c r="P17" s="251" t="s">
        <v>594</v>
      </c>
      <c r="Q17" s="192"/>
      <c r="R17" s="192"/>
      <c r="S17" s="192"/>
      <c r="T17" s="192"/>
      <c r="U17" s="193"/>
    </row>
    <row r="18" spans="1:21" ht="15.75" customHeight="1">
      <c r="A18" s="85"/>
      <c r="B18" s="37">
        <f>ROW()-13</f>
        <v>5</v>
      </c>
      <c r="C18" s="145" t="s">
        <v>277</v>
      </c>
      <c r="D18" s="80"/>
      <c r="E18" s="81"/>
      <c r="F18" s="146" t="s">
        <v>557</v>
      </c>
      <c r="G18" s="17"/>
      <c r="H18" s="18" t="s">
        <v>51</v>
      </c>
      <c r="I18" s="59"/>
      <c r="J18" s="19">
        <v>50</v>
      </c>
      <c r="K18" s="19"/>
      <c r="L18" s="50"/>
      <c r="M18" s="73" t="s">
        <v>21</v>
      </c>
      <c r="N18" s="54">
        <f t="shared" si="0"/>
        <v>50</v>
      </c>
      <c r="O18" s="170"/>
      <c r="P18" s="191"/>
      <c r="Q18" s="192"/>
      <c r="R18" s="192"/>
      <c r="S18" s="192"/>
      <c r="T18" s="192"/>
      <c r="U18" s="193"/>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71"/>
      <c r="P19" s="197"/>
      <c r="Q19" s="198"/>
      <c r="R19" s="198"/>
      <c r="S19" s="198"/>
      <c r="T19" s="198"/>
      <c r="U19" s="199"/>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71"/>
      <c r="P20" s="197"/>
      <c r="Q20" s="198"/>
      <c r="R20" s="198"/>
      <c r="S20" s="198"/>
      <c r="T20" s="198"/>
      <c r="U20" s="199"/>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71"/>
      <c r="P21" s="197"/>
      <c r="Q21" s="198"/>
      <c r="R21" s="198"/>
      <c r="S21" s="198"/>
      <c r="T21" s="198"/>
      <c r="U21" s="199"/>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71"/>
      <c r="P22" s="197"/>
      <c r="Q22" s="198"/>
      <c r="R22" s="198"/>
      <c r="S22" s="198"/>
      <c r="T22" s="198"/>
      <c r="U22" s="199"/>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71"/>
      <c r="P23" s="197"/>
      <c r="Q23" s="198"/>
      <c r="R23" s="198"/>
      <c r="S23" s="198"/>
      <c r="T23" s="198"/>
      <c r="U23" s="199"/>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71"/>
      <c r="P24" s="197"/>
      <c r="Q24" s="198"/>
      <c r="R24" s="198"/>
      <c r="S24" s="198"/>
      <c r="T24" s="198"/>
      <c r="U24" s="199"/>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70">
        <v>0</v>
      </c>
      <c r="P25" s="191" t="s">
        <v>48</v>
      </c>
      <c r="Q25" s="192"/>
      <c r="R25" s="192"/>
      <c r="S25" s="192"/>
      <c r="T25" s="192"/>
      <c r="U25" s="193"/>
    </row>
    <row r="26" spans="1:21" ht="16.5" thickBot="1">
      <c r="A26" s="118"/>
      <c r="B26" s="119"/>
      <c r="C26" s="120"/>
      <c r="D26" s="120"/>
      <c r="E26" s="121"/>
      <c r="F26" s="129"/>
      <c r="G26" s="122"/>
      <c r="H26" s="147"/>
      <c r="I26" s="148"/>
      <c r="J26" s="125"/>
      <c r="K26" s="125"/>
      <c r="L26" s="126"/>
      <c r="M26" s="126"/>
      <c r="N26" s="127"/>
      <c r="O26" s="172"/>
      <c r="P26" s="194"/>
      <c r="Q26" s="195"/>
      <c r="R26" s="195"/>
      <c r="S26" s="195"/>
      <c r="T26" s="195"/>
      <c r="U26" s="196"/>
    </row>
  </sheetData>
  <mergeCells count="43">
    <mergeCell ref="P22:U22"/>
    <mergeCell ref="P23:U23"/>
    <mergeCell ref="P24:U24"/>
    <mergeCell ref="P25:U25"/>
    <mergeCell ref="P26:U26"/>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0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301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301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301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301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301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7475D176-B7B0-4500-BC42-53A382B8794D}">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CC48C263-2444-4253-AEF9-6843FDB9DC9A}">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DF5A9B7E-A7C6-4AF0-97C9-42E94FD626D3}">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23D9869F-3754-41AE-A8B5-D20A3E57DC23}">
            <xm:f>(AND(H19&lt;&gt;"",ISERROR(VLOOKUP(H19,system!$E:$E,1,FALSE))))</xm:f>
            <x14:dxf>
              <fill>
                <patternFill>
                  <bgColor rgb="FFFF0000"/>
                </patternFill>
              </fill>
            </x14:dxf>
          </x14:cfRule>
          <xm:sqref>I19:I26</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A1:U30"/>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596</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153</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SUM(N14:N31)</f>
        <v>144</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29" si="0">IF(H14="NUMBER",IF(J14&gt;0,INT((J14+1)/2+0.9),0),IF(H14="DATE",7,IF(OR(H14="LONG",H14="LONG RAW"),100000,J14)))</f>
        <v>1</v>
      </c>
      <c r="O14" s="170"/>
      <c r="P14" s="191" t="s">
        <v>175</v>
      </c>
      <c r="Q14" s="192"/>
      <c r="R14" s="192"/>
      <c r="S14" s="192"/>
      <c r="T14" s="192"/>
      <c r="U14" s="193"/>
    </row>
    <row r="15" spans="1:21" ht="15.75" customHeight="1">
      <c r="A15" s="85" t="s">
        <v>191</v>
      </c>
      <c r="B15" s="37">
        <f>ROW()-13</f>
        <v>2</v>
      </c>
      <c r="C15" s="145" t="s">
        <v>209</v>
      </c>
      <c r="D15" s="80"/>
      <c r="E15" s="81"/>
      <c r="F15" s="146"/>
      <c r="G15" s="17"/>
      <c r="H15" s="18" t="s">
        <v>49</v>
      </c>
      <c r="I15" s="59"/>
      <c r="J15" s="19">
        <v>4</v>
      </c>
      <c r="K15" s="19"/>
      <c r="L15" s="50" t="s">
        <v>190</v>
      </c>
      <c r="M15" s="73" t="s">
        <v>21</v>
      </c>
      <c r="N15" s="54">
        <f t="shared" si="0"/>
        <v>4</v>
      </c>
      <c r="O15" s="170"/>
      <c r="P15" s="191"/>
      <c r="Q15" s="192"/>
      <c r="R15" s="192"/>
      <c r="S15" s="192"/>
      <c r="T15" s="192"/>
      <c r="U15" s="193"/>
    </row>
    <row r="16" spans="1:21" ht="15.75" customHeight="1">
      <c r="A16" s="85"/>
      <c r="B16" s="37">
        <f>ROW()-13</f>
        <v>3</v>
      </c>
      <c r="C16" s="145" t="s">
        <v>597</v>
      </c>
      <c r="D16" s="80"/>
      <c r="E16" s="81"/>
      <c r="F16" s="146"/>
      <c r="G16" s="17"/>
      <c r="H16" s="18" t="s">
        <v>51</v>
      </c>
      <c r="I16" s="59"/>
      <c r="J16" s="19">
        <v>20</v>
      </c>
      <c r="K16" s="19"/>
      <c r="L16" s="50" t="s">
        <v>190</v>
      </c>
      <c r="M16" s="73" t="s">
        <v>21</v>
      </c>
      <c r="N16" s="54">
        <f t="shared" si="0"/>
        <v>20</v>
      </c>
      <c r="O16" s="170"/>
      <c r="P16" s="191"/>
      <c r="Q16" s="192"/>
      <c r="R16" s="192"/>
      <c r="S16" s="192"/>
      <c r="T16" s="192"/>
      <c r="U16" s="193"/>
    </row>
    <row r="17" spans="1:21" ht="15.75" customHeight="1">
      <c r="A17" s="85"/>
      <c r="B17" s="37">
        <f>ROW()-13</f>
        <v>4</v>
      </c>
      <c r="C17" s="145" t="s">
        <v>329</v>
      </c>
      <c r="D17" s="80"/>
      <c r="E17" s="81"/>
      <c r="F17" s="146"/>
      <c r="G17" s="17"/>
      <c r="H17" s="18" t="s">
        <v>51</v>
      </c>
      <c r="I17" s="59"/>
      <c r="J17" s="19">
        <v>10</v>
      </c>
      <c r="K17" s="19"/>
      <c r="L17" s="50" t="s">
        <v>190</v>
      </c>
      <c r="M17" s="73" t="s">
        <v>21</v>
      </c>
      <c r="N17" s="54">
        <f t="shared" si="0"/>
        <v>10</v>
      </c>
      <c r="O17" s="170"/>
      <c r="P17" s="191" t="s">
        <v>157</v>
      </c>
      <c r="Q17" s="192"/>
      <c r="R17" s="192"/>
      <c r="S17" s="192"/>
      <c r="T17" s="192"/>
      <c r="U17" s="193"/>
    </row>
    <row r="18" spans="1:21" ht="15.75" customHeight="1">
      <c r="A18" s="85"/>
      <c r="B18" s="37">
        <f>ROW()-13</f>
        <v>5</v>
      </c>
      <c r="C18" s="145" t="s">
        <v>598</v>
      </c>
      <c r="D18" s="80"/>
      <c r="E18" s="81"/>
      <c r="F18" s="146"/>
      <c r="G18" s="17"/>
      <c r="H18" s="18" t="s">
        <v>51</v>
      </c>
      <c r="I18" s="59"/>
      <c r="J18" s="19">
        <v>4</v>
      </c>
      <c r="K18" s="19"/>
      <c r="L18" s="50"/>
      <c r="M18" s="73" t="s">
        <v>21</v>
      </c>
      <c r="N18" s="54">
        <f t="shared" si="0"/>
        <v>4</v>
      </c>
      <c r="O18" s="170"/>
      <c r="P18" s="191" t="s">
        <v>202</v>
      </c>
      <c r="Q18" s="192"/>
      <c r="R18" s="192"/>
      <c r="S18" s="192"/>
      <c r="T18" s="192"/>
      <c r="U18" s="193"/>
    </row>
    <row r="19" spans="1:21" ht="15.75" customHeight="1">
      <c r="A19" s="85"/>
      <c r="B19" s="37">
        <f>ROW()-13</f>
        <v>6</v>
      </c>
      <c r="C19" s="145" t="s">
        <v>194</v>
      </c>
      <c r="D19" s="80"/>
      <c r="E19" s="81"/>
      <c r="F19" s="146"/>
      <c r="G19" s="17"/>
      <c r="H19" s="18" t="s">
        <v>49</v>
      </c>
      <c r="I19" s="59"/>
      <c r="J19" s="19">
        <v>2</v>
      </c>
      <c r="K19" s="19"/>
      <c r="L19" s="50"/>
      <c r="M19" s="73" t="s">
        <v>21</v>
      </c>
      <c r="N19" s="54">
        <f t="shared" si="0"/>
        <v>2</v>
      </c>
      <c r="O19" s="170"/>
      <c r="P19" s="191" t="s">
        <v>155</v>
      </c>
      <c r="Q19" s="192"/>
      <c r="R19" s="192"/>
      <c r="S19" s="192"/>
      <c r="T19" s="192"/>
      <c r="U19" s="193"/>
    </row>
    <row r="20" spans="1:21" ht="15.75" customHeight="1">
      <c r="A20" s="85"/>
      <c r="B20" s="37">
        <f>ROW()-13</f>
        <v>7</v>
      </c>
      <c r="C20" s="145" t="s">
        <v>592</v>
      </c>
      <c r="D20" s="80"/>
      <c r="E20" s="81"/>
      <c r="F20" s="146"/>
      <c r="G20" s="17"/>
      <c r="H20" s="18" t="s">
        <v>208</v>
      </c>
      <c r="I20" s="59"/>
      <c r="J20" s="19"/>
      <c r="K20" s="19"/>
      <c r="L20" s="50"/>
      <c r="M20" s="73" t="s">
        <v>21</v>
      </c>
      <c r="N20" s="54">
        <f t="shared" si="0"/>
        <v>0</v>
      </c>
      <c r="O20" s="170"/>
      <c r="P20" s="191"/>
      <c r="Q20" s="192"/>
      <c r="R20" s="192"/>
      <c r="S20" s="192"/>
      <c r="T20" s="192"/>
      <c r="U20" s="193"/>
    </row>
    <row r="21" spans="1:21" ht="27.6" customHeight="1">
      <c r="A21" s="85"/>
      <c r="B21" s="37">
        <f>ROW()-13</f>
        <v>8</v>
      </c>
      <c r="C21" s="145" t="s">
        <v>599</v>
      </c>
      <c r="D21" s="80"/>
      <c r="E21" s="81"/>
      <c r="F21" s="146"/>
      <c r="G21" s="17"/>
      <c r="H21" s="18" t="s">
        <v>49</v>
      </c>
      <c r="I21" s="59"/>
      <c r="J21" s="19">
        <v>1</v>
      </c>
      <c r="K21" s="19"/>
      <c r="L21" s="50"/>
      <c r="M21" s="73" t="s">
        <v>21</v>
      </c>
      <c r="N21" s="54">
        <f t="shared" si="0"/>
        <v>1</v>
      </c>
      <c r="O21" s="170"/>
      <c r="P21" s="251" t="s">
        <v>600</v>
      </c>
      <c r="Q21" s="192"/>
      <c r="R21" s="192"/>
      <c r="S21" s="192"/>
      <c r="T21" s="192"/>
      <c r="U21" s="193"/>
    </row>
    <row r="22" spans="1:21" ht="15.75" customHeight="1">
      <c r="A22" s="85"/>
      <c r="B22" s="37">
        <f>ROW()-13</f>
        <v>9</v>
      </c>
      <c r="C22" s="145" t="s">
        <v>277</v>
      </c>
      <c r="D22" s="80"/>
      <c r="E22" s="81"/>
      <c r="F22" s="146" t="s">
        <v>557</v>
      </c>
      <c r="G22" s="17"/>
      <c r="H22" s="18" t="s">
        <v>51</v>
      </c>
      <c r="I22" s="59"/>
      <c r="J22" s="19">
        <v>50</v>
      </c>
      <c r="K22" s="19"/>
      <c r="L22" s="50"/>
      <c r="M22" s="73" t="s">
        <v>21</v>
      </c>
      <c r="N22" s="54">
        <f t="shared" si="0"/>
        <v>50</v>
      </c>
      <c r="O22" s="170"/>
      <c r="P22" s="191"/>
      <c r="Q22" s="192"/>
      <c r="R22" s="192"/>
      <c r="S22" s="192"/>
      <c r="T22" s="192"/>
      <c r="U22" s="193"/>
    </row>
    <row r="23" spans="1:21" ht="15.75">
      <c r="A23" s="85"/>
      <c r="B23" s="37">
        <f t="shared" ref="B23:B29" si="1">ROW()-13</f>
        <v>10</v>
      </c>
      <c r="C23" s="107" t="s">
        <v>36</v>
      </c>
      <c r="D23" s="107"/>
      <c r="E23" s="108"/>
      <c r="F23" s="109" t="s">
        <v>78</v>
      </c>
      <c r="G23" s="110"/>
      <c r="H23" s="18" t="s">
        <v>51</v>
      </c>
      <c r="I23" s="59"/>
      <c r="J23" s="113">
        <v>12</v>
      </c>
      <c r="K23" s="113"/>
      <c r="L23" s="114"/>
      <c r="M23" s="115" t="s">
        <v>35</v>
      </c>
      <c r="N23" s="116">
        <f t="shared" si="0"/>
        <v>12</v>
      </c>
      <c r="O23" s="171"/>
      <c r="P23" s="197"/>
      <c r="Q23" s="198"/>
      <c r="R23" s="198"/>
      <c r="S23" s="198"/>
      <c r="T23" s="198"/>
      <c r="U23" s="199"/>
    </row>
    <row r="24" spans="1:21" ht="15.75">
      <c r="A24" s="85"/>
      <c r="B24" s="37">
        <f t="shared" si="1"/>
        <v>11</v>
      </c>
      <c r="C24" s="107" t="s">
        <v>37</v>
      </c>
      <c r="D24" s="107"/>
      <c r="E24" s="108"/>
      <c r="F24" s="109" t="s">
        <v>43</v>
      </c>
      <c r="G24" s="110"/>
      <c r="H24" s="18" t="s">
        <v>51</v>
      </c>
      <c r="I24" s="59"/>
      <c r="J24" s="113">
        <v>10</v>
      </c>
      <c r="K24" s="113"/>
      <c r="L24" s="114"/>
      <c r="M24" s="115" t="s">
        <v>21</v>
      </c>
      <c r="N24" s="116">
        <f t="shared" si="0"/>
        <v>10</v>
      </c>
      <c r="O24" s="171"/>
      <c r="P24" s="197"/>
      <c r="Q24" s="198"/>
      <c r="R24" s="198"/>
      <c r="S24" s="198"/>
      <c r="T24" s="198"/>
      <c r="U24" s="199"/>
    </row>
    <row r="25" spans="1:21" ht="15.75">
      <c r="A25" s="85"/>
      <c r="B25" s="37">
        <f t="shared" si="1"/>
        <v>12</v>
      </c>
      <c r="C25" s="107" t="s">
        <v>38</v>
      </c>
      <c r="D25" s="107"/>
      <c r="E25" s="108"/>
      <c r="F25" s="109" t="s">
        <v>80</v>
      </c>
      <c r="G25" s="110"/>
      <c r="H25" s="18" t="s">
        <v>86</v>
      </c>
      <c r="I25" s="59"/>
      <c r="J25" s="113"/>
      <c r="K25" s="113"/>
      <c r="L25" s="114"/>
      <c r="M25" s="115" t="s">
        <v>21</v>
      </c>
      <c r="N25" s="116">
        <f t="shared" si="0"/>
        <v>0</v>
      </c>
      <c r="O25" s="171"/>
      <c r="P25" s="197"/>
      <c r="Q25" s="198"/>
      <c r="R25" s="198"/>
      <c r="S25" s="198"/>
      <c r="T25" s="198"/>
      <c r="U25" s="199"/>
    </row>
    <row r="26" spans="1:21" ht="15.75">
      <c r="A26" s="85"/>
      <c r="B26" s="37">
        <f t="shared" si="1"/>
        <v>13</v>
      </c>
      <c r="C26" s="107" t="s">
        <v>39</v>
      </c>
      <c r="D26" s="107"/>
      <c r="E26" s="108"/>
      <c r="F26" s="109" t="s">
        <v>79</v>
      </c>
      <c r="G26" s="110"/>
      <c r="H26" s="18" t="s">
        <v>51</v>
      </c>
      <c r="I26" s="59"/>
      <c r="J26" s="113">
        <v>12</v>
      </c>
      <c r="K26" s="113"/>
      <c r="L26" s="114"/>
      <c r="M26" s="115" t="s">
        <v>35</v>
      </c>
      <c r="N26" s="116">
        <f t="shared" si="0"/>
        <v>12</v>
      </c>
      <c r="O26" s="171"/>
      <c r="P26" s="197"/>
      <c r="Q26" s="198"/>
      <c r="R26" s="198"/>
      <c r="S26" s="198"/>
      <c r="T26" s="198"/>
      <c r="U26" s="199"/>
    </row>
    <row r="27" spans="1:21" ht="15.75">
      <c r="A27" s="85"/>
      <c r="B27" s="37">
        <f t="shared" si="1"/>
        <v>14</v>
      </c>
      <c r="C27" s="107" t="s">
        <v>40</v>
      </c>
      <c r="D27" s="107"/>
      <c r="E27" s="108"/>
      <c r="F27" s="109" t="s">
        <v>44</v>
      </c>
      <c r="G27" s="110"/>
      <c r="H27" s="18" t="s">
        <v>51</v>
      </c>
      <c r="I27" s="59"/>
      <c r="J27" s="113">
        <v>10</v>
      </c>
      <c r="K27" s="113"/>
      <c r="L27" s="114"/>
      <c r="M27" s="115" t="s">
        <v>21</v>
      </c>
      <c r="N27" s="116">
        <f t="shared" si="0"/>
        <v>10</v>
      </c>
      <c r="O27" s="171"/>
      <c r="P27" s="197"/>
      <c r="Q27" s="198"/>
      <c r="R27" s="198"/>
      <c r="S27" s="198"/>
      <c r="T27" s="198"/>
      <c r="U27" s="199"/>
    </row>
    <row r="28" spans="1:21" ht="15.75">
      <c r="A28" s="85"/>
      <c r="B28" s="37">
        <f t="shared" si="1"/>
        <v>15</v>
      </c>
      <c r="C28" s="107" t="s">
        <v>41</v>
      </c>
      <c r="D28" s="107"/>
      <c r="E28" s="108"/>
      <c r="F28" s="109" t="s">
        <v>81</v>
      </c>
      <c r="G28" s="110"/>
      <c r="H28" s="18" t="s">
        <v>86</v>
      </c>
      <c r="I28" s="59"/>
      <c r="J28" s="113"/>
      <c r="K28" s="113"/>
      <c r="L28" s="114"/>
      <c r="M28" s="115" t="s">
        <v>21</v>
      </c>
      <c r="N28" s="116">
        <f t="shared" si="0"/>
        <v>0</v>
      </c>
      <c r="O28" s="171"/>
      <c r="P28" s="197"/>
      <c r="Q28" s="198"/>
      <c r="R28" s="198"/>
      <c r="S28" s="198"/>
      <c r="T28" s="198"/>
      <c r="U28" s="199"/>
    </row>
    <row r="29" spans="1:21" ht="15.75">
      <c r="A29" s="85"/>
      <c r="B29" s="37">
        <f t="shared" si="1"/>
        <v>16</v>
      </c>
      <c r="C29" s="80" t="s">
        <v>46</v>
      </c>
      <c r="D29" s="80"/>
      <c r="E29" s="81"/>
      <c r="F29" s="84" t="s">
        <v>71</v>
      </c>
      <c r="G29" s="17"/>
      <c r="H29" s="18" t="s">
        <v>62</v>
      </c>
      <c r="I29" s="59"/>
      <c r="J29" s="19">
        <v>8</v>
      </c>
      <c r="K29" s="19"/>
      <c r="L29" s="50" t="s">
        <v>47</v>
      </c>
      <c r="M29" s="73" t="s">
        <v>35</v>
      </c>
      <c r="N29" s="54">
        <f t="shared" si="0"/>
        <v>8</v>
      </c>
      <c r="O29" s="170">
        <v>0</v>
      </c>
      <c r="P29" s="191" t="s">
        <v>48</v>
      </c>
      <c r="Q29" s="192"/>
      <c r="R29" s="192"/>
      <c r="S29" s="192"/>
      <c r="T29" s="192"/>
      <c r="U29" s="193"/>
    </row>
    <row r="30" spans="1:21" ht="16.5" thickBot="1">
      <c r="A30" s="118"/>
      <c r="B30" s="119"/>
      <c r="C30" s="120"/>
      <c r="D30" s="120"/>
      <c r="E30" s="121"/>
      <c r="F30" s="129"/>
      <c r="G30" s="122"/>
      <c r="H30" s="147"/>
      <c r="I30" s="148"/>
      <c r="J30" s="125"/>
      <c r="K30" s="125"/>
      <c r="L30" s="126"/>
      <c r="M30" s="126"/>
      <c r="N30" s="127"/>
      <c r="O30" s="172"/>
      <c r="P30" s="194"/>
      <c r="Q30" s="195"/>
      <c r="R30" s="195"/>
      <c r="S30" s="195"/>
      <c r="T30" s="195"/>
      <c r="U30" s="196"/>
    </row>
  </sheetData>
  <mergeCells count="47">
    <mergeCell ref="P28:U28"/>
    <mergeCell ref="P29:U29"/>
    <mergeCell ref="P30:U30"/>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403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403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403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403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403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6AA6FBE6-5EB0-4F98-9ACA-4DF215059E43}">
            <xm:f>(AND(H14&lt;&gt;"",ISERROR(VLOOKUP(H14,system!$E:$E,1,FALSE))))</xm:f>
            <x14:dxf>
              <fill>
                <patternFill patternType="solid">
                  <bgColor rgb="FFFF0000"/>
                </patternFill>
              </fill>
            </x14:dxf>
          </x14:cfRule>
          <xm:sqref>H14:H22</xm:sqref>
        </x14:conditionalFormatting>
        <x14:conditionalFormatting xmlns:xm="http://schemas.microsoft.com/office/excel/2006/main">
          <x14:cfRule type="expression" priority="3" id="{1783BF14-DEB2-4D27-8C14-6220E2A84762}">
            <xm:f>(AND(H14&lt;&gt;"",ISERROR(VLOOKUP(H14,system!$E:$E,1,FALSE))))</xm:f>
            <x14:dxf>
              <fill>
                <patternFill>
                  <bgColor rgb="FFFF0000"/>
                </patternFill>
              </fill>
            </x14:dxf>
          </x14:cfRule>
          <xm:sqref>I14:I22</xm:sqref>
        </x14:conditionalFormatting>
        <x14:conditionalFormatting xmlns:xm="http://schemas.microsoft.com/office/excel/2006/main">
          <x14:cfRule type="expression" priority="2" id="{98A70504-3C82-496A-BF87-CCCE8A5CE230}">
            <xm:f>(AND(H23&lt;&gt;"",ISERROR(VLOOKUP(H23,system!$E:$E,1,FALSE))))</xm:f>
            <x14:dxf>
              <fill>
                <patternFill patternType="solid">
                  <bgColor rgb="FFFF0000"/>
                </patternFill>
              </fill>
            </x14:dxf>
          </x14:cfRule>
          <xm:sqref>H23:H30</xm:sqref>
        </x14:conditionalFormatting>
        <x14:conditionalFormatting xmlns:xm="http://schemas.microsoft.com/office/excel/2006/main">
          <x14:cfRule type="expression" priority="1" id="{B35F7120-0D72-43BF-9C5D-141BB0547A92}">
            <xm:f>(AND(H23&lt;&gt;"",ISERROR(VLOOKUP(H23,system!$E:$E,1,FALSE))))</xm:f>
            <x14:dxf>
              <fill>
                <patternFill>
                  <bgColor rgb="FFFF0000"/>
                </patternFill>
              </fill>
            </x14:dxf>
          </x14:cfRule>
          <xm:sqref>I23:I30</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A1:U26"/>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602</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155</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SUM(N14:N27)</f>
        <v>127</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370</v>
      </c>
      <c r="D14" s="80"/>
      <c r="E14" s="81"/>
      <c r="F14" s="146"/>
      <c r="G14" s="17"/>
      <c r="H14" s="18" t="s">
        <v>49</v>
      </c>
      <c r="I14" s="59"/>
      <c r="J14" s="19">
        <v>2</v>
      </c>
      <c r="K14" s="19"/>
      <c r="L14" s="50" t="s">
        <v>190</v>
      </c>
      <c r="M14" s="73" t="s">
        <v>21</v>
      </c>
      <c r="N14" s="54">
        <f t="shared" ref="N14:N25" si="0">IF(H14="NUMBER",IF(J14&gt;0,INT((J14+1)/2+0.9),0),IF(H14="DATE",7,IF(OR(H14="LONG",H14="LONG RAW"),100000,J14)))</f>
        <v>2</v>
      </c>
      <c r="O14" s="170"/>
      <c r="P14" s="191"/>
      <c r="Q14" s="192"/>
      <c r="R14" s="192"/>
      <c r="S14" s="192"/>
      <c r="T14" s="192"/>
      <c r="U14" s="193"/>
    </row>
    <row r="15" spans="1:21" ht="15.75" customHeight="1">
      <c r="A15" s="85"/>
      <c r="B15" s="37">
        <f>ROW()-13</f>
        <v>2</v>
      </c>
      <c r="C15" s="145" t="s">
        <v>603</v>
      </c>
      <c r="D15" s="80"/>
      <c r="E15" s="81"/>
      <c r="F15" s="146"/>
      <c r="G15" s="17"/>
      <c r="H15" s="18" t="s">
        <v>51</v>
      </c>
      <c r="I15" s="59"/>
      <c r="J15" s="19">
        <v>20</v>
      </c>
      <c r="K15" s="19"/>
      <c r="L15" s="50" t="s">
        <v>190</v>
      </c>
      <c r="M15" s="73" t="s">
        <v>21</v>
      </c>
      <c r="N15" s="54">
        <f t="shared" si="0"/>
        <v>20</v>
      </c>
      <c r="O15" s="170"/>
      <c r="P15" s="191"/>
      <c r="Q15" s="192"/>
      <c r="R15" s="192"/>
      <c r="S15" s="192"/>
      <c r="T15" s="192"/>
      <c r="U15" s="193"/>
    </row>
    <row r="16" spans="1:21" ht="27.6" customHeight="1">
      <c r="A16" s="85"/>
      <c r="B16" s="37">
        <f>ROW()-13</f>
        <v>3</v>
      </c>
      <c r="C16" s="145" t="s">
        <v>604</v>
      </c>
      <c r="D16" s="80"/>
      <c r="E16" s="81"/>
      <c r="F16" s="146"/>
      <c r="G16" s="17"/>
      <c r="H16" s="18" t="s">
        <v>49</v>
      </c>
      <c r="I16" s="59"/>
      <c r="J16" s="19">
        <v>1</v>
      </c>
      <c r="K16" s="19"/>
      <c r="L16" s="50" t="s">
        <v>190</v>
      </c>
      <c r="M16" s="73" t="s">
        <v>21</v>
      </c>
      <c r="N16" s="54">
        <f t="shared" si="0"/>
        <v>1</v>
      </c>
      <c r="O16" s="170"/>
      <c r="P16" s="251" t="s">
        <v>605</v>
      </c>
      <c r="Q16" s="192"/>
      <c r="R16" s="192"/>
      <c r="S16" s="192"/>
      <c r="T16" s="192"/>
      <c r="U16" s="193"/>
    </row>
    <row r="17" spans="1:21" ht="15.75" customHeight="1">
      <c r="A17" s="85"/>
      <c r="B17" s="37">
        <f>ROW()-13</f>
        <v>4</v>
      </c>
      <c r="C17" s="145" t="s">
        <v>606</v>
      </c>
      <c r="D17" s="80"/>
      <c r="E17" s="81"/>
      <c r="F17" s="146"/>
      <c r="G17" s="17"/>
      <c r="H17" s="18" t="s">
        <v>49</v>
      </c>
      <c r="I17" s="59"/>
      <c r="J17" s="19">
        <v>2</v>
      </c>
      <c r="K17" s="19"/>
      <c r="L17" s="50"/>
      <c r="M17" s="73" t="s">
        <v>21</v>
      </c>
      <c r="N17" s="54">
        <f t="shared" si="0"/>
        <v>2</v>
      </c>
      <c r="O17" s="170"/>
      <c r="P17" s="191" t="s">
        <v>607</v>
      </c>
      <c r="Q17" s="192"/>
      <c r="R17" s="192"/>
      <c r="S17" s="192"/>
      <c r="T17" s="192"/>
      <c r="U17" s="193"/>
    </row>
    <row r="18" spans="1:21" ht="15.75" customHeight="1">
      <c r="A18" s="85"/>
      <c r="B18" s="37">
        <f>ROW()-13</f>
        <v>5</v>
      </c>
      <c r="C18" s="145" t="s">
        <v>277</v>
      </c>
      <c r="D18" s="80"/>
      <c r="E18" s="81"/>
      <c r="F18" s="146" t="s">
        <v>557</v>
      </c>
      <c r="G18" s="17"/>
      <c r="H18" s="18" t="s">
        <v>51</v>
      </c>
      <c r="I18" s="59"/>
      <c r="J18" s="19">
        <v>50</v>
      </c>
      <c r="K18" s="19"/>
      <c r="L18" s="50"/>
      <c r="M18" s="73" t="s">
        <v>21</v>
      </c>
      <c r="N18" s="54">
        <f t="shared" si="0"/>
        <v>50</v>
      </c>
      <c r="O18" s="170"/>
      <c r="P18" s="191"/>
      <c r="Q18" s="192"/>
      <c r="R18" s="192"/>
      <c r="S18" s="192"/>
      <c r="T18" s="192"/>
      <c r="U18" s="193"/>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71"/>
      <c r="P19" s="197"/>
      <c r="Q19" s="198"/>
      <c r="R19" s="198"/>
      <c r="S19" s="198"/>
      <c r="T19" s="198"/>
      <c r="U19" s="199"/>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71"/>
      <c r="P20" s="197"/>
      <c r="Q20" s="198"/>
      <c r="R20" s="198"/>
      <c r="S20" s="198"/>
      <c r="T20" s="198"/>
      <c r="U20" s="199"/>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71"/>
      <c r="P21" s="197"/>
      <c r="Q21" s="198"/>
      <c r="R21" s="198"/>
      <c r="S21" s="198"/>
      <c r="T21" s="198"/>
      <c r="U21" s="199"/>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71"/>
      <c r="P22" s="197"/>
      <c r="Q22" s="198"/>
      <c r="R22" s="198"/>
      <c r="S22" s="198"/>
      <c r="T22" s="198"/>
      <c r="U22" s="199"/>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71"/>
      <c r="P23" s="197"/>
      <c r="Q23" s="198"/>
      <c r="R23" s="198"/>
      <c r="S23" s="198"/>
      <c r="T23" s="198"/>
      <c r="U23" s="199"/>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71"/>
      <c r="P24" s="197"/>
      <c r="Q24" s="198"/>
      <c r="R24" s="198"/>
      <c r="S24" s="198"/>
      <c r="T24" s="198"/>
      <c r="U24" s="199"/>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70">
        <v>0</v>
      </c>
      <c r="P25" s="191" t="s">
        <v>48</v>
      </c>
      <c r="Q25" s="192"/>
      <c r="R25" s="192"/>
      <c r="S25" s="192"/>
      <c r="T25" s="192"/>
      <c r="U25" s="193"/>
    </row>
    <row r="26" spans="1:21" ht="16.5" thickBot="1">
      <c r="A26" s="118"/>
      <c r="B26" s="119"/>
      <c r="C26" s="120"/>
      <c r="D26" s="120"/>
      <c r="E26" s="121"/>
      <c r="F26" s="129"/>
      <c r="G26" s="122"/>
      <c r="H26" s="147"/>
      <c r="I26" s="148"/>
      <c r="J26" s="125"/>
      <c r="K26" s="125"/>
      <c r="L26" s="126"/>
      <c r="M26" s="126"/>
      <c r="N26" s="127"/>
      <c r="O26" s="172"/>
      <c r="P26" s="194"/>
      <c r="Q26" s="195"/>
      <c r="R26" s="195"/>
      <c r="S26" s="195"/>
      <c r="T26" s="195"/>
      <c r="U26" s="196"/>
    </row>
  </sheetData>
  <mergeCells count="43">
    <mergeCell ref="P22:U22"/>
    <mergeCell ref="P23:U23"/>
    <mergeCell ref="P24:U24"/>
    <mergeCell ref="P25:U25"/>
    <mergeCell ref="P26:U26"/>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505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505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506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506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506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E11BD8D2-D0A2-4C76-99F1-84BD74E2D9D8}">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19DBFC01-93B6-41B6-84AB-0C23818E4035}">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D4E9BB36-C5A8-419A-AE2E-C85D88773849}">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7C3A4AAE-6E12-43E8-8749-0EF487D08D2C}">
            <xm:f>(AND(H19&lt;&gt;"",ISERROR(VLOOKUP(H19,system!$E:$E,1,FALSE))))</xm:f>
            <x14:dxf>
              <fill>
                <patternFill>
                  <bgColor rgb="FFFF0000"/>
                </patternFill>
              </fill>
            </x14:dxf>
          </x14:cfRule>
          <xm:sqref>I19:I26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A1:U27"/>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609</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157</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SUM(N14:N28)</f>
        <v>138</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610</v>
      </c>
      <c r="D14" s="80"/>
      <c r="E14" s="81"/>
      <c r="F14" s="146"/>
      <c r="G14" s="17"/>
      <c r="H14" s="18" t="s">
        <v>51</v>
      </c>
      <c r="I14" s="59"/>
      <c r="J14" s="19">
        <v>10</v>
      </c>
      <c r="K14" s="19"/>
      <c r="L14" s="50" t="s">
        <v>190</v>
      </c>
      <c r="M14" s="73" t="s">
        <v>21</v>
      </c>
      <c r="N14" s="54">
        <f t="shared" ref="N14:N26" si="0">IF(H14="NUMBER",IF(J14&gt;0,INT((J14+1)/2+0.9),0),IF(H14="DATE",7,IF(OR(H14="LONG",H14="LONG RAW"),100000,J14)))</f>
        <v>10</v>
      </c>
      <c r="O14" s="170"/>
      <c r="P14" s="191"/>
      <c r="Q14" s="192"/>
      <c r="R14" s="192"/>
      <c r="S14" s="192"/>
      <c r="T14" s="192"/>
      <c r="U14" s="193"/>
    </row>
    <row r="15" spans="1:21" ht="15.75" customHeight="1">
      <c r="A15" s="85"/>
      <c r="B15" s="37">
        <f>ROW()-13</f>
        <v>2</v>
      </c>
      <c r="C15" s="145" t="s">
        <v>611</v>
      </c>
      <c r="D15" s="80"/>
      <c r="E15" s="81"/>
      <c r="F15" s="146"/>
      <c r="G15" s="17"/>
      <c r="H15" s="18" t="s">
        <v>51</v>
      </c>
      <c r="I15" s="59"/>
      <c r="J15" s="19">
        <v>20</v>
      </c>
      <c r="K15" s="19"/>
      <c r="L15" s="50" t="s">
        <v>190</v>
      </c>
      <c r="M15" s="73" t="s">
        <v>21</v>
      </c>
      <c r="N15" s="54">
        <f t="shared" si="0"/>
        <v>20</v>
      </c>
      <c r="O15" s="170"/>
      <c r="P15" s="191"/>
      <c r="Q15" s="192"/>
      <c r="R15" s="192"/>
      <c r="S15" s="192"/>
      <c r="T15" s="192"/>
      <c r="U15" s="193"/>
    </row>
    <row r="16" spans="1:21" ht="15.75" customHeight="1">
      <c r="A16" s="85"/>
      <c r="B16" s="37">
        <f>ROW()-13</f>
        <v>3</v>
      </c>
      <c r="C16" s="145" t="s">
        <v>194</v>
      </c>
      <c r="D16" s="80"/>
      <c r="E16" s="81"/>
      <c r="F16" s="146"/>
      <c r="G16" s="17"/>
      <c r="H16" s="18" t="s">
        <v>49</v>
      </c>
      <c r="I16" s="59"/>
      <c r="J16" s="19">
        <v>2</v>
      </c>
      <c r="K16" s="19"/>
      <c r="L16" s="50" t="s">
        <v>190</v>
      </c>
      <c r="M16" s="73" t="s">
        <v>21</v>
      </c>
      <c r="N16" s="54">
        <f t="shared" si="0"/>
        <v>2</v>
      </c>
      <c r="O16" s="170"/>
      <c r="P16" s="191" t="s">
        <v>612</v>
      </c>
      <c r="Q16" s="192"/>
      <c r="R16" s="192"/>
      <c r="S16" s="192"/>
      <c r="T16" s="192"/>
      <c r="U16" s="193"/>
    </row>
    <row r="17" spans="1:21" ht="15.75" customHeight="1">
      <c r="A17" s="85"/>
      <c r="B17" s="37">
        <f>ROW()-13</f>
        <v>4</v>
      </c>
      <c r="C17" s="145" t="s">
        <v>318</v>
      </c>
      <c r="D17" s="80"/>
      <c r="E17" s="81"/>
      <c r="F17" s="146"/>
      <c r="G17" s="17"/>
      <c r="H17" s="18" t="s">
        <v>51</v>
      </c>
      <c r="I17" s="59"/>
      <c r="J17" s="19">
        <v>4</v>
      </c>
      <c r="K17" s="19"/>
      <c r="L17" s="50" t="s">
        <v>190</v>
      </c>
      <c r="M17" s="73" t="s">
        <v>21</v>
      </c>
      <c r="N17" s="54">
        <f t="shared" si="0"/>
        <v>4</v>
      </c>
      <c r="O17" s="170"/>
      <c r="P17" s="191" t="s">
        <v>613</v>
      </c>
      <c r="Q17" s="192"/>
      <c r="R17" s="192"/>
      <c r="S17" s="192"/>
      <c r="T17" s="192"/>
      <c r="U17" s="193"/>
    </row>
    <row r="18" spans="1:21" ht="15.75" customHeight="1">
      <c r="A18" s="85"/>
      <c r="B18" s="37">
        <f>ROW()-13</f>
        <v>5</v>
      </c>
      <c r="C18" s="145" t="s">
        <v>614</v>
      </c>
      <c r="D18" s="80"/>
      <c r="E18" s="81"/>
      <c r="F18" s="146"/>
      <c r="G18" s="17"/>
      <c r="H18" s="18" t="s">
        <v>208</v>
      </c>
      <c r="I18" s="59"/>
      <c r="J18" s="19"/>
      <c r="K18" s="19"/>
      <c r="L18" s="50" t="s">
        <v>190</v>
      </c>
      <c r="M18" s="73" t="s">
        <v>21</v>
      </c>
      <c r="N18" s="54">
        <f t="shared" si="0"/>
        <v>0</v>
      </c>
      <c r="O18" s="170"/>
      <c r="P18" s="191" t="s">
        <v>615</v>
      </c>
      <c r="Q18" s="192"/>
      <c r="R18" s="192"/>
      <c r="S18" s="192"/>
      <c r="T18" s="192"/>
      <c r="U18" s="193"/>
    </row>
    <row r="19" spans="1:21" ht="15.75" customHeight="1">
      <c r="A19" s="85"/>
      <c r="B19" s="37">
        <f>ROW()-13</f>
        <v>6</v>
      </c>
      <c r="C19" s="145" t="s">
        <v>277</v>
      </c>
      <c r="D19" s="80"/>
      <c r="E19" s="81"/>
      <c r="F19" s="146" t="s">
        <v>557</v>
      </c>
      <c r="G19" s="17"/>
      <c r="H19" s="18" t="s">
        <v>51</v>
      </c>
      <c r="I19" s="59"/>
      <c r="J19" s="19">
        <v>50</v>
      </c>
      <c r="K19" s="19"/>
      <c r="L19" s="50"/>
      <c r="M19" s="73" t="s">
        <v>21</v>
      </c>
      <c r="N19" s="54">
        <f t="shared" si="0"/>
        <v>50</v>
      </c>
      <c r="O19" s="170"/>
      <c r="P19" s="191"/>
      <c r="Q19" s="192"/>
      <c r="R19" s="192"/>
      <c r="S19" s="192"/>
      <c r="T19" s="192"/>
      <c r="U19" s="193"/>
    </row>
    <row r="20" spans="1:21" ht="15.75">
      <c r="A20" s="85"/>
      <c r="B20" s="37">
        <f t="shared" ref="B20:B26" si="1">ROW()-13</f>
        <v>7</v>
      </c>
      <c r="C20" s="107" t="s">
        <v>36</v>
      </c>
      <c r="D20" s="107"/>
      <c r="E20" s="108"/>
      <c r="F20" s="109" t="s">
        <v>78</v>
      </c>
      <c r="G20" s="110"/>
      <c r="H20" s="18" t="s">
        <v>51</v>
      </c>
      <c r="I20" s="59"/>
      <c r="J20" s="113">
        <v>12</v>
      </c>
      <c r="K20" s="113"/>
      <c r="L20" s="114"/>
      <c r="M20" s="115" t="s">
        <v>35</v>
      </c>
      <c r="N20" s="116">
        <f t="shared" si="0"/>
        <v>12</v>
      </c>
      <c r="O20" s="171"/>
      <c r="P20" s="197"/>
      <c r="Q20" s="198"/>
      <c r="R20" s="198"/>
      <c r="S20" s="198"/>
      <c r="T20" s="198"/>
      <c r="U20" s="199"/>
    </row>
    <row r="21" spans="1:21" ht="15.75">
      <c r="A21" s="85"/>
      <c r="B21" s="37">
        <f t="shared" si="1"/>
        <v>8</v>
      </c>
      <c r="C21" s="107" t="s">
        <v>37</v>
      </c>
      <c r="D21" s="107"/>
      <c r="E21" s="108"/>
      <c r="F21" s="109" t="s">
        <v>43</v>
      </c>
      <c r="G21" s="110"/>
      <c r="H21" s="18" t="s">
        <v>51</v>
      </c>
      <c r="I21" s="59"/>
      <c r="J21" s="113">
        <v>10</v>
      </c>
      <c r="K21" s="113"/>
      <c r="L21" s="114"/>
      <c r="M21" s="115" t="s">
        <v>21</v>
      </c>
      <c r="N21" s="116">
        <f t="shared" si="0"/>
        <v>10</v>
      </c>
      <c r="O21" s="171"/>
      <c r="P21" s="197"/>
      <c r="Q21" s="198"/>
      <c r="R21" s="198"/>
      <c r="S21" s="198"/>
      <c r="T21" s="198"/>
      <c r="U21" s="199"/>
    </row>
    <row r="22" spans="1:21" ht="15.75">
      <c r="A22" s="85"/>
      <c r="B22" s="37">
        <f t="shared" si="1"/>
        <v>9</v>
      </c>
      <c r="C22" s="107" t="s">
        <v>38</v>
      </c>
      <c r="D22" s="107"/>
      <c r="E22" s="108"/>
      <c r="F22" s="109" t="s">
        <v>80</v>
      </c>
      <c r="G22" s="110"/>
      <c r="H22" s="18" t="s">
        <v>86</v>
      </c>
      <c r="I22" s="59"/>
      <c r="J22" s="113"/>
      <c r="K22" s="113"/>
      <c r="L22" s="114"/>
      <c r="M22" s="115" t="s">
        <v>21</v>
      </c>
      <c r="N22" s="116">
        <f t="shared" si="0"/>
        <v>0</v>
      </c>
      <c r="O22" s="171"/>
      <c r="P22" s="197"/>
      <c r="Q22" s="198"/>
      <c r="R22" s="198"/>
      <c r="S22" s="198"/>
      <c r="T22" s="198"/>
      <c r="U22" s="199"/>
    </row>
    <row r="23" spans="1:21" ht="15.75">
      <c r="A23" s="85"/>
      <c r="B23" s="37">
        <f t="shared" si="1"/>
        <v>10</v>
      </c>
      <c r="C23" s="107" t="s">
        <v>39</v>
      </c>
      <c r="D23" s="107"/>
      <c r="E23" s="108"/>
      <c r="F23" s="109" t="s">
        <v>79</v>
      </c>
      <c r="G23" s="110"/>
      <c r="H23" s="18" t="s">
        <v>51</v>
      </c>
      <c r="I23" s="59"/>
      <c r="J23" s="113">
        <v>12</v>
      </c>
      <c r="K23" s="113"/>
      <c r="L23" s="114"/>
      <c r="M23" s="115" t="s">
        <v>35</v>
      </c>
      <c r="N23" s="116">
        <f t="shared" si="0"/>
        <v>12</v>
      </c>
      <c r="O23" s="171"/>
      <c r="P23" s="197"/>
      <c r="Q23" s="198"/>
      <c r="R23" s="198"/>
      <c r="S23" s="198"/>
      <c r="T23" s="198"/>
      <c r="U23" s="199"/>
    </row>
    <row r="24" spans="1:21" ht="15.75">
      <c r="A24" s="85"/>
      <c r="B24" s="37">
        <f t="shared" si="1"/>
        <v>11</v>
      </c>
      <c r="C24" s="107" t="s">
        <v>40</v>
      </c>
      <c r="D24" s="107"/>
      <c r="E24" s="108"/>
      <c r="F24" s="109" t="s">
        <v>44</v>
      </c>
      <c r="G24" s="110"/>
      <c r="H24" s="18" t="s">
        <v>51</v>
      </c>
      <c r="I24" s="59"/>
      <c r="J24" s="113">
        <v>10</v>
      </c>
      <c r="K24" s="113"/>
      <c r="L24" s="114"/>
      <c r="M24" s="115" t="s">
        <v>21</v>
      </c>
      <c r="N24" s="116">
        <f t="shared" si="0"/>
        <v>10</v>
      </c>
      <c r="O24" s="171"/>
      <c r="P24" s="197"/>
      <c r="Q24" s="198"/>
      <c r="R24" s="198"/>
      <c r="S24" s="198"/>
      <c r="T24" s="198"/>
      <c r="U24" s="199"/>
    </row>
    <row r="25" spans="1:21" ht="15.75">
      <c r="A25" s="85"/>
      <c r="B25" s="37">
        <f t="shared" si="1"/>
        <v>12</v>
      </c>
      <c r="C25" s="107" t="s">
        <v>41</v>
      </c>
      <c r="D25" s="107"/>
      <c r="E25" s="108"/>
      <c r="F25" s="109" t="s">
        <v>81</v>
      </c>
      <c r="G25" s="110"/>
      <c r="H25" s="18" t="s">
        <v>86</v>
      </c>
      <c r="I25" s="59"/>
      <c r="J25" s="113"/>
      <c r="K25" s="113"/>
      <c r="L25" s="114"/>
      <c r="M25" s="115" t="s">
        <v>21</v>
      </c>
      <c r="N25" s="116">
        <f t="shared" si="0"/>
        <v>0</v>
      </c>
      <c r="O25" s="171"/>
      <c r="P25" s="197"/>
      <c r="Q25" s="198"/>
      <c r="R25" s="198"/>
      <c r="S25" s="198"/>
      <c r="T25" s="198"/>
      <c r="U25" s="199"/>
    </row>
    <row r="26" spans="1:21" ht="15.75">
      <c r="A26" s="85"/>
      <c r="B26" s="37">
        <f t="shared" si="1"/>
        <v>13</v>
      </c>
      <c r="C26" s="80" t="s">
        <v>46</v>
      </c>
      <c r="D26" s="80"/>
      <c r="E26" s="81"/>
      <c r="F26" s="84" t="s">
        <v>71</v>
      </c>
      <c r="G26" s="17"/>
      <c r="H26" s="18" t="s">
        <v>62</v>
      </c>
      <c r="I26" s="59"/>
      <c r="J26" s="19">
        <v>8</v>
      </c>
      <c r="K26" s="19"/>
      <c r="L26" s="50" t="s">
        <v>47</v>
      </c>
      <c r="M26" s="73" t="s">
        <v>35</v>
      </c>
      <c r="N26" s="54">
        <f t="shared" si="0"/>
        <v>8</v>
      </c>
      <c r="O26" s="170">
        <v>0</v>
      </c>
      <c r="P26" s="191" t="s">
        <v>48</v>
      </c>
      <c r="Q26" s="192"/>
      <c r="R26" s="192"/>
      <c r="S26" s="192"/>
      <c r="T26" s="192"/>
      <c r="U26" s="193"/>
    </row>
    <row r="27" spans="1:21" ht="16.5" thickBot="1">
      <c r="A27" s="118"/>
      <c r="B27" s="119"/>
      <c r="C27" s="120"/>
      <c r="D27" s="120"/>
      <c r="E27" s="121"/>
      <c r="F27" s="129"/>
      <c r="G27" s="122"/>
      <c r="H27" s="147"/>
      <c r="I27" s="148"/>
      <c r="J27" s="125"/>
      <c r="K27" s="125"/>
      <c r="L27" s="126"/>
      <c r="M27" s="126"/>
      <c r="N27" s="127"/>
      <c r="O27" s="172"/>
      <c r="P27" s="194"/>
      <c r="Q27" s="195"/>
      <c r="R27" s="195"/>
      <c r="S27" s="195"/>
      <c r="T27" s="195"/>
      <c r="U27" s="196"/>
    </row>
  </sheetData>
  <mergeCells count="44">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608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608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608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608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608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318C9C3-8189-4492-8AE8-0187ABFEAEE1}">
            <xm:f>(AND(H14&lt;&gt;"",ISERROR(VLOOKUP(H14,system!$E:$E,1,FALSE))))</xm:f>
            <x14:dxf>
              <fill>
                <patternFill patternType="solid">
                  <bgColor rgb="FFFF0000"/>
                </patternFill>
              </fill>
            </x14:dxf>
          </x14:cfRule>
          <xm:sqref>H14:H19</xm:sqref>
        </x14:conditionalFormatting>
        <x14:conditionalFormatting xmlns:xm="http://schemas.microsoft.com/office/excel/2006/main">
          <x14:cfRule type="expression" priority="3" id="{7AB111A0-6C98-4E40-A3A8-7D90ACB68E40}">
            <xm:f>(AND(H14&lt;&gt;"",ISERROR(VLOOKUP(H14,system!$E:$E,1,FALSE))))</xm:f>
            <x14:dxf>
              <fill>
                <patternFill>
                  <bgColor rgb="FFFF0000"/>
                </patternFill>
              </fill>
            </x14:dxf>
          </x14:cfRule>
          <xm:sqref>I14:I19</xm:sqref>
        </x14:conditionalFormatting>
        <x14:conditionalFormatting xmlns:xm="http://schemas.microsoft.com/office/excel/2006/main">
          <x14:cfRule type="expression" priority="2" id="{76676E5D-E343-44F0-93A5-C6C123B3B3FF}">
            <xm:f>(AND(H20&lt;&gt;"",ISERROR(VLOOKUP(H20,system!$E:$E,1,FALSE))))</xm:f>
            <x14:dxf>
              <fill>
                <patternFill patternType="solid">
                  <bgColor rgb="FFFF0000"/>
                </patternFill>
              </fill>
            </x14:dxf>
          </x14:cfRule>
          <xm:sqref>H20:H27</xm:sqref>
        </x14:conditionalFormatting>
        <x14:conditionalFormatting xmlns:xm="http://schemas.microsoft.com/office/excel/2006/main">
          <x14:cfRule type="expression" priority="1" id="{22DE04DE-B0D3-400D-8EF4-47F9609B1CBE}">
            <xm:f>(AND(H20&lt;&gt;"",ISERROR(VLOOKUP(H20,system!$E:$E,1,FALSE))))</xm:f>
            <x14:dxf>
              <fill>
                <patternFill>
                  <bgColor rgb="FFFF0000"/>
                </patternFill>
              </fill>
            </x14:dxf>
          </x14:cfRule>
          <xm:sqref>I20:I27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A1:U34"/>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617</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159</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SUM(N14:N35)</f>
        <v>159</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33" si="0">IF(H14="NUMBER",IF(J14&gt;0,INT((J14+1)/2+0.9),0),IF(H14="DATE",7,IF(OR(H14="LONG",H14="LONG RAW"),100000,J14)))</f>
        <v>1</v>
      </c>
      <c r="O14" s="170"/>
      <c r="P14" s="191" t="s">
        <v>618</v>
      </c>
      <c r="Q14" s="192"/>
      <c r="R14" s="192"/>
      <c r="S14" s="192"/>
      <c r="T14" s="192"/>
      <c r="U14" s="193"/>
    </row>
    <row r="15" spans="1:21" ht="15.75" customHeight="1">
      <c r="A15" s="85" t="s">
        <v>191</v>
      </c>
      <c r="B15" s="37">
        <f>ROW()-13</f>
        <v>2</v>
      </c>
      <c r="C15" s="145" t="s">
        <v>198</v>
      </c>
      <c r="D15" s="80"/>
      <c r="E15" s="81"/>
      <c r="F15" s="146"/>
      <c r="G15" s="17"/>
      <c r="H15" s="18" t="s">
        <v>51</v>
      </c>
      <c r="I15" s="59"/>
      <c r="J15" s="19">
        <v>25</v>
      </c>
      <c r="K15" s="19"/>
      <c r="L15" s="50" t="s">
        <v>190</v>
      </c>
      <c r="M15" s="73" t="s">
        <v>21</v>
      </c>
      <c r="N15" s="54">
        <f t="shared" si="0"/>
        <v>25</v>
      </c>
      <c r="O15" s="170"/>
      <c r="P15" s="191" t="s">
        <v>618</v>
      </c>
      <c r="Q15" s="192"/>
      <c r="R15" s="192"/>
      <c r="S15" s="192"/>
      <c r="T15" s="192"/>
      <c r="U15" s="193"/>
    </row>
    <row r="16" spans="1:21" ht="15.75" customHeight="1">
      <c r="A16" s="85" t="s">
        <v>191</v>
      </c>
      <c r="B16" s="37">
        <f>ROW()-13</f>
        <v>3</v>
      </c>
      <c r="C16" s="145" t="s">
        <v>200</v>
      </c>
      <c r="D16" s="80"/>
      <c r="E16" s="81"/>
      <c r="F16" s="146"/>
      <c r="G16" s="17"/>
      <c r="H16" s="18" t="s">
        <v>51</v>
      </c>
      <c r="I16" s="59"/>
      <c r="J16" s="19">
        <v>4</v>
      </c>
      <c r="K16" s="19"/>
      <c r="L16" s="50" t="s">
        <v>190</v>
      </c>
      <c r="M16" s="73" t="s">
        <v>21</v>
      </c>
      <c r="N16" s="54">
        <f t="shared" si="0"/>
        <v>4</v>
      </c>
      <c r="O16" s="170"/>
      <c r="P16" s="191" t="s">
        <v>618</v>
      </c>
      <c r="Q16" s="192"/>
      <c r="R16" s="192"/>
      <c r="S16" s="192"/>
      <c r="T16" s="192"/>
      <c r="U16" s="193"/>
    </row>
    <row r="17" spans="1:21" ht="15.75" customHeight="1">
      <c r="A17" s="85" t="s">
        <v>191</v>
      </c>
      <c r="B17" s="37">
        <f>ROW()-13</f>
        <v>4</v>
      </c>
      <c r="C17" s="145" t="s">
        <v>203</v>
      </c>
      <c r="D17" s="80"/>
      <c r="E17" s="81"/>
      <c r="F17" s="146"/>
      <c r="G17" s="17"/>
      <c r="H17" s="18" t="s">
        <v>49</v>
      </c>
      <c r="I17" s="59"/>
      <c r="J17" s="19">
        <v>1</v>
      </c>
      <c r="K17" s="19"/>
      <c r="L17" s="50" t="s">
        <v>190</v>
      </c>
      <c r="M17" s="73" t="s">
        <v>21</v>
      </c>
      <c r="N17" s="54">
        <f t="shared" si="0"/>
        <v>1</v>
      </c>
      <c r="O17" s="170"/>
      <c r="P17" s="191" t="s">
        <v>618</v>
      </c>
      <c r="Q17" s="192"/>
      <c r="R17" s="192"/>
      <c r="S17" s="192"/>
      <c r="T17" s="192"/>
      <c r="U17" s="193"/>
    </row>
    <row r="18" spans="1:21" ht="15.75" customHeight="1">
      <c r="A18" s="85" t="s">
        <v>191</v>
      </c>
      <c r="B18" s="37">
        <f>ROW()-13</f>
        <v>5</v>
      </c>
      <c r="C18" s="145" t="s">
        <v>329</v>
      </c>
      <c r="D18" s="80"/>
      <c r="E18" s="81"/>
      <c r="F18" s="146"/>
      <c r="G18" s="17"/>
      <c r="H18" s="18" t="s">
        <v>51</v>
      </c>
      <c r="I18" s="59"/>
      <c r="J18" s="19">
        <v>10</v>
      </c>
      <c r="K18" s="19"/>
      <c r="L18" s="50" t="s">
        <v>190</v>
      </c>
      <c r="M18" s="73" t="s">
        <v>21</v>
      </c>
      <c r="N18" s="54">
        <f t="shared" si="0"/>
        <v>10</v>
      </c>
      <c r="O18" s="170"/>
      <c r="P18" s="191" t="s">
        <v>619</v>
      </c>
      <c r="Q18" s="192"/>
      <c r="R18" s="192"/>
      <c r="S18" s="192"/>
      <c r="T18" s="192"/>
      <c r="U18" s="193"/>
    </row>
    <row r="19" spans="1:21" ht="15.75" customHeight="1">
      <c r="A19" s="85"/>
      <c r="B19" s="37">
        <f>ROW()-13</f>
        <v>6</v>
      </c>
      <c r="C19" s="145" t="s">
        <v>620</v>
      </c>
      <c r="D19" s="80"/>
      <c r="E19" s="81"/>
      <c r="F19" s="146"/>
      <c r="G19" s="17"/>
      <c r="H19" s="18" t="s">
        <v>51</v>
      </c>
      <c r="I19" s="59"/>
      <c r="J19" s="19">
        <v>10</v>
      </c>
      <c r="K19" s="19"/>
      <c r="L19" s="50" t="s">
        <v>190</v>
      </c>
      <c r="M19" s="73" t="s">
        <v>21</v>
      </c>
      <c r="N19" s="54">
        <f t="shared" si="0"/>
        <v>10</v>
      </c>
      <c r="O19" s="170"/>
      <c r="P19" s="191" t="s">
        <v>619</v>
      </c>
      <c r="Q19" s="192"/>
      <c r="R19" s="192"/>
      <c r="S19" s="192"/>
      <c r="T19" s="192"/>
      <c r="U19" s="193"/>
    </row>
    <row r="20" spans="1:21" ht="15.75" customHeight="1">
      <c r="A20" s="85"/>
      <c r="B20" s="37">
        <f>ROW()-13</f>
        <v>7</v>
      </c>
      <c r="C20" s="145" t="s">
        <v>621</v>
      </c>
      <c r="D20" s="80"/>
      <c r="E20" s="81"/>
      <c r="F20" s="146"/>
      <c r="G20" s="17"/>
      <c r="H20" s="18" t="s">
        <v>49</v>
      </c>
      <c r="I20" s="59"/>
      <c r="J20" s="19">
        <v>2</v>
      </c>
      <c r="K20" s="19"/>
      <c r="L20" s="50" t="s">
        <v>190</v>
      </c>
      <c r="M20" s="73" t="s">
        <v>21</v>
      </c>
      <c r="N20" s="54">
        <f t="shared" si="0"/>
        <v>2</v>
      </c>
      <c r="O20" s="170"/>
      <c r="P20" s="191" t="s">
        <v>622</v>
      </c>
      <c r="Q20" s="192"/>
      <c r="R20" s="192"/>
      <c r="S20" s="192"/>
      <c r="T20" s="192"/>
      <c r="U20" s="193"/>
    </row>
    <row r="21" spans="1:21" ht="39.200000000000003" customHeight="1">
      <c r="A21" s="85"/>
      <c r="B21" s="37">
        <f>ROW()-13</f>
        <v>8</v>
      </c>
      <c r="C21" s="145" t="s">
        <v>623</v>
      </c>
      <c r="D21" s="80"/>
      <c r="E21" s="81"/>
      <c r="F21" s="146"/>
      <c r="G21" s="17"/>
      <c r="H21" s="18" t="s">
        <v>49</v>
      </c>
      <c r="I21" s="59"/>
      <c r="J21" s="19">
        <v>1</v>
      </c>
      <c r="K21" s="19"/>
      <c r="L21" s="50"/>
      <c r="M21" s="73" t="s">
        <v>21</v>
      </c>
      <c r="N21" s="54">
        <f t="shared" si="0"/>
        <v>1</v>
      </c>
      <c r="O21" s="170"/>
      <c r="P21" s="251" t="s">
        <v>624</v>
      </c>
      <c r="Q21" s="192"/>
      <c r="R21" s="192"/>
      <c r="S21" s="192"/>
      <c r="T21" s="192"/>
      <c r="U21" s="193"/>
    </row>
    <row r="22" spans="1:21" ht="39.200000000000003" customHeight="1">
      <c r="A22" s="85"/>
      <c r="B22" s="37">
        <f>ROW()-13</f>
        <v>9</v>
      </c>
      <c r="C22" s="145" t="s">
        <v>625</v>
      </c>
      <c r="D22" s="80"/>
      <c r="E22" s="81"/>
      <c r="F22" s="146"/>
      <c r="G22" s="17"/>
      <c r="H22" s="18" t="s">
        <v>49</v>
      </c>
      <c r="I22" s="59"/>
      <c r="J22" s="19">
        <v>1</v>
      </c>
      <c r="K22" s="19"/>
      <c r="L22" s="50"/>
      <c r="M22" s="73" t="s">
        <v>21</v>
      </c>
      <c r="N22" s="54">
        <f t="shared" si="0"/>
        <v>1</v>
      </c>
      <c r="O22" s="170"/>
      <c r="P22" s="251" t="s">
        <v>626</v>
      </c>
      <c r="Q22" s="192"/>
      <c r="R22" s="192"/>
      <c r="S22" s="192"/>
      <c r="T22" s="192"/>
      <c r="U22" s="193"/>
    </row>
    <row r="23" spans="1:21" ht="39.200000000000003" customHeight="1">
      <c r="A23" s="85"/>
      <c r="B23" s="37">
        <f>ROW()-13</f>
        <v>10</v>
      </c>
      <c r="C23" s="145" t="s">
        <v>627</v>
      </c>
      <c r="D23" s="80"/>
      <c r="E23" s="81"/>
      <c r="F23" s="146"/>
      <c r="G23" s="17"/>
      <c r="H23" s="18" t="s">
        <v>49</v>
      </c>
      <c r="I23" s="59"/>
      <c r="J23" s="19">
        <v>1</v>
      </c>
      <c r="K23" s="19"/>
      <c r="L23" s="50"/>
      <c r="M23" s="73" t="s">
        <v>21</v>
      </c>
      <c r="N23" s="54">
        <f t="shared" si="0"/>
        <v>1</v>
      </c>
      <c r="O23" s="170"/>
      <c r="P23" s="251" t="s">
        <v>628</v>
      </c>
      <c r="Q23" s="192"/>
      <c r="R23" s="192"/>
      <c r="S23" s="192"/>
      <c r="T23" s="192"/>
      <c r="U23" s="193"/>
    </row>
    <row r="24" spans="1:21" ht="39.200000000000003" customHeight="1">
      <c r="A24" s="85"/>
      <c r="B24" s="37">
        <f>ROW()-13</f>
        <v>11</v>
      </c>
      <c r="C24" s="145" t="s">
        <v>629</v>
      </c>
      <c r="D24" s="80"/>
      <c r="E24" s="81"/>
      <c r="F24" s="146"/>
      <c r="G24" s="17"/>
      <c r="H24" s="18" t="s">
        <v>49</v>
      </c>
      <c r="I24" s="59"/>
      <c r="J24" s="19">
        <v>1</v>
      </c>
      <c r="K24" s="19"/>
      <c r="L24" s="50"/>
      <c r="M24" s="73" t="s">
        <v>21</v>
      </c>
      <c r="N24" s="54">
        <f t="shared" si="0"/>
        <v>1</v>
      </c>
      <c r="O24" s="170"/>
      <c r="P24" s="251" t="s">
        <v>630</v>
      </c>
      <c r="Q24" s="192"/>
      <c r="R24" s="192"/>
      <c r="S24" s="192"/>
      <c r="T24" s="192"/>
      <c r="U24" s="193"/>
    </row>
    <row r="25" spans="1:21" ht="27.6" customHeight="1">
      <c r="A25" s="85"/>
      <c r="B25" s="37">
        <f>ROW()-13</f>
        <v>12</v>
      </c>
      <c r="C25" s="145" t="s">
        <v>631</v>
      </c>
      <c r="D25" s="80"/>
      <c r="E25" s="81"/>
      <c r="F25" s="146"/>
      <c r="G25" s="17"/>
      <c r="H25" s="18" t="s">
        <v>208</v>
      </c>
      <c r="I25" s="59"/>
      <c r="J25" s="19"/>
      <c r="K25" s="19"/>
      <c r="L25" s="50"/>
      <c r="M25" s="73" t="s">
        <v>21</v>
      </c>
      <c r="N25" s="54">
        <f t="shared" si="0"/>
        <v>0</v>
      </c>
      <c r="O25" s="170"/>
      <c r="P25" s="251" t="s">
        <v>632</v>
      </c>
      <c r="Q25" s="192"/>
      <c r="R25" s="192"/>
      <c r="S25" s="192"/>
      <c r="T25" s="192"/>
      <c r="U25" s="193"/>
    </row>
    <row r="26" spans="1:21" ht="15.75" customHeight="1">
      <c r="A26" s="85"/>
      <c r="B26" s="37">
        <f>ROW()-13</f>
        <v>13</v>
      </c>
      <c r="C26" s="145" t="s">
        <v>277</v>
      </c>
      <c r="D26" s="80"/>
      <c r="E26" s="81"/>
      <c r="F26" s="146" t="s">
        <v>557</v>
      </c>
      <c r="G26" s="17"/>
      <c r="H26" s="18" t="s">
        <v>51</v>
      </c>
      <c r="I26" s="59"/>
      <c r="J26" s="19">
        <v>50</v>
      </c>
      <c r="K26" s="19"/>
      <c r="L26" s="50"/>
      <c r="M26" s="73" t="s">
        <v>21</v>
      </c>
      <c r="N26" s="54">
        <f t="shared" si="0"/>
        <v>50</v>
      </c>
      <c r="O26" s="170"/>
      <c r="P26" s="191"/>
      <c r="Q26" s="192"/>
      <c r="R26" s="192"/>
      <c r="S26" s="192"/>
      <c r="T26" s="192"/>
      <c r="U26" s="193"/>
    </row>
    <row r="27" spans="1:21" ht="15.75">
      <c r="A27" s="85"/>
      <c r="B27" s="37">
        <f t="shared" ref="B27:B33" si="1">ROW()-13</f>
        <v>14</v>
      </c>
      <c r="C27" s="107" t="s">
        <v>36</v>
      </c>
      <c r="D27" s="107"/>
      <c r="E27" s="108"/>
      <c r="F27" s="109" t="s">
        <v>78</v>
      </c>
      <c r="G27" s="110"/>
      <c r="H27" s="18" t="s">
        <v>51</v>
      </c>
      <c r="I27" s="59"/>
      <c r="J27" s="113">
        <v>12</v>
      </c>
      <c r="K27" s="113"/>
      <c r="L27" s="114"/>
      <c r="M27" s="115" t="s">
        <v>35</v>
      </c>
      <c r="N27" s="116">
        <f t="shared" si="0"/>
        <v>12</v>
      </c>
      <c r="O27" s="171"/>
      <c r="P27" s="197"/>
      <c r="Q27" s="198"/>
      <c r="R27" s="198"/>
      <c r="S27" s="198"/>
      <c r="T27" s="198"/>
      <c r="U27" s="199"/>
    </row>
    <row r="28" spans="1:21" ht="15.75">
      <c r="A28" s="85"/>
      <c r="B28" s="37">
        <f t="shared" si="1"/>
        <v>15</v>
      </c>
      <c r="C28" s="107" t="s">
        <v>37</v>
      </c>
      <c r="D28" s="107"/>
      <c r="E28" s="108"/>
      <c r="F28" s="109" t="s">
        <v>43</v>
      </c>
      <c r="G28" s="110"/>
      <c r="H28" s="18" t="s">
        <v>51</v>
      </c>
      <c r="I28" s="59"/>
      <c r="J28" s="113">
        <v>10</v>
      </c>
      <c r="K28" s="113"/>
      <c r="L28" s="114"/>
      <c r="M28" s="115" t="s">
        <v>21</v>
      </c>
      <c r="N28" s="116">
        <f t="shared" si="0"/>
        <v>10</v>
      </c>
      <c r="O28" s="171"/>
      <c r="P28" s="197"/>
      <c r="Q28" s="198"/>
      <c r="R28" s="198"/>
      <c r="S28" s="198"/>
      <c r="T28" s="198"/>
      <c r="U28" s="199"/>
    </row>
    <row r="29" spans="1:21" ht="15.75">
      <c r="A29" s="85"/>
      <c r="B29" s="37">
        <f t="shared" si="1"/>
        <v>16</v>
      </c>
      <c r="C29" s="107" t="s">
        <v>38</v>
      </c>
      <c r="D29" s="107"/>
      <c r="E29" s="108"/>
      <c r="F29" s="109" t="s">
        <v>80</v>
      </c>
      <c r="G29" s="110"/>
      <c r="H29" s="18" t="s">
        <v>86</v>
      </c>
      <c r="I29" s="59"/>
      <c r="J29" s="113"/>
      <c r="K29" s="113"/>
      <c r="L29" s="114"/>
      <c r="M29" s="115" t="s">
        <v>21</v>
      </c>
      <c r="N29" s="116">
        <f t="shared" si="0"/>
        <v>0</v>
      </c>
      <c r="O29" s="171"/>
      <c r="P29" s="197"/>
      <c r="Q29" s="198"/>
      <c r="R29" s="198"/>
      <c r="S29" s="198"/>
      <c r="T29" s="198"/>
      <c r="U29" s="199"/>
    </row>
    <row r="30" spans="1:21" ht="15.75">
      <c r="A30" s="85"/>
      <c r="B30" s="37">
        <f t="shared" si="1"/>
        <v>17</v>
      </c>
      <c r="C30" s="107" t="s">
        <v>39</v>
      </c>
      <c r="D30" s="107"/>
      <c r="E30" s="108"/>
      <c r="F30" s="109" t="s">
        <v>79</v>
      </c>
      <c r="G30" s="110"/>
      <c r="H30" s="18" t="s">
        <v>51</v>
      </c>
      <c r="I30" s="59"/>
      <c r="J30" s="113">
        <v>12</v>
      </c>
      <c r="K30" s="113"/>
      <c r="L30" s="114"/>
      <c r="M30" s="115" t="s">
        <v>35</v>
      </c>
      <c r="N30" s="116">
        <f t="shared" si="0"/>
        <v>12</v>
      </c>
      <c r="O30" s="171"/>
      <c r="P30" s="197"/>
      <c r="Q30" s="198"/>
      <c r="R30" s="198"/>
      <c r="S30" s="198"/>
      <c r="T30" s="198"/>
      <c r="U30" s="199"/>
    </row>
    <row r="31" spans="1:21" ht="15.75">
      <c r="A31" s="85"/>
      <c r="B31" s="37">
        <f t="shared" si="1"/>
        <v>18</v>
      </c>
      <c r="C31" s="107" t="s">
        <v>40</v>
      </c>
      <c r="D31" s="107"/>
      <c r="E31" s="108"/>
      <c r="F31" s="109" t="s">
        <v>44</v>
      </c>
      <c r="G31" s="110"/>
      <c r="H31" s="18" t="s">
        <v>51</v>
      </c>
      <c r="I31" s="59"/>
      <c r="J31" s="113">
        <v>10</v>
      </c>
      <c r="K31" s="113"/>
      <c r="L31" s="114"/>
      <c r="M31" s="115" t="s">
        <v>21</v>
      </c>
      <c r="N31" s="116">
        <f t="shared" si="0"/>
        <v>10</v>
      </c>
      <c r="O31" s="171"/>
      <c r="P31" s="197"/>
      <c r="Q31" s="198"/>
      <c r="R31" s="198"/>
      <c r="S31" s="198"/>
      <c r="T31" s="198"/>
      <c r="U31" s="199"/>
    </row>
    <row r="32" spans="1:21" ht="15.75">
      <c r="A32" s="85"/>
      <c r="B32" s="37">
        <f t="shared" si="1"/>
        <v>19</v>
      </c>
      <c r="C32" s="107" t="s">
        <v>41</v>
      </c>
      <c r="D32" s="107"/>
      <c r="E32" s="108"/>
      <c r="F32" s="109" t="s">
        <v>81</v>
      </c>
      <c r="G32" s="110"/>
      <c r="H32" s="18" t="s">
        <v>86</v>
      </c>
      <c r="I32" s="59"/>
      <c r="J32" s="113"/>
      <c r="K32" s="113"/>
      <c r="L32" s="114"/>
      <c r="M32" s="115" t="s">
        <v>21</v>
      </c>
      <c r="N32" s="116">
        <f t="shared" si="0"/>
        <v>0</v>
      </c>
      <c r="O32" s="171"/>
      <c r="P32" s="197"/>
      <c r="Q32" s="198"/>
      <c r="R32" s="198"/>
      <c r="S32" s="198"/>
      <c r="T32" s="198"/>
      <c r="U32" s="199"/>
    </row>
    <row r="33" spans="1:21" ht="15.75">
      <c r="A33" s="85"/>
      <c r="B33" s="37">
        <f t="shared" si="1"/>
        <v>20</v>
      </c>
      <c r="C33" s="80" t="s">
        <v>46</v>
      </c>
      <c r="D33" s="80"/>
      <c r="E33" s="81"/>
      <c r="F33" s="84" t="s">
        <v>71</v>
      </c>
      <c r="G33" s="17"/>
      <c r="H33" s="18" t="s">
        <v>62</v>
      </c>
      <c r="I33" s="59"/>
      <c r="J33" s="19">
        <v>8</v>
      </c>
      <c r="K33" s="19"/>
      <c r="L33" s="50" t="s">
        <v>47</v>
      </c>
      <c r="M33" s="73" t="s">
        <v>35</v>
      </c>
      <c r="N33" s="54">
        <f t="shared" si="0"/>
        <v>8</v>
      </c>
      <c r="O33" s="170">
        <v>0</v>
      </c>
      <c r="P33" s="191" t="s">
        <v>48</v>
      </c>
      <c r="Q33" s="192"/>
      <c r="R33" s="192"/>
      <c r="S33" s="192"/>
      <c r="T33" s="192"/>
      <c r="U33" s="193"/>
    </row>
    <row r="34" spans="1:21" ht="16.5" thickBot="1">
      <c r="A34" s="118"/>
      <c r="B34" s="119"/>
      <c r="C34" s="120"/>
      <c r="D34" s="120"/>
      <c r="E34" s="121"/>
      <c r="F34" s="129"/>
      <c r="G34" s="122"/>
      <c r="H34" s="147"/>
      <c r="I34" s="148"/>
      <c r="J34" s="125"/>
      <c r="K34" s="125"/>
      <c r="L34" s="126"/>
      <c r="M34" s="126"/>
      <c r="N34" s="127"/>
      <c r="O34" s="172"/>
      <c r="P34" s="194"/>
      <c r="Q34" s="195"/>
      <c r="R34" s="195"/>
      <c r="S34" s="195"/>
      <c r="T34" s="195"/>
      <c r="U34" s="196"/>
    </row>
  </sheetData>
  <mergeCells count="51">
    <mergeCell ref="P34:U34"/>
    <mergeCell ref="P28:U28"/>
    <mergeCell ref="P29:U29"/>
    <mergeCell ref="P30:U30"/>
    <mergeCell ref="P31:U31"/>
    <mergeCell ref="P32:U32"/>
    <mergeCell ref="P33:U33"/>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710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710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710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710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711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7C3584B2-AB73-4A40-83E0-D565C8DDB8A5}">
            <xm:f>(AND(H14&lt;&gt;"",ISERROR(VLOOKUP(H14,system!$E:$E,1,FALSE))))</xm:f>
            <x14:dxf>
              <fill>
                <patternFill patternType="solid">
                  <bgColor rgb="FFFF0000"/>
                </patternFill>
              </fill>
            </x14:dxf>
          </x14:cfRule>
          <xm:sqref>H14:H26</xm:sqref>
        </x14:conditionalFormatting>
        <x14:conditionalFormatting xmlns:xm="http://schemas.microsoft.com/office/excel/2006/main">
          <x14:cfRule type="expression" priority="3" id="{1342A0AC-BE9E-4221-9FB4-8EA8AE1D7596}">
            <xm:f>(AND(H14&lt;&gt;"",ISERROR(VLOOKUP(H14,system!$E:$E,1,FALSE))))</xm:f>
            <x14:dxf>
              <fill>
                <patternFill>
                  <bgColor rgb="FFFF0000"/>
                </patternFill>
              </fill>
            </x14:dxf>
          </x14:cfRule>
          <xm:sqref>I14:I26</xm:sqref>
        </x14:conditionalFormatting>
        <x14:conditionalFormatting xmlns:xm="http://schemas.microsoft.com/office/excel/2006/main">
          <x14:cfRule type="expression" priority="2" id="{8E8ACC74-19A5-4326-AF78-DBC88BA6DBEF}">
            <xm:f>(AND(H27&lt;&gt;"",ISERROR(VLOOKUP(H27,system!$E:$E,1,FALSE))))</xm:f>
            <x14:dxf>
              <fill>
                <patternFill patternType="solid">
                  <bgColor rgb="FFFF0000"/>
                </patternFill>
              </fill>
            </x14:dxf>
          </x14:cfRule>
          <xm:sqref>H27:H34</xm:sqref>
        </x14:conditionalFormatting>
        <x14:conditionalFormatting xmlns:xm="http://schemas.microsoft.com/office/excel/2006/main">
          <x14:cfRule type="expression" priority="1" id="{C83465F2-2DB2-4270-A519-E2D509854713}">
            <xm:f>(AND(H27&lt;&gt;"",ISERROR(VLOOKUP(H27,system!$E:$E,1,FALSE))))</xm:f>
            <x14:dxf>
              <fill>
                <patternFill>
                  <bgColor rgb="FFFF0000"/>
                </patternFill>
              </fill>
            </x14:dxf>
          </x14:cfRule>
          <xm:sqref>I27:I34</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A1:U29"/>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634</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161</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SUM(N14:N30)</f>
        <v>138</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370</v>
      </c>
      <c r="D14" s="80"/>
      <c r="E14" s="81"/>
      <c r="F14" s="146"/>
      <c r="G14" s="17"/>
      <c r="H14" s="18" t="s">
        <v>49</v>
      </c>
      <c r="I14" s="59"/>
      <c r="J14" s="19">
        <v>2</v>
      </c>
      <c r="K14" s="19"/>
      <c r="L14" s="50" t="s">
        <v>190</v>
      </c>
      <c r="M14" s="73" t="s">
        <v>21</v>
      </c>
      <c r="N14" s="54">
        <f t="shared" ref="N14:N28" si="0">IF(H14="NUMBER",IF(J14&gt;0,INT((J14+1)/2+0.9),0),IF(H14="DATE",7,IF(OR(H14="LONG",H14="LONG RAW"),100000,J14)))</f>
        <v>2</v>
      </c>
      <c r="O14" s="170"/>
      <c r="P14" s="191" t="s">
        <v>155</v>
      </c>
      <c r="Q14" s="192"/>
      <c r="R14" s="192"/>
      <c r="S14" s="192"/>
      <c r="T14" s="192"/>
      <c r="U14" s="193"/>
    </row>
    <row r="15" spans="1:21" ht="15.75" customHeight="1">
      <c r="A15" s="85" t="s">
        <v>191</v>
      </c>
      <c r="B15" s="37">
        <f>ROW()-13</f>
        <v>2</v>
      </c>
      <c r="C15" s="145" t="s">
        <v>329</v>
      </c>
      <c r="D15" s="80"/>
      <c r="E15" s="81"/>
      <c r="F15" s="146"/>
      <c r="G15" s="17"/>
      <c r="H15" s="18" t="s">
        <v>51</v>
      </c>
      <c r="I15" s="59"/>
      <c r="J15" s="19">
        <v>10</v>
      </c>
      <c r="K15" s="19"/>
      <c r="L15" s="50" t="s">
        <v>190</v>
      </c>
      <c r="M15" s="73" t="s">
        <v>21</v>
      </c>
      <c r="N15" s="54">
        <f t="shared" si="0"/>
        <v>10</v>
      </c>
      <c r="O15" s="170"/>
      <c r="P15" s="191" t="s">
        <v>157</v>
      </c>
      <c r="Q15" s="192"/>
      <c r="R15" s="192"/>
      <c r="S15" s="192"/>
      <c r="T15" s="192"/>
      <c r="U15" s="193"/>
    </row>
    <row r="16" spans="1:21" ht="15.75" customHeight="1">
      <c r="A16" s="85" t="s">
        <v>191</v>
      </c>
      <c r="B16" s="37">
        <f>ROW()-13</f>
        <v>3</v>
      </c>
      <c r="C16" s="145" t="s">
        <v>635</v>
      </c>
      <c r="D16" s="80"/>
      <c r="E16" s="81"/>
      <c r="F16" s="146"/>
      <c r="G16" s="17"/>
      <c r="H16" s="18" t="s">
        <v>51</v>
      </c>
      <c r="I16" s="59"/>
      <c r="J16" s="19">
        <v>10</v>
      </c>
      <c r="K16" s="19"/>
      <c r="L16" s="50" t="s">
        <v>190</v>
      </c>
      <c r="M16" s="73" t="s">
        <v>21</v>
      </c>
      <c r="N16" s="54">
        <f t="shared" si="0"/>
        <v>10</v>
      </c>
      <c r="O16" s="170"/>
      <c r="P16" s="191" t="s">
        <v>157</v>
      </c>
      <c r="Q16" s="192"/>
      <c r="R16" s="192"/>
      <c r="S16" s="192"/>
      <c r="T16" s="192"/>
      <c r="U16" s="193"/>
    </row>
    <row r="17" spans="1:21" ht="15.75" customHeight="1">
      <c r="A17" s="85" t="s">
        <v>191</v>
      </c>
      <c r="B17" s="37">
        <f>ROW()-13</f>
        <v>4</v>
      </c>
      <c r="C17" s="145" t="s">
        <v>636</v>
      </c>
      <c r="D17" s="80"/>
      <c r="E17" s="81"/>
      <c r="F17" s="146"/>
      <c r="G17" s="17"/>
      <c r="H17" s="18" t="s">
        <v>51</v>
      </c>
      <c r="I17" s="59"/>
      <c r="J17" s="19">
        <v>4</v>
      </c>
      <c r="K17" s="19"/>
      <c r="L17" s="50" t="s">
        <v>190</v>
      </c>
      <c r="M17" s="73" t="s">
        <v>21</v>
      </c>
      <c r="N17" s="54">
        <f t="shared" si="0"/>
        <v>4</v>
      </c>
      <c r="O17" s="170"/>
      <c r="P17" s="191" t="s">
        <v>202</v>
      </c>
      <c r="Q17" s="192"/>
      <c r="R17" s="192"/>
      <c r="S17" s="192"/>
      <c r="T17" s="192"/>
      <c r="U17" s="193"/>
    </row>
    <row r="18" spans="1:21" ht="74.45" customHeight="1">
      <c r="A18" s="85"/>
      <c r="B18" s="37">
        <f>ROW()-13</f>
        <v>5</v>
      </c>
      <c r="C18" s="145" t="s">
        <v>637</v>
      </c>
      <c r="D18" s="80"/>
      <c r="E18" s="81"/>
      <c r="F18" s="146"/>
      <c r="G18" s="17"/>
      <c r="H18" s="18" t="s">
        <v>51</v>
      </c>
      <c r="I18" s="59"/>
      <c r="J18" s="19">
        <v>10</v>
      </c>
      <c r="K18" s="19"/>
      <c r="L18" s="50" t="s">
        <v>190</v>
      </c>
      <c r="M18" s="73" t="s">
        <v>21</v>
      </c>
      <c r="N18" s="54">
        <f t="shared" si="0"/>
        <v>10</v>
      </c>
      <c r="O18" s="170"/>
      <c r="P18" s="251" t="s">
        <v>638</v>
      </c>
      <c r="Q18" s="192"/>
      <c r="R18" s="192"/>
      <c r="S18" s="192"/>
      <c r="T18" s="192"/>
      <c r="U18" s="193"/>
    </row>
    <row r="19" spans="1:21" ht="15.75" customHeight="1">
      <c r="A19" s="85"/>
      <c r="B19" s="37">
        <f>ROW()-13</f>
        <v>6</v>
      </c>
      <c r="C19" s="145" t="s">
        <v>639</v>
      </c>
      <c r="D19" s="80"/>
      <c r="E19" s="81"/>
      <c r="F19" s="146"/>
      <c r="G19" s="17"/>
      <c r="H19" s="18" t="s">
        <v>208</v>
      </c>
      <c r="I19" s="59"/>
      <c r="J19" s="19"/>
      <c r="K19" s="19"/>
      <c r="L19" s="50"/>
      <c r="M19" s="73" t="s">
        <v>21</v>
      </c>
      <c r="N19" s="54">
        <f t="shared" si="0"/>
        <v>0</v>
      </c>
      <c r="O19" s="170"/>
      <c r="P19" s="191" t="s">
        <v>640</v>
      </c>
      <c r="Q19" s="192"/>
      <c r="R19" s="192"/>
      <c r="S19" s="192"/>
      <c r="T19" s="192"/>
      <c r="U19" s="193"/>
    </row>
    <row r="20" spans="1:21" ht="15.75" customHeight="1">
      <c r="A20" s="85"/>
      <c r="B20" s="37">
        <f>ROW()-13</f>
        <v>7</v>
      </c>
      <c r="C20" s="145" t="s">
        <v>641</v>
      </c>
      <c r="D20" s="80"/>
      <c r="E20" s="81"/>
      <c r="F20" s="146"/>
      <c r="G20" s="17"/>
      <c r="H20" s="18" t="s">
        <v>208</v>
      </c>
      <c r="I20" s="59"/>
      <c r="J20" s="19"/>
      <c r="K20" s="19"/>
      <c r="L20" s="50"/>
      <c r="M20" s="73" t="s">
        <v>21</v>
      </c>
      <c r="N20" s="54">
        <f t="shared" si="0"/>
        <v>0</v>
      </c>
      <c r="O20" s="170"/>
      <c r="P20" s="191" t="s">
        <v>642</v>
      </c>
      <c r="Q20" s="192"/>
      <c r="R20" s="192"/>
      <c r="S20" s="192"/>
      <c r="T20" s="192"/>
      <c r="U20" s="193"/>
    </row>
    <row r="21" spans="1:21" ht="15.75" customHeight="1">
      <c r="A21" s="85"/>
      <c r="B21" s="37">
        <f>ROW()-13</f>
        <v>8</v>
      </c>
      <c r="C21" s="145" t="s">
        <v>277</v>
      </c>
      <c r="D21" s="80"/>
      <c r="E21" s="81"/>
      <c r="F21" s="146" t="s">
        <v>643</v>
      </c>
      <c r="G21" s="17"/>
      <c r="H21" s="18" t="s">
        <v>51</v>
      </c>
      <c r="I21" s="59"/>
      <c r="J21" s="19">
        <v>50</v>
      </c>
      <c r="K21" s="19"/>
      <c r="L21" s="50"/>
      <c r="M21" s="73" t="s">
        <v>21</v>
      </c>
      <c r="N21" s="54">
        <f t="shared" si="0"/>
        <v>50</v>
      </c>
      <c r="O21" s="170"/>
      <c r="P21" s="191"/>
      <c r="Q21" s="192"/>
      <c r="R21" s="192"/>
      <c r="S21" s="192"/>
      <c r="T21" s="192"/>
      <c r="U21" s="193"/>
    </row>
    <row r="22" spans="1:21" ht="15.75">
      <c r="A22" s="85"/>
      <c r="B22" s="37">
        <f t="shared" ref="B22:B28" si="1">ROW()-13</f>
        <v>9</v>
      </c>
      <c r="C22" s="107" t="s">
        <v>36</v>
      </c>
      <c r="D22" s="107"/>
      <c r="E22" s="108"/>
      <c r="F22" s="109" t="s">
        <v>78</v>
      </c>
      <c r="G22" s="110"/>
      <c r="H22" s="18" t="s">
        <v>51</v>
      </c>
      <c r="I22" s="59"/>
      <c r="J22" s="113">
        <v>12</v>
      </c>
      <c r="K22" s="113"/>
      <c r="L22" s="114"/>
      <c r="M22" s="115" t="s">
        <v>35</v>
      </c>
      <c r="N22" s="116">
        <f t="shared" si="0"/>
        <v>12</v>
      </c>
      <c r="O22" s="171"/>
      <c r="P22" s="197"/>
      <c r="Q22" s="198"/>
      <c r="R22" s="198"/>
      <c r="S22" s="198"/>
      <c r="T22" s="198"/>
      <c r="U22" s="199"/>
    </row>
    <row r="23" spans="1:21" ht="15.75">
      <c r="A23" s="85"/>
      <c r="B23" s="37">
        <f t="shared" si="1"/>
        <v>10</v>
      </c>
      <c r="C23" s="107" t="s">
        <v>37</v>
      </c>
      <c r="D23" s="107"/>
      <c r="E23" s="108"/>
      <c r="F23" s="109" t="s">
        <v>43</v>
      </c>
      <c r="G23" s="110"/>
      <c r="H23" s="18" t="s">
        <v>51</v>
      </c>
      <c r="I23" s="59"/>
      <c r="J23" s="113">
        <v>10</v>
      </c>
      <c r="K23" s="113"/>
      <c r="L23" s="114"/>
      <c r="M23" s="115" t="s">
        <v>21</v>
      </c>
      <c r="N23" s="116">
        <f t="shared" si="0"/>
        <v>10</v>
      </c>
      <c r="O23" s="171"/>
      <c r="P23" s="197"/>
      <c r="Q23" s="198"/>
      <c r="R23" s="198"/>
      <c r="S23" s="198"/>
      <c r="T23" s="198"/>
      <c r="U23" s="199"/>
    </row>
    <row r="24" spans="1:21" ht="15.75">
      <c r="A24" s="85"/>
      <c r="B24" s="37">
        <f t="shared" si="1"/>
        <v>11</v>
      </c>
      <c r="C24" s="107" t="s">
        <v>38</v>
      </c>
      <c r="D24" s="107"/>
      <c r="E24" s="108"/>
      <c r="F24" s="109" t="s">
        <v>80</v>
      </c>
      <c r="G24" s="110"/>
      <c r="H24" s="18" t="s">
        <v>86</v>
      </c>
      <c r="I24" s="59"/>
      <c r="J24" s="113"/>
      <c r="K24" s="113"/>
      <c r="L24" s="114"/>
      <c r="M24" s="115" t="s">
        <v>21</v>
      </c>
      <c r="N24" s="116">
        <f t="shared" si="0"/>
        <v>0</v>
      </c>
      <c r="O24" s="171"/>
      <c r="P24" s="197"/>
      <c r="Q24" s="198"/>
      <c r="R24" s="198"/>
      <c r="S24" s="198"/>
      <c r="T24" s="198"/>
      <c r="U24" s="199"/>
    </row>
    <row r="25" spans="1:21" ht="15.75">
      <c r="A25" s="85"/>
      <c r="B25" s="37">
        <f t="shared" si="1"/>
        <v>12</v>
      </c>
      <c r="C25" s="107" t="s">
        <v>39</v>
      </c>
      <c r="D25" s="107"/>
      <c r="E25" s="108"/>
      <c r="F25" s="109" t="s">
        <v>79</v>
      </c>
      <c r="G25" s="110"/>
      <c r="H25" s="18" t="s">
        <v>51</v>
      </c>
      <c r="I25" s="59"/>
      <c r="J25" s="113">
        <v>12</v>
      </c>
      <c r="K25" s="113"/>
      <c r="L25" s="114"/>
      <c r="M25" s="115" t="s">
        <v>35</v>
      </c>
      <c r="N25" s="116">
        <f t="shared" si="0"/>
        <v>12</v>
      </c>
      <c r="O25" s="171"/>
      <c r="P25" s="197"/>
      <c r="Q25" s="198"/>
      <c r="R25" s="198"/>
      <c r="S25" s="198"/>
      <c r="T25" s="198"/>
      <c r="U25" s="199"/>
    </row>
    <row r="26" spans="1:21" ht="15.75">
      <c r="A26" s="85"/>
      <c r="B26" s="37">
        <f t="shared" si="1"/>
        <v>13</v>
      </c>
      <c r="C26" s="107" t="s">
        <v>40</v>
      </c>
      <c r="D26" s="107"/>
      <c r="E26" s="108"/>
      <c r="F26" s="109" t="s">
        <v>44</v>
      </c>
      <c r="G26" s="110"/>
      <c r="H26" s="18" t="s">
        <v>51</v>
      </c>
      <c r="I26" s="59"/>
      <c r="J26" s="113">
        <v>10</v>
      </c>
      <c r="K26" s="113"/>
      <c r="L26" s="114"/>
      <c r="M26" s="115" t="s">
        <v>21</v>
      </c>
      <c r="N26" s="116">
        <f t="shared" si="0"/>
        <v>10</v>
      </c>
      <c r="O26" s="171"/>
      <c r="P26" s="197"/>
      <c r="Q26" s="198"/>
      <c r="R26" s="198"/>
      <c r="S26" s="198"/>
      <c r="T26" s="198"/>
      <c r="U26" s="199"/>
    </row>
    <row r="27" spans="1:21" ht="15.75">
      <c r="A27" s="85"/>
      <c r="B27" s="37">
        <f t="shared" si="1"/>
        <v>14</v>
      </c>
      <c r="C27" s="107" t="s">
        <v>41</v>
      </c>
      <c r="D27" s="107"/>
      <c r="E27" s="108"/>
      <c r="F27" s="109" t="s">
        <v>81</v>
      </c>
      <c r="G27" s="110"/>
      <c r="H27" s="18" t="s">
        <v>86</v>
      </c>
      <c r="I27" s="59"/>
      <c r="J27" s="113"/>
      <c r="K27" s="113"/>
      <c r="L27" s="114"/>
      <c r="M27" s="115" t="s">
        <v>21</v>
      </c>
      <c r="N27" s="116">
        <f t="shared" si="0"/>
        <v>0</v>
      </c>
      <c r="O27" s="171"/>
      <c r="P27" s="197"/>
      <c r="Q27" s="198"/>
      <c r="R27" s="198"/>
      <c r="S27" s="198"/>
      <c r="T27" s="198"/>
      <c r="U27" s="199"/>
    </row>
    <row r="28" spans="1:21" ht="15.75">
      <c r="A28" s="85"/>
      <c r="B28" s="37">
        <f t="shared" si="1"/>
        <v>15</v>
      </c>
      <c r="C28" s="80" t="s">
        <v>46</v>
      </c>
      <c r="D28" s="80"/>
      <c r="E28" s="81"/>
      <c r="F28" s="84" t="s">
        <v>71</v>
      </c>
      <c r="G28" s="17"/>
      <c r="H28" s="18" t="s">
        <v>62</v>
      </c>
      <c r="I28" s="59"/>
      <c r="J28" s="19">
        <v>8</v>
      </c>
      <c r="K28" s="19"/>
      <c r="L28" s="50" t="s">
        <v>47</v>
      </c>
      <c r="M28" s="73" t="s">
        <v>35</v>
      </c>
      <c r="N28" s="54">
        <f t="shared" si="0"/>
        <v>8</v>
      </c>
      <c r="O28" s="170">
        <v>0</v>
      </c>
      <c r="P28" s="191" t="s">
        <v>48</v>
      </c>
      <c r="Q28" s="192"/>
      <c r="R28" s="192"/>
      <c r="S28" s="192"/>
      <c r="T28" s="192"/>
      <c r="U28" s="193"/>
    </row>
    <row r="29" spans="1:21" ht="16.5" thickBot="1">
      <c r="A29" s="118"/>
      <c r="B29" s="119"/>
      <c r="C29" s="120"/>
      <c r="D29" s="120"/>
      <c r="E29" s="121"/>
      <c r="F29" s="129"/>
      <c r="G29" s="122"/>
      <c r="H29" s="147"/>
      <c r="I29" s="148"/>
      <c r="J29" s="125"/>
      <c r="K29" s="125"/>
      <c r="L29" s="126"/>
      <c r="M29" s="126"/>
      <c r="N29" s="127"/>
      <c r="O29" s="172"/>
      <c r="P29" s="194"/>
      <c r="Q29" s="195"/>
      <c r="R29" s="195"/>
      <c r="S29" s="195"/>
      <c r="T29" s="195"/>
      <c r="U29" s="196"/>
    </row>
  </sheetData>
  <mergeCells count="46">
    <mergeCell ref="P28:U28"/>
    <mergeCell ref="P29:U29"/>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812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813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813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813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813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813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96D07FED-F275-4887-99E8-06B77AE9F010}">
            <xm:f>(AND(H14&lt;&gt;"",ISERROR(VLOOKUP(H14,system!$E:$E,1,FALSE))))</xm:f>
            <x14:dxf>
              <fill>
                <patternFill patternType="solid">
                  <bgColor rgb="FFFF0000"/>
                </patternFill>
              </fill>
            </x14:dxf>
          </x14:cfRule>
          <xm:sqref>H14:H21</xm:sqref>
        </x14:conditionalFormatting>
        <x14:conditionalFormatting xmlns:xm="http://schemas.microsoft.com/office/excel/2006/main">
          <x14:cfRule type="expression" priority="3" id="{64BAC5CB-2ACD-44AB-875A-BF11D2896CDD}">
            <xm:f>(AND(H14&lt;&gt;"",ISERROR(VLOOKUP(H14,system!$E:$E,1,FALSE))))</xm:f>
            <x14:dxf>
              <fill>
                <patternFill>
                  <bgColor rgb="FFFF0000"/>
                </patternFill>
              </fill>
            </x14:dxf>
          </x14:cfRule>
          <xm:sqref>I14:I21</xm:sqref>
        </x14:conditionalFormatting>
        <x14:conditionalFormatting xmlns:xm="http://schemas.microsoft.com/office/excel/2006/main">
          <x14:cfRule type="expression" priority="2" id="{C40590E5-36A7-445E-805E-0680FE932148}">
            <xm:f>(AND(H22&lt;&gt;"",ISERROR(VLOOKUP(H22,system!$E:$E,1,FALSE))))</xm:f>
            <x14:dxf>
              <fill>
                <patternFill patternType="solid">
                  <bgColor rgb="FFFF0000"/>
                </patternFill>
              </fill>
            </x14:dxf>
          </x14:cfRule>
          <xm:sqref>H22:H29</xm:sqref>
        </x14:conditionalFormatting>
        <x14:conditionalFormatting xmlns:xm="http://schemas.microsoft.com/office/excel/2006/main">
          <x14:cfRule type="expression" priority="1" id="{6EB5F956-36FA-4627-99AF-AE48B6B42F54}">
            <xm:f>(AND(H22&lt;&gt;"",ISERROR(VLOOKUP(H22,system!$E:$E,1,FALSE))))</xm:f>
            <x14:dxf>
              <fill>
                <patternFill>
                  <bgColor rgb="FFFF0000"/>
                </patternFill>
              </fill>
            </x14:dxf>
          </x14:cfRule>
          <xm:sqref>I22:I29</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A1:U2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645</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163</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SUM(N14:N26)</f>
        <v>124</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370</v>
      </c>
      <c r="D14" s="80"/>
      <c r="E14" s="81"/>
      <c r="F14" s="146"/>
      <c r="G14" s="17"/>
      <c r="H14" s="18" t="s">
        <v>51</v>
      </c>
      <c r="I14" s="59"/>
      <c r="J14" s="19">
        <v>2</v>
      </c>
      <c r="K14" s="19"/>
      <c r="L14" s="50" t="s">
        <v>190</v>
      </c>
      <c r="M14" s="73" t="s">
        <v>21</v>
      </c>
      <c r="N14" s="54">
        <f t="shared" ref="N14:N24" si="0">IF(H14="NUMBER",IF(J14&gt;0,INT((J14+1)/2+0.9),0),IF(H14="DATE",7,IF(OR(H14="LONG",H14="LONG RAW"),100000,J14)))</f>
        <v>2</v>
      </c>
      <c r="O14" s="170"/>
      <c r="P14" s="191" t="s">
        <v>155</v>
      </c>
      <c r="Q14" s="192"/>
      <c r="R14" s="192"/>
      <c r="S14" s="192"/>
      <c r="T14" s="192"/>
      <c r="U14" s="193"/>
    </row>
    <row r="15" spans="1:21" ht="15.75" customHeight="1">
      <c r="A15" s="85" t="s">
        <v>191</v>
      </c>
      <c r="B15" s="37">
        <f>ROW()-13</f>
        <v>2</v>
      </c>
      <c r="C15" s="145" t="s">
        <v>329</v>
      </c>
      <c r="D15" s="80"/>
      <c r="E15" s="81"/>
      <c r="F15" s="146"/>
      <c r="G15" s="17"/>
      <c r="H15" s="18" t="s">
        <v>51</v>
      </c>
      <c r="I15" s="59"/>
      <c r="J15" s="19">
        <v>10</v>
      </c>
      <c r="K15" s="19"/>
      <c r="L15" s="50" t="s">
        <v>190</v>
      </c>
      <c r="M15" s="73" t="s">
        <v>21</v>
      </c>
      <c r="N15" s="54">
        <f t="shared" si="0"/>
        <v>10</v>
      </c>
      <c r="O15" s="170"/>
      <c r="P15" s="191" t="s">
        <v>619</v>
      </c>
      <c r="Q15" s="192"/>
      <c r="R15" s="192"/>
      <c r="S15" s="192"/>
      <c r="T15" s="192"/>
      <c r="U15" s="193"/>
    </row>
    <row r="16" spans="1:21" ht="27.6" customHeight="1">
      <c r="A16" s="85" t="s">
        <v>191</v>
      </c>
      <c r="B16" s="37">
        <f>ROW()-13</f>
        <v>3</v>
      </c>
      <c r="C16" s="145" t="s">
        <v>646</v>
      </c>
      <c r="D16" s="80"/>
      <c r="E16" s="81"/>
      <c r="F16" s="146"/>
      <c r="G16" s="17"/>
      <c r="H16" s="18" t="s">
        <v>51</v>
      </c>
      <c r="I16" s="59"/>
      <c r="J16" s="19">
        <v>10</v>
      </c>
      <c r="K16" s="19"/>
      <c r="L16" s="50" t="s">
        <v>190</v>
      </c>
      <c r="M16" s="73" t="s">
        <v>21</v>
      </c>
      <c r="N16" s="54">
        <f t="shared" si="0"/>
        <v>10</v>
      </c>
      <c r="O16" s="170"/>
      <c r="P16" s="251" t="s">
        <v>647</v>
      </c>
      <c r="Q16" s="192"/>
      <c r="R16" s="192"/>
      <c r="S16" s="192"/>
      <c r="T16" s="192"/>
      <c r="U16" s="193"/>
    </row>
    <row r="17" spans="1:21" ht="15.75" customHeight="1">
      <c r="A17" s="85"/>
      <c r="B17" s="37">
        <f>ROW()-13</f>
        <v>4</v>
      </c>
      <c r="C17" s="145" t="s">
        <v>277</v>
      </c>
      <c r="D17" s="80"/>
      <c r="E17" s="81"/>
      <c r="F17" s="146" t="s">
        <v>643</v>
      </c>
      <c r="G17" s="17"/>
      <c r="H17" s="18" t="s">
        <v>51</v>
      </c>
      <c r="I17" s="59"/>
      <c r="J17" s="19">
        <v>50</v>
      </c>
      <c r="K17" s="19"/>
      <c r="L17" s="50"/>
      <c r="M17" s="73" t="s">
        <v>21</v>
      </c>
      <c r="N17" s="54">
        <f t="shared" si="0"/>
        <v>50</v>
      </c>
      <c r="O17" s="170"/>
      <c r="P17" s="191"/>
      <c r="Q17" s="192"/>
      <c r="R17" s="192"/>
      <c r="S17" s="192"/>
      <c r="T17" s="192"/>
      <c r="U17" s="193"/>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71"/>
      <c r="P18" s="197"/>
      <c r="Q18" s="198"/>
      <c r="R18" s="198"/>
      <c r="S18" s="198"/>
      <c r="T18" s="198"/>
      <c r="U18" s="199"/>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71"/>
      <c r="P19" s="197"/>
      <c r="Q19" s="198"/>
      <c r="R19" s="198"/>
      <c r="S19" s="198"/>
      <c r="T19" s="198"/>
      <c r="U19" s="199"/>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71"/>
      <c r="P20" s="197"/>
      <c r="Q20" s="198"/>
      <c r="R20" s="198"/>
      <c r="S20" s="198"/>
      <c r="T20" s="198"/>
      <c r="U20" s="199"/>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71"/>
      <c r="P21" s="197"/>
      <c r="Q21" s="198"/>
      <c r="R21" s="198"/>
      <c r="S21" s="198"/>
      <c r="T21" s="198"/>
      <c r="U21" s="199"/>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71"/>
      <c r="P22" s="197"/>
      <c r="Q22" s="198"/>
      <c r="R22" s="198"/>
      <c r="S22" s="198"/>
      <c r="T22" s="198"/>
      <c r="U22" s="199"/>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71"/>
      <c r="P23" s="197"/>
      <c r="Q23" s="198"/>
      <c r="R23" s="198"/>
      <c r="S23" s="198"/>
      <c r="T23" s="198"/>
      <c r="U23" s="199"/>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70">
        <v>0</v>
      </c>
      <c r="P24" s="191" t="s">
        <v>48</v>
      </c>
      <c r="Q24" s="192"/>
      <c r="R24" s="192"/>
      <c r="S24" s="192"/>
      <c r="T24" s="192"/>
      <c r="U24" s="193"/>
    </row>
    <row r="25" spans="1:21" ht="16.5" thickBot="1">
      <c r="A25" s="118"/>
      <c r="B25" s="119"/>
      <c r="C25" s="120"/>
      <c r="D25" s="120"/>
      <c r="E25" s="121"/>
      <c r="F25" s="129"/>
      <c r="G25" s="122"/>
      <c r="H25" s="147"/>
      <c r="I25" s="148"/>
      <c r="J25" s="125"/>
      <c r="K25" s="125"/>
      <c r="L25" s="126"/>
      <c r="M25" s="126"/>
      <c r="N25" s="127"/>
      <c r="O25" s="172"/>
      <c r="P25" s="194"/>
      <c r="Q25" s="195"/>
      <c r="R25" s="195"/>
      <c r="S25" s="195"/>
      <c r="T25" s="195"/>
      <c r="U25" s="196"/>
    </row>
  </sheetData>
  <mergeCells count="42">
    <mergeCell ref="P22:U22"/>
    <mergeCell ref="P23:U23"/>
    <mergeCell ref="P24:U24"/>
    <mergeCell ref="P25:U25"/>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915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915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915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915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915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A7163244-464F-49A8-B805-525F2D9B36B6}">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9C969513-50E1-4FF4-88EC-12DFEBA9F1B9}">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BB9734F8-0044-4D44-B9FB-4C9CC0FF1D30}">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A7F28E5B-2DED-4BA4-8FB4-BAD03FA60AB6}">
            <xm:f>(AND(H18&lt;&gt;"",ISERROR(VLOOKUP(H18,system!$E:$E,1,FALSE))))</xm:f>
            <x14:dxf>
              <fill>
                <patternFill>
                  <bgColor rgb="FFFF0000"/>
                </patternFill>
              </fill>
            </x14:dxf>
          </x14:cfRule>
          <xm:sqref>I18:I25</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A1:U31"/>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649</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165</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SUM(N14:N32)</f>
        <v>124</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370</v>
      </c>
      <c r="D14" s="80"/>
      <c r="E14" s="81"/>
      <c r="F14" s="146"/>
      <c r="G14" s="17"/>
      <c r="H14" s="18" t="s">
        <v>49</v>
      </c>
      <c r="I14" s="59"/>
      <c r="J14" s="19">
        <v>2</v>
      </c>
      <c r="K14" s="19"/>
      <c r="L14" s="50" t="s">
        <v>190</v>
      </c>
      <c r="M14" s="73" t="s">
        <v>21</v>
      </c>
      <c r="N14" s="54">
        <f t="shared" ref="N14:N30" si="0">IF(H14="NUMBER",IF(J14&gt;0,INT((J14+1)/2+0.9),0),IF(H14="DATE",7,IF(OR(H14="LONG",H14="LONG RAW"),100000,J14)))</f>
        <v>2</v>
      </c>
      <c r="O14" s="170"/>
      <c r="P14" s="191" t="s">
        <v>650</v>
      </c>
      <c r="Q14" s="192"/>
      <c r="R14" s="192"/>
      <c r="S14" s="192"/>
      <c r="T14" s="192"/>
      <c r="U14" s="193"/>
    </row>
    <row r="15" spans="1:21" ht="15.75" customHeight="1">
      <c r="A15" s="85" t="s">
        <v>191</v>
      </c>
      <c r="B15" s="37">
        <f>ROW()-13</f>
        <v>2</v>
      </c>
      <c r="C15" s="145" t="s">
        <v>334</v>
      </c>
      <c r="D15" s="80"/>
      <c r="E15" s="81"/>
      <c r="F15" s="146"/>
      <c r="G15" s="17"/>
      <c r="H15" s="18" t="s">
        <v>49</v>
      </c>
      <c r="I15" s="59"/>
      <c r="J15" s="19">
        <v>2</v>
      </c>
      <c r="K15" s="19"/>
      <c r="L15" s="50" t="s">
        <v>190</v>
      </c>
      <c r="M15" s="73" t="s">
        <v>21</v>
      </c>
      <c r="N15" s="54">
        <f t="shared" si="0"/>
        <v>2</v>
      </c>
      <c r="O15" s="170"/>
      <c r="P15" s="191"/>
      <c r="Q15" s="192"/>
      <c r="R15" s="192"/>
      <c r="S15" s="192"/>
      <c r="T15" s="192"/>
      <c r="U15" s="193"/>
    </row>
    <row r="16" spans="1:21" ht="62.85" customHeight="1">
      <c r="A16" s="85" t="s">
        <v>191</v>
      </c>
      <c r="B16" s="37">
        <f>ROW()-13</f>
        <v>3</v>
      </c>
      <c r="C16" s="145" t="s">
        <v>651</v>
      </c>
      <c r="D16" s="80"/>
      <c r="E16" s="81"/>
      <c r="F16" s="146"/>
      <c r="G16" s="17"/>
      <c r="H16" s="18" t="s">
        <v>49</v>
      </c>
      <c r="I16" s="59"/>
      <c r="J16" s="19">
        <v>1</v>
      </c>
      <c r="K16" s="19"/>
      <c r="L16" s="50"/>
      <c r="M16" s="73" t="s">
        <v>21</v>
      </c>
      <c r="N16" s="54">
        <f t="shared" si="0"/>
        <v>1</v>
      </c>
      <c r="O16" s="170"/>
      <c r="P16" s="251" t="s">
        <v>652</v>
      </c>
      <c r="Q16" s="192"/>
      <c r="R16" s="192"/>
      <c r="S16" s="192"/>
      <c r="T16" s="192"/>
      <c r="U16" s="193"/>
    </row>
    <row r="17" spans="1:21" ht="15.75" customHeight="1">
      <c r="A17" s="85"/>
      <c r="B17" s="37">
        <f>ROW()-13</f>
        <v>4</v>
      </c>
      <c r="C17" s="145" t="s">
        <v>653</v>
      </c>
      <c r="D17" s="80"/>
      <c r="E17" s="81"/>
      <c r="F17" s="146"/>
      <c r="G17" s="17"/>
      <c r="H17" s="18" t="s">
        <v>51</v>
      </c>
      <c r="I17" s="59"/>
      <c r="J17" s="19">
        <v>14</v>
      </c>
      <c r="K17" s="19"/>
      <c r="L17" s="50" t="s">
        <v>190</v>
      </c>
      <c r="M17" s="73" t="s">
        <v>21</v>
      </c>
      <c r="N17" s="54">
        <f t="shared" si="0"/>
        <v>14</v>
      </c>
      <c r="O17" s="170"/>
      <c r="P17" s="191"/>
      <c r="Q17" s="192"/>
      <c r="R17" s="192"/>
      <c r="S17" s="192"/>
      <c r="T17" s="192"/>
      <c r="U17" s="193"/>
    </row>
    <row r="18" spans="1:21" ht="51" customHeight="1">
      <c r="A18" s="85"/>
      <c r="B18" s="37">
        <f>ROW()-13</f>
        <v>5</v>
      </c>
      <c r="C18" s="145" t="s">
        <v>654</v>
      </c>
      <c r="D18" s="80"/>
      <c r="E18" s="81"/>
      <c r="F18" s="146"/>
      <c r="G18" s="17"/>
      <c r="H18" s="18" t="s">
        <v>49</v>
      </c>
      <c r="I18" s="59"/>
      <c r="J18" s="19">
        <v>1</v>
      </c>
      <c r="K18" s="19"/>
      <c r="L18" s="50"/>
      <c r="M18" s="73" t="s">
        <v>21</v>
      </c>
      <c r="N18" s="54">
        <f t="shared" si="0"/>
        <v>1</v>
      </c>
      <c r="O18" s="170"/>
      <c r="P18" s="251" t="s">
        <v>655</v>
      </c>
      <c r="Q18" s="192"/>
      <c r="R18" s="192"/>
      <c r="S18" s="192"/>
      <c r="T18" s="192"/>
      <c r="U18" s="193"/>
    </row>
    <row r="19" spans="1:21" ht="27.6" customHeight="1">
      <c r="A19" s="85"/>
      <c r="B19" s="37">
        <f>ROW()-13</f>
        <v>6</v>
      </c>
      <c r="C19" s="145" t="s">
        <v>656</v>
      </c>
      <c r="D19" s="80"/>
      <c r="E19" s="81"/>
      <c r="F19" s="146"/>
      <c r="G19" s="17"/>
      <c r="H19" s="18" t="s">
        <v>49</v>
      </c>
      <c r="I19" s="59"/>
      <c r="J19" s="19">
        <v>1</v>
      </c>
      <c r="K19" s="19"/>
      <c r="L19" s="50"/>
      <c r="M19" s="73" t="s">
        <v>21</v>
      </c>
      <c r="N19" s="54">
        <f t="shared" si="0"/>
        <v>1</v>
      </c>
      <c r="O19" s="252" t="s">
        <v>462</v>
      </c>
      <c r="P19" s="251" t="s">
        <v>657</v>
      </c>
      <c r="Q19" s="192"/>
      <c r="R19" s="192"/>
      <c r="S19" s="192"/>
      <c r="T19" s="192"/>
      <c r="U19" s="193"/>
    </row>
    <row r="20" spans="1:21" ht="15.75" customHeight="1">
      <c r="A20" s="85"/>
      <c r="B20" s="37">
        <f>ROW()-13</f>
        <v>7</v>
      </c>
      <c r="C20" s="145" t="s">
        <v>592</v>
      </c>
      <c r="D20" s="80"/>
      <c r="E20" s="81"/>
      <c r="F20" s="146"/>
      <c r="G20" s="17"/>
      <c r="H20" s="18" t="s">
        <v>208</v>
      </c>
      <c r="I20" s="59"/>
      <c r="J20" s="19"/>
      <c r="K20" s="19"/>
      <c r="L20" s="50"/>
      <c r="M20" s="73" t="s">
        <v>21</v>
      </c>
      <c r="N20" s="54">
        <f t="shared" si="0"/>
        <v>0</v>
      </c>
      <c r="O20" s="170"/>
      <c r="P20" s="191"/>
      <c r="Q20" s="192"/>
      <c r="R20" s="192"/>
      <c r="S20" s="192"/>
      <c r="T20" s="192"/>
      <c r="U20" s="193"/>
    </row>
    <row r="21" spans="1:21" ht="27.6" customHeight="1">
      <c r="A21" s="85"/>
      <c r="B21" s="37">
        <f>ROW()-13</f>
        <v>8</v>
      </c>
      <c r="C21" s="145" t="s">
        <v>658</v>
      </c>
      <c r="D21" s="80"/>
      <c r="E21" s="81"/>
      <c r="F21" s="146"/>
      <c r="G21" s="17"/>
      <c r="H21" s="18" t="s">
        <v>49</v>
      </c>
      <c r="I21" s="59"/>
      <c r="J21" s="19">
        <v>1</v>
      </c>
      <c r="K21" s="19"/>
      <c r="L21" s="50"/>
      <c r="M21" s="73" t="s">
        <v>21</v>
      </c>
      <c r="N21" s="54">
        <f t="shared" si="0"/>
        <v>1</v>
      </c>
      <c r="O21" s="170"/>
      <c r="P21" s="251" t="s">
        <v>657</v>
      </c>
      <c r="Q21" s="192"/>
      <c r="R21" s="192"/>
      <c r="S21" s="192"/>
      <c r="T21" s="192"/>
      <c r="U21" s="193"/>
    </row>
    <row r="22" spans="1:21" ht="15.75" customHeight="1">
      <c r="A22" s="85"/>
      <c r="B22" s="37">
        <f>ROW()-13</f>
        <v>9</v>
      </c>
      <c r="C22" s="145" t="s">
        <v>659</v>
      </c>
      <c r="D22" s="80"/>
      <c r="E22" s="81"/>
      <c r="F22" s="146"/>
      <c r="G22" s="17"/>
      <c r="H22" s="18" t="s">
        <v>208</v>
      </c>
      <c r="I22" s="59"/>
      <c r="J22" s="19"/>
      <c r="K22" s="19"/>
      <c r="L22" s="50"/>
      <c r="M22" s="73" t="s">
        <v>21</v>
      </c>
      <c r="N22" s="54">
        <f t="shared" si="0"/>
        <v>0</v>
      </c>
      <c r="O22" s="170"/>
      <c r="P22" s="191"/>
      <c r="Q22" s="192"/>
      <c r="R22" s="192"/>
      <c r="S22" s="192"/>
      <c r="T22" s="192"/>
      <c r="U22" s="193"/>
    </row>
    <row r="23" spans="1:21" ht="15.75" customHeight="1">
      <c r="A23" s="85"/>
      <c r="B23" s="37">
        <f>ROW()-13</f>
        <v>10</v>
      </c>
      <c r="C23" s="145" t="s">
        <v>277</v>
      </c>
      <c r="D23" s="80"/>
      <c r="E23" s="81"/>
      <c r="F23" s="146" t="s">
        <v>643</v>
      </c>
      <c r="G23" s="17"/>
      <c r="H23" s="18" t="s">
        <v>51</v>
      </c>
      <c r="I23" s="59"/>
      <c r="J23" s="19">
        <v>50</v>
      </c>
      <c r="K23" s="19"/>
      <c r="L23" s="50"/>
      <c r="M23" s="73" t="s">
        <v>21</v>
      </c>
      <c r="N23" s="54">
        <f t="shared" si="0"/>
        <v>50</v>
      </c>
      <c r="O23" s="170"/>
      <c r="P23" s="191"/>
      <c r="Q23" s="192"/>
      <c r="R23" s="192"/>
      <c r="S23" s="192"/>
      <c r="T23" s="192"/>
      <c r="U23" s="193"/>
    </row>
    <row r="24" spans="1:21" ht="15.75">
      <c r="A24" s="85"/>
      <c r="B24" s="37">
        <f t="shared" ref="B24:B30" si="1">ROW()-13</f>
        <v>11</v>
      </c>
      <c r="C24" s="107" t="s">
        <v>36</v>
      </c>
      <c r="D24" s="107"/>
      <c r="E24" s="108"/>
      <c r="F24" s="109" t="s">
        <v>78</v>
      </c>
      <c r="G24" s="110"/>
      <c r="H24" s="18" t="s">
        <v>51</v>
      </c>
      <c r="I24" s="59"/>
      <c r="J24" s="113">
        <v>12</v>
      </c>
      <c r="K24" s="113"/>
      <c r="L24" s="114"/>
      <c r="M24" s="115" t="s">
        <v>35</v>
      </c>
      <c r="N24" s="116">
        <f t="shared" si="0"/>
        <v>12</v>
      </c>
      <c r="O24" s="171"/>
      <c r="P24" s="197"/>
      <c r="Q24" s="198"/>
      <c r="R24" s="198"/>
      <c r="S24" s="198"/>
      <c r="T24" s="198"/>
      <c r="U24" s="199"/>
    </row>
    <row r="25" spans="1:21" ht="15.75">
      <c r="A25" s="85"/>
      <c r="B25" s="37">
        <f t="shared" si="1"/>
        <v>12</v>
      </c>
      <c r="C25" s="107" t="s">
        <v>37</v>
      </c>
      <c r="D25" s="107"/>
      <c r="E25" s="108"/>
      <c r="F25" s="109" t="s">
        <v>43</v>
      </c>
      <c r="G25" s="110"/>
      <c r="H25" s="18" t="s">
        <v>51</v>
      </c>
      <c r="I25" s="59"/>
      <c r="J25" s="113">
        <v>10</v>
      </c>
      <c r="K25" s="113"/>
      <c r="L25" s="114"/>
      <c r="M25" s="115" t="s">
        <v>21</v>
      </c>
      <c r="N25" s="116">
        <f t="shared" si="0"/>
        <v>10</v>
      </c>
      <c r="O25" s="171"/>
      <c r="P25" s="197"/>
      <c r="Q25" s="198"/>
      <c r="R25" s="198"/>
      <c r="S25" s="198"/>
      <c r="T25" s="198"/>
      <c r="U25" s="199"/>
    </row>
    <row r="26" spans="1:21" ht="15.75">
      <c r="A26" s="85"/>
      <c r="B26" s="37">
        <f t="shared" si="1"/>
        <v>13</v>
      </c>
      <c r="C26" s="107" t="s">
        <v>38</v>
      </c>
      <c r="D26" s="107"/>
      <c r="E26" s="108"/>
      <c r="F26" s="109" t="s">
        <v>80</v>
      </c>
      <c r="G26" s="110"/>
      <c r="H26" s="18" t="s">
        <v>86</v>
      </c>
      <c r="I26" s="59"/>
      <c r="J26" s="113"/>
      <c r="K26" s="113"/>
      <c r="L26" s="114"/>
      <c r="M26" s="115" t="s">
        <v>21</v>
      </c>
      <c r="N26" s="116">
        <f t="shared" si="0"/>
        <v>0</v>
      </c>
      <c r="O26" s="171"/>
      <c r="P26" s="197"/>
      <c r="Q26" s="198"/>
      <c r="R26" s="198"/>
      <c r="S26" s="198"/>
      <c r="T26" s="198"/>
      <c r="U26" s="199"/>
    </row>
    <row r="27" spans="1:21" ht="15.75">
      <c r="A27" s="85"/>
      <c r="B27" s="37">
        <f t="shared" si="1"/>
        <v>14</v>
      </c>
      <c r="C27" s="107" t="s">
        <v>39</v>
      </c>
      <c r="D27" s="107"/>
      <c r="E27" s="108"/>
      <c r="F27" s="109" t="s">
        <v>79</v>
      </c>
      <c r="G27" s="110"/>
      <c r="H27" s="18" t="s">
        <v>51</v>
      </c>
      <c r="I27" s="59"/>
      <c r="J27" s="113">
        <v>12</v>
      </c>
      <c r="K27" s="113"/>
      <c r="L27" s="114"/>
      <c r="M27" s="115" t="s">
        <v>35</v>
      </c>
      <c r="N27" s="116">
        <f t="shared" si="0"/>
        <v>12</v>
      </c>
      <c r="O27" s="171"/>
      <c r="P27" s="197"/>
      <c r="Q27" s="198"/>
      <c r="R27" s="198"/>
      <c r="S27" s="198"/>
      <c r="T27" s="198"/>
      <c r="U27" s="199"/>
    </row>
    <row r="28" spans="1:21" ht="15.75">
      <c r="A28" s="85"/>
      <c r="B28" s="37">
        <f t="shared" si="1"/>
        <v>15</v>
      </c>
      <c r="C28" s="107" t="s">
        <v>40</v>
      </c>
      <c r="D28" s="107"/>
      <c r="E28" s="108"/>
      <c r="F28" s="109" t="s">
        <v>44</v>
      </c>
      <c r="G28" s="110"/>
      <c r="H28" s="18" t="s">
        <v>51</v>
      </c>
      <c r="I28" s="59"/>
      <c r="J28" s="113">
        <v>10</v>
      </c>
      <c r="K28" s="113"/>
      <c r="L28" s="114"/>
      <c r="M28" s="115" t="s">
        <v>21</v>
      </c>
      <c r="N28" s="116">
        <f t="shared" si="0"/>
        <v>10</v>
      </c>
      <c r="O28" s="171"/>
      <c r="P28" s="197"/>
      <c r="Q28" s="198"/>
      <c r="R28" s="198"/>
      <c r="S28" s="198"/>
      <c r="T28" s="198"/>
      <c r="U28" s="199"/>
    </row>
    <row r="29" spans="1:21" ht="15.75">
      <c r="A29" s="85"/>
      <c r="B29" s="37">
        <f t="shared" si="1"/>
        <v>16</v>
      </c>
      <c r="C29" s="107" t="s">
        <v>41</v>
      </c>
      <c r="D29" s="107"/>
      <c r="E29" s="108"/>
      <c r="F29" s="109" t="s">
        <v>81</v>
      </c>
      <c r="G29" s="110"/>
      <c r="H29" s="18" t="s">
        <v>86</v>
      </c>
      <c r="I29" s="59"/>
      <c r="J29" s="113"/>
      <c r="K29" s="113"/>
      <c r="L29" s="114"/>
      <c r="M29" s="115" t="s">
        <v>21</v>
      </c>
      <c r="N29" s="116">
        <f t="shared" si="0"/>
        <v>0</v>
      </c>
      <c r="O29" s="171"/>
      <c r="P29" s="197"/>
      <c r="Q29" s="198"/>
      <c r="R29" s="198"/>
      <c r="S29" s="198"/>
      <c r="T29" s="198"/>
      <c r="U29" s="199"/>
    </row>
    <row r="30" spans="1:21" ht="15.75">
      <c r="A30" s="85"/>
      <c r="B30" s="37">
        <f t="shared" si="1"/>
        <v>17</v>
      </c>
      <c r="C30" s="80" t="s">
        <v>46</v>
      </c>
      <c r="D30" s="80"/>
      <c r="E30" s="81"/>
      <c r="F30" s="84" t="s">
        <v>71</v>
      </c>
      <c r="G30" s="17"/>
      <c r="H30" s="18" t="s">
        <v>62</v>
      </c>
      <c r="I30" s="59"/>
      <c r="J30" s="19">
        <v>8</v>
      </c>
      <c r="K30" s="19"/>
      <c r="L30" s="50" t="s">
        <v>47</v>
      </c>
      <c r="M30" s="73" t="s">
        <v>35</v>
      </c>
      <c r="N30" s="54">
        <f t="shared" si="0"/>
        <v>8</v>
      </c>
      <c r="O30" s="170">
        <v>0</v>
      </c>
      <c r="P30" s="191" t="s">
        <v>48</v>
      </c>
      <c r="Q30" s="192"/>
      <c r="R30" s="192"/>
      <c r="S30" s="192"/>
      <c r="T30" s="192"/>
      <c r="U30" s="193"/>
    </row>
    <row r="31" spans="1:21" ht="16.5" thickBot="1">
      <c r="A31" s="118"/>
      <c r="B31" s="119"/>
      <c r="C31" s="120"/>
      <c r="D31" s="120"/>
      <c r="E31" s="121"/>
      <c r="F31" s="129"/>
      <c r="G31" s="122"/>
      <c r="H31" s="147"/>
      <c r="I31" s="148"/>
      <c r="J31" s="125"/>
      <c r="K31" s="125"/>
      <c r="L31" s="126"/>
      <c r="M31" s="126"/>
      <c r="N31" s="127"/>
      <c r="O31" s="172"/>
      <c r="P31" s="194"/>
      <c r="Q31" s="195"/>
      <c r="R31" s="195"/>
      <c r="S31" s="195"/>
      <c r="T31" s="195"/>
      <c r="U31" s="196"/>
    </row>
  </sheetData>
  <mergeCells count="48">
    <mergeCell ref="P28:U28"/>
    <mergeCell ref="P29:U29"/>
    <mergeCell ref="P30:U30"/>
    <mergeCell ref="P31:U31"/>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017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017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018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018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018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9797357B-ED8E-475F-A2E2-609E340590F3}">
            <xm:f>(AND(H14&lt;&gt;"",ISERROR(VLOOKUP(H14,system!$E:$E,1,FALSE))))</xm:f>
            <x14:dxf>
              <fill>
                <patternFill patternType="solid">
                  <bgColor rgb="FFFF0000"/>
                </patternFill>
              </fill>
            </x14:dxf>
          </x14:cfRule>
          <xm:sqref>H14:H23</xm:sqref>
        </x14:conditionalFormatting>
        <x14:conditionalFormatting xmlns:xm="http://schemas.microsoft.com/office/excel/2006/main">
          <x14:cfRule type="expression" priority="3" id="{67B2E7BD-0214-4870-AA07-F69F8B844B0B}">
            <xm:f>(AND(H14&lt;&gt;"",ISERROR(VLOOKUP(H14,system!$E:$E,1,FALSE))))</xm:f>
            <x14:dxf>
              <fill>
                <patternFill>
                  <bgColor rgb="FFFF0000"/>
                </patternFill>
              </fill>
            </x14:dxf>
          </x14:cfRule>
          <xm:sqref>I14:I23</xm:sqref>
        </x14:conditionalFormatting>
        <x14:conditionalFormatting xmlns:xm="http://schemas.microsoft.com/office/excel/2006/main">
          <x14:cfRule type="expression" priority="2" id="{D0412DBA-8BC9-475D-874D-0E49AED6077A}">
            <xm:f>(AND(H24&lt;&gt;"",ISERROR(VLOOKUP(H24,system!$E:$E,1,FALSE))))</xm:f>
            <x14:dxf>
              <fill>
                <patternFill patternType="solid">
                  <bgColor rgb="FFFF0000"/>
                </patternFill>
              </fill>
            </x14:dxf>
          </x14:cfRule>
          <xm:sqref>H24:H31</xm:sqref>
        </x14:conditionalFormatting>
        <x14:conditionalFormatting xmlns:xm="http://schemas.microsoft.com/office/excel/2006/main">
          <x14:cfRule type="expression" priority="1" id="{01628FBD-1C9C-4515-A04A-622028471AAF}">
            <xm:f>(AND(H24&lt;&gt;"",ISERROR(VLOOKUP(H24,system!$E:$E,1,FALSE))))</xm:f>
            <x14:dxf>
              <fill>
                <patternFill>
                  <bgColor rgb="FFFF0000"/>
                </patternFill>
              </fill>
            </x14:dxf>
          </x14:cfRule>
          <xm:sqref>I24:I31</xm:sqref>
        </x14:conditionalFormatting>
      </x14:conditionalFormatting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A1:U32"/>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661</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167</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SUM(N14:N33)</f>
        <v>372</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662</v>
      </c>
      <c r="D14" s="80"/>
      <c r="E14" s="81"/>
      <c r="F14" s="146"/>
      <c r="G14" s="17"/>
      <c r="H14" s="18" t="s">
        <v>51</v>
      </c>
      <c r="I14" s="59"/>
      <c r="J14" s="19">
        <v>20</v>
      </c>
      <c r="K14" s="19"/>
      <c r="L14" s="50" t="s">
        <v>190</v>
      </c>
      <c r="M14" s="73" t="s">
        <v>21</v>
      </c>
      <c r="N14" s="54">
        <f t="shared" ref="N14:N31" si="0">IF(H14="NUMBER",IF(J14&gt;0,INT((J14+1)/2+0.9),0),IF(H14="DATE",7,IF(OR(H14="LONG",H14="LONG RAW"),100000,J14)))</f>
        <v>20</v>
      </c>
      <c r="O14" s="170"/>
      <c r="P14" s="191"/>
      <c r="Q14" s="192"/>
      <c r="R14" s="192"/>
      <c r="S14" s="192"/>
      <c r="T14" s="192"/>
      <c r="U14" s="193"/>
    </row>
    <row r="15" spans="1:21" ht="15.75" customHeight="1">
      <c r="A15" s="85" t="s">
        <v>191</v>
      </c>
      <c r="B15" s="37">
        <f>ROW()-13</f>
        <v>2</v>
      </c>
      <c r="C15" s="145" t="s">
        <v>663</v>
      </c>
      <c r="D15" s="80"/>
      <c r="E15" s="81"/>
      <c r="F15" s="146"/>
      <c r="G15" s="17"/>
      <c r="H15" s="18" t="s">
        <v>51</v>
      </c>
      <c r="I15" s="59"/>
      <c r="J15" s="19">
        <v>20</v>
      </c>
      <c r="K15" s="19"/>
      <c r="L15" s="50" t="s">
        <v>190</v>
      </c>
      <c r="M15" s="73" t="s">
        <v>21</v>
      </c>
      <c r="N15" s="54">
        <f t="shared" si="0"/>
        <v>20</v>
      </c>
      <c r="O15" s="170"/>
      <c r="P15" s="191"/>
      <c r="Q15" s="192"/>
      <c r="R15" s="192"/>
      <c r="S15" s="192"/>
      <c r="T15" s="192"/>
      <c r="U15" s="193"/>
    </row>
    <row r="16" spans="1:21" ht="15.75" customHeight="1">
      <c r="A16" s="85"/>
      <c r="B16" s="37">
        <f>ROW()-13</f>
        <v>3</v>
      </c>
      <c r="C16" s="145" t="s">
        <v>664</v>
      </c>
      <c r="D16" s="80"/>
      <c r="E16" s="81"/>
      <c r="F16" s="146"/>
      <c r="G16" s="17"/>
      <c r="H16" s="18" t="s">
        <v>51</v>
      </c>
      <c r="I16" s="59"/>
      <c r="J16" s="19">
        <v>50</v>
      </c>
      <c r="K16" s="19"/>
      <c r="L16" s="50" t="s">
        <v>190</v>
      </c>
      <c r="M16" s="73" t="s">
        <v>21</v>
      </c>
      <c r="N16" s="54">
        <f t="shared" si="0"/>
        <v>50</v>
      </c>
      <c r="O16" s="170"/>
      <c r="P16" s="191"/>
      <c r="Q16" s="192"/>
      <c r="R16" s="192"/>
      <c r="S16" s="192"/>
      <c r="T16" s="192"/>
      <c r="U16" s="193"/>
    </row>
    <row r="17" spans="1:21" ht="15.75" customHeight="1">
      <c r="A17" s="85"/>
      <c r="B17" s="37">
        <f>ROW()-13</f>
        <v>4</v>
      </c>
      <c r="C17" s="145" t="s">
        <v>665</v>
      </c>
      <c r="D17" s="80"/>
      <c r="E17" s="81"/>
      <c r="F17" s="146"/>
      <c r="G17" s="17"/>
      <c r="H17" s="18" t="s">
        <v>51</v>
      </c>
      <c r="I17" s="59"/>
      <c r="J17" s="19">
        <v>50</v>
      </c>
      <c r="K17" s="19"/>
      <c r="L17" s="50"/>
      <c r="M17" s="73" t="s">
        <v>21</v>
      </c>
      <c r="N17" s="54">
        <f t="shared" si="0"/>
        <v>50</v>
      </c>
      <c r="O17" s="170"/>
      <c r="P17" s="191"/>
      <c r="Q17" s="192"/>
      <c r="R17" s="192"/>
      <c r="S17" s="192"/>
      <c r="T17" s="192"/>
      <c r="U17" s="193"/>
    </row>
    <row r="18" spans="1:21" ht="15.75" customHeight="1">
      <c r="A18" s="85"/>
      <c r="B18" s="37">
        <f>ROW()-13</f>
        <v>5</v>
      </c>
      <c r="C18" s="145" t="s">
        <v>592</v>
      </c>
      <c r="D18" s="80"/>
      <c r="E18" s="81"/>
      <c r="F18" s="146"/>
      <c r="G18" s="17"/>
      <c r="H18" s="18" t="s">
        <v>208</v>
      </c>
      <c r="I18" s="59"/>
      <c r="J18" s="19"/>
      <c r="K18" s="19"/>
      <c r="L18" s="50"/>
      <c r="M18" s="73" t="s">
        <v>21</v>
      </c>
      <c r="N18" s="54">
        <f t="shared" si="0"/>
        <v>0</v>
      </c>
      <c r="O18" s="170"/>
      <c r="P18" s="191"/>
      <c r="Q18" s="192"/>
      <c r="R18" s="192"/>
      <c r="S18" s="192"/>
      <c r="T18" s="192"/>
      <c r="U18" s="193"/>
    </row>
    <row r="19" spans="1:21" ht="15.75" customHeight="1">
      <c r="A19" s="85"/>
      <c r="B19" s="37">
        <f>ROW()-13</f>
        <v>6</v>
      </c>
      <c r="C19" s="145" t="s">
        <v>666</v>
      </c>
      <c r="D19" s="80"/>
      <c r="E19" s="81"/>
      <c r="F19" s="146"/>
      <c r="G19" s="17"/>
      <c r="H19" s="18" t="s">
        <v>51</v>
      </c>
      <c r="I19" s="59"/>
      <c r="J19" s="19">
        <v>20</v>
      </c>
      <c r="K19" s="19"/>
      <c r="L19" s="50"/>
      <c r="M19" s="73" t="s">
        <v>21</v>
      </c>
      <c r="N19" s="54">
        <f t="shared" si="0"/>
        <v>20</v>
      </c>
      <c r="O19" s="170"/>
      <c r="P19" s="191"/>
      <c r="Q19" s="192"/>
      <c r="R19" s="192"/>
      <c r="S19" s="192"/>
      <c r="T19" s="192"/>
      <c r="U19" s="193"/>
    </row>
    <row r="20" spans="1:21" ht="15.75" customHeight="1">
      <c r="A20" s="85"/>
      <c r="B20" s="37">
        <f>ROW()-13</f>
        <v>7</v>
      </c>
      <c r="C20" s="145" t="s">
        <v>667</v>
      </c>
      <c r="D20" s="80"/>
      <c r="E20" s="81"/>
      <c r="F20" s="146"/>
      <c r="G20" s="17"/>
      <c r="H20" s="18" t="s">
        <v>51</v>
      </c>
      <c r="I20" s="59"/>
      <c r="J20" s="19">
        <v>20</v>
      </c>
      <c r="K20" s="19"/>
      <c r="L20" s="50"/>
      <c r="M20" s="73" t="s">
        <v>21</v>
      </c>
      <c r="N20" s="54">
        <f t="shared" si="0"/>
        <v>20</v>
      </c>
      <c r="O20" s="170"/>
      <c r="P20" s="191"/>
      <c r="Q20" s="192"/>
      <c r="R20" s="192"/>
      <c r="S20" s="192"/>
      <c r="T20" s="192"/>
      <c r="U20" s="193"/>
    </row>
    <row r="21" spans="1:21" ht="15.75" customHeight="1">
      <c r="A21" s="85"/>
      <c r="B21" s="37">
        <f>ROW()-13</f>
        <v>8</v>
      </c>
      <c r="C21" s="145" t="s">
        <v>668</v>
      </c>
      <c r="D21" s="80"/>
      <c r="E21" s="81"/>
      <c r="F21" s="146"/>
      <c r="G21" s="17"/>
      <c r="H21" s="18" t="s">
        <v>51</v>
      </c>
      <c r="I21" s="59"/>
      <c r="J21" s="19">
        <v>50</v>
      </c>
      <c r="K21" s="19"/>
      <c r="L21" s="50"/>
      <c r="M21" s="73" t="s">
        <v>21</v>
      </c>
      <c r="N21" s="54">
        <f t="shared" si="0"/>
        <v>50</v>
      </c>
      <c r="O21" s="170"/>
      <c r="P21" s="191"/>
      <c r="Q21" s="192"/>
      <c r="R21" s="192"/>
      <c r="S21" s="192"/>
      <c r="T21" s="192"/>
      <c r="U21" s="193"/>
    </row>
    <row r="22" spans="1:21" ht="15.75" customHeight="1">
      <c r="A22" s="85"/>
      <c r="B22" s="37">
        <f>ROW()-13</f>
        <v>9</v>
      </c>
      <c r="C22" s="145" t="s">
        <v>669</v>
      </c>
      <c r="D22" s="80"/>
      <c r="E22" s="81"/>
      <c r="F22" s="146"/>
      <c r="G22" s="17"/>
      <c r="H22" s="18" t="s">
        <v>51</v>
      </c>
      <c r="I22" s="59"/>
      <c r="J22" s="19">
        <v>20</v>
      </c>
      <c r="K22" s="19"/>
      <c r="L22" s="50"/>
      <c r="M22" s="73" t="s">
        <v>21</v>
      </c>
      <c r="N22" s="54">
        <f t="shared" si="0"/>
        <v>20</v>
      </c>
      <c r="O22" s="170"/>
      <c r="P22" s="191"/>
      <c r="Q22" s="192"/>
      <c r="R22" s="192"/>
      <c r="S22" s="192"/>
      <c r="T22" s="192"/>
      <c r="U22" s="193"/>
    </row>
    <row r="23" spans="1:21" ht="15.75" customHeight="1">
      <c r="A23" s="85"/>
      <c r="B23" s="37">
        <f>ROW()-13</f>
        <v>10</v>
      </c>
      <c r="C23" s="145" t="s">
        <v>670</v>
      </c>
      <c r="D23" s="80"/>
      <c r="E23" s="81"/>
      <c r="F23" s="146"/>
      <c r="G23" s="17"/>
      <c r="H23" s="18" t="s">
        <v>51</v>
      </c>
      <c r="I23" s="59"/>
      <c r="J23" s="19">
        <v>20</v>
      </c>
      <c r="K23" s="19"/>
      <c r="L23" s="50"/>
      <c r="M23" s="73" t="s">
        <v>21</v>
      </c>
      <c r="N23" s="54">
        <f t="shared" si="0"/>
        <v>20</v>
      </c>
      <c r="O23" s="170"/>
      <c r="P23" s="191"/>
      <c r="Q23" s="192"/>
      <c r="R23" s="192"/>
      <c r="S23" s="192"/>
      <c r="T23" s="192"/>
      <c r="U23" s="193"/>
    </row>
    <row r="24" spans="1:21" ht="15.75" customHeight="1">
      <c r="A24" s="85"/>
      <c r="B24" s="37">
        <f>ROW()-13</f>
        <v>11</v>
      </c>
      <c r="C24" s="145" t="s">
        <v>277</v>
      </c>
      <c r="D24" s="80"/>
      <c r="E24" s="81"/>
      <c r="F24" s="146" t="s">
        <v>557</v>
      </c>
      <c r="G24" s="17"/>
      <c r="H24" s="18" t="s">
        <v>51</v>
      </c>
      <c r="I24" s="59"/>
      <c r="J24" s="19">
        <v>50</v>
      </c>
      <c r="K24" s="19"/>
      <c r="L24" s="50"/>
      <c r="M24" s="73" t="s">
        <v>21</v>
      </c>
      <c r="N24" s="54">
        <f t="shared" si="0"/>
        <v>50</v>
      </c>
      <c r="O24" s="170"/>
      <c r="P24" s="191"/>
      <c r="Q24" s="192"/>
      <c r="R24" s="192"/>
      <c r="S24" s="192"/>
      <c r="T24" s="192"/>
      <c r="U24" s="193"/>
    </row>
    <row r="25" spans="1:21" ht="15.75">
      <c r="A25" s="85"/>
      <c r="B25" s="37">
        <f t="shared" ref="B25:B31" si="1">ROW()-13</f>
        <v>12</v>
      </c>
      <c r="C25" s="107" t="s">
        <v>36</v>
      </c>
      <c r="D25" s="107"/>
      <c r="E25" s="108"/>
      <c r="F25" s="109" t="s">
        <v>78</v>
      </c>
      <c r="G25" s="110"/>
      <c r="H25" s="18" t="s">
        <v>51</v>
      </c>
      <c r="I25" s="59"/>
      <c r="J25" s="113">
        <v>12</v>
      </c>
      <c r="K25" s="113"/>
      <c r="L25" s="114"/>
      <c r="M25" s="115" t="s">
        <v>35</v>
      </c>
      <c r="N25" s="116">
        <f t="shared" si="0"/>
        <v>12</v>
      </c>
      <c r="O25" s="171"/>
      <c r="P25" s="197"/>
      <c r="Q25" s="198"/>
      <c r="R25" s="198"/>
      <c r="S25" s="198"/>
      <c r="T25" s="198"/>
      <c r="U25" s="199"/>
    </row>
    <row r="26" spans="1:21" ht="15.75">
      <c r="A26" s="85"/>
      <c r="B26" s="37">
        <f t="shared" si="1"/>
        <v>13</v>
      </c>
      <c r="C26" s="107" t="s">
        <v>37</v>
      </c>
      <c r="D26" s="107"/>
      <c r="E26" s="108"/>
      <c r="F26" s="109" t="s">
        <v>43</v>
      </c>
      <c r="G26" s="110"/>
      <c r="H26" s="18" t="s">
        <v>51</v>
      </c>
      <c r="I26" s="59"/>
      <c r="J26" s="113">
        <v>10</v>
      </c>
      <c r="K26" s="113"/>
      <c r="L26" s="114"/>
      <c r="M26" s="115" t="s">
        <v>21</v>
      </c>
      <c r="N26" s="116">
        <f t="shared" si="0"/>
        <v>10</v>
      </c>
      <c r="O26" s="171"/>
      <c r="P26" s="197"/>
      <c r="Q26" s="198"/>
      <c r="R26" s="198"/>
      <c r="S26" s="198"/>
      <c r="T26" s="198"/>
      <c r="U26" s="199"/>
    </row>
    <row r="27" spans="1:21" ht="15.75">
      <c r="A27" s="85"/>
      <c r="B27" s="37">
        <f t="shared" si="1"/>
        <v>14</v>
      </c>
      <c r="C27" s="107" t="s">
        <v>38</v>
      </c>
      <c r="D27" s="107"/>
      <c r="E27" s="108"/>
      <c r="F27" s="109" t="s">
        <v>80</v>
      </c>
      <c r="G27" s="110"/>
      <c r="H27" s="18" t="s">
        <v>86</v>
      </c>
      <c r="I27" s="59"/>
      <c r="J27" s="113"/>
      <c r="K27" s="113"/>
      <c r="L27" s="114"/>
      <c r="M27" s="115" t="s">
        <v>21</v>
      </c>
      <c r="N27" s="116">
        <f t="shared" si="0"/>
        <v>0</v>
      </c>
      <c r="O27" s="171"/>
      <c r="P27" s="197"/>
      <c r="Q27" s="198"/>
      <c r="R27" s="198"/>
      <c r="S27" s="198"/>
      <c r="T27" s="198"/>
      <c r="U27" s="199"/>
    </row>
    <row r="28" spans="1:21" ht="15.75">
      <c r="A28" s="85"/>
      <c r="B28" s="37">
        <f t="shared" si="1"/>
        <v>15</v>
      </c>
      <c r="C28" s="107" t="s">
        <v>39</v>
      </c>
      <c r="D28" s="107"/>
      <c r="E28" s="108"/>
      <c r="F28" s="109" t="s">
        <v>79</v>
      </c>
      <c r="G28" s="110"/>
      <c r="H28" s="18" t="s">
        <v>51</v>
      </c>
      <c r="I28" s="59"/>
      <c r="J28" s="113">
        <v>12</v>
      </c>
      <c r="K28" s="113"/>
      <c r="L28" s="114"/>
      <c r="M28" s="115" t="s">
        <v>35</v>
      </c>
      <c r="N28" s="116">
        <f t="shared" si="0"/>
        <v>12</v>
      </c>
      <c r="O28" s="171"/>
      <c r="P28" s="197"/>
      <c r="Q28" s="198"/>
      <c r="R28" s="198"/>
      <c r="S28" s="198"/>
      <c r="T28" s="198"/>
      <c r="U28" s="199"/>
    </row>
    <row r="29" spans="1:21" ht="15.75">
      <c r="A29" s="85"/>
      <c r="B29" s="37">
        <f t="shared" si="1"/>
        <v>16</v>
      </c>
      <c r="C29" s="107" t="s">
        <v>40</v>
      </c>
      <c r="D29" s="107"/>
      <c r="E29" s="108"/>
      <c r="F29" s="109" t="s">
        <v>44</v>
      </c>
      <c r="G29" s="110"/>
      <c r="H29" s="18" t="s">
        <v>51</v>
      </c>
      <c r="I29" s="59"/>
      <c r="J29" s="113">
        <v>10</v>
      </c>
      <c r="K29" s="113"/>
      <c r="L29" s="114"/>
      <c r="M29" s="115" t="s">
        <v>21</v>
      </c>
      <c r="N29" s="116">
        <f t="shared" si="0"/>
        <v>10</v>
      </c>
      <c r="O29" s="171"/>
      <c r="P29" s="197"/>
      <c r="Q29" s="198"/>
      <c r="R29" s="198"/>
      <c r="S29" s="198"/>
      <c r="T29" s="198"/>
      <c r="U29" s="199"/>
    </row>
    <row r="30" spans="1:21" ht="15.75">
      <c r="A30" s="85"/>
      <c r="B30" s="37">
        <f t="shared" si="1"/>
        <v>17</v>
      </c>
      <c r="C30" s="107" t="s">
        <v>41</v>
      </c>
      <c r="D30" s="107"/>
      <c r="E30" s="108"/>
      <c r="F30" s="109" t="s">
        <v>81</v>
      </c>
      <c r="G30" s="110"/>
      <c r="H30" s="18" t="s">
        <v>86</v>
      </c>
      <c r="I30" s="59"/>
      <c r="J30" s="113"/>
      <c r="K30" s="113"/>
      <c r="L30" s="114"/>
      <c r="M30" s="115" t="s">
        <v>21</v>
      </c>
      <c r="N30" s="116">
        <f t="shared" si="0"/>
        <v>0</v>
      </c>
      <c r="O30" s="171"/>
      <c r="P30" s="197"/>
      <c r="Q30" s="198"/>
      <c r="R30" s="198"/>
      <c r="S30" s="198"/>
      <c r="T30" s="198"/>
      <c r="U30" s="199"/>
    </row>
    <row r="31" spans="1:21" ht="15.75">
      <c r="A31" s="85"/>
      <c r="B31" s="37">
        <f t="shared" si="1"/>
        <v>18</v>
      </c>
      <c r="C31" s="80" t="s">
        <v>46</v>
      </c>
      <c r="D31" s="80"/>
      <c r="E31" s="81"/>
      <c r="F31" s="84" t="s">
        <v>71</v>
      </c>
      <c r="G31" s="17"/>
      <c r="H31" s="18" t="s">
        <v>62</v>
      </c>
      <c r="I31" s="59"/>
      <c r="J31" s="19">
        <v>8</v>
      </c>
      <c r="K31" s="19"/>
      <c r="L31" s="50" t="s">
        <v>47</v>
      </c>
      <c r="M31" s="73" t="s">
        <v>35</v>
      </c>
      <c r="N31" s="54">
        <f t="shared" si="0"/>
        <v>8</v>
      </c>
      <c r="O31" s="170">
        <v>0</v>
      </c>
      <c r="P31" s="191" t="s">
        <v>48</v>
      </c>
      <c r="Q31" s="192"/>
      <c r="R31" s="192"/>
      <c r="S31" s="192"/>
      <c r="T31" s="192"/>
      <c r="U31" s="193"/>
    </row>
    <row r="32" spans="1:21" ht="16.5" thickBot="1">
      <c r="A32" s="118"/>
      <c r="B32" s="119"/>
      <c r="C32" s="120"/>
      <c r="D32" s="120"/>
      <c r="E32" s="121"/>
      <c r="F32" s="129"/>
      <c r="G32" s="122"/>
      <c r="H32" s="147"/>
      <c r="I32" s="148"/>
      <c r="J32" s="125"/>
      <c r="K32" s="125"/>
      <c r="L32" s="126"/>
      <c r="M32" s="126"/>
      <c r="N32" s="127"/>
      <c r="O32" s="172"/>
      <c r="P32" s="194"/>
      <c r="Q32" s="195"/>
      <c r="R32" s="195"/>
      <c r="S32" s="195"/>
      <c r="T32" s="195"/>
      <c r="U32" s="196"/>
    </row>
  </sheetData>
  <mergeCells count="49">
    <mergeCell ref="P28:U28"/>
    <mergeCell ref="P29:U29"/>
    <mergeCell ref="P30:U30"/>
    <mergeCell ref="P31:U31"/>
    <mergeCell ref="P32:U32"/>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120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120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120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120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120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1AFD3BC1-895A-40B9-B828-A8418494CCD0}">
            <xm:f>(AND(H14&lt;&gt;"",ISERROR(VLOOKUP(H14,system!$E:$E,1,FALSE))))</xm:f>
            <x14:dxf>
              <fill>
                <patternFill patternType="solid">
                  <bgColor rgb="FFFF0000"/>
                </patternFill>
              </fill>
            </x14:dxf>
          </x14:cfRule>
          <xm:sqref>H14:H24</xm:sqref>
        </x14:conditionalFormatting>
        <x14:conditionalFormatting xmlns:xm="http://schemas.microsoft.com/office/excel/2006/main">
          <x14:cfRule type="expression" priority="3" id="{0C757669-953C-4740-A885-57B7F5C9FE54}">
            <xm:f>(AND(H14&lt;&gt;"",ISERROR(VLOOKUP(H14,system!$E:$E,1,FALSE))))</xm:f>
            <x14:dxf>
              <fill>
                <patternFill>
                  <bgColor rgb="FFFF0000"/>
                </patternFill>
              </fill>
            </x14:dxf>
          </x14:cfRule>
          <xm:sqref>I14:I24</xm:sqref>
        </x14:conditionalFormatting>
        <x14:conditionalFormatting xmlns:xm="http://schemas.microsoft.com/office/excel/2006/main">
          <x14:cfRule type="expression" priority="2" id="{02E18D35-FD2F-4978-B67B-E337FB06A7E5}">
            <xm:f>(AND(H25&lt;&gt;"",ISERROR(VLOOKUP(H25,system!$E:$E,1,FALSE))))</xm:f>
            <x14:dxf>
              <fill>
                <patternFill patternType="solid">
                  <bgColor rgb="FFFF0000"/>
                </patternFill>
              </fill>
            </x14:dxf>
          </x14:cfRule>
          <xm:sqref>H25:H32</xm:sqref>
        </x14:conditionalFormatting>
        <x14:conditionalFormatting xmlns:xm="http://schemas.microsoft.com/office/excel/2006/main">
          <x14:cfRule type="expression" priority="1" id="{7254CDB9-29E5-4632-99AE-E42A683E6C71}">
            <xm:f>(AND(H25&lt;&gt;"",ISERROR(VLOOKUP(H25,system!$E:$E,1,FALSE))))</xm:f>
            <x14:dxf>
              <fill>
                <patternFill>
                  <bgColor rgb="FFFF0000"/>
                </patternFill>
              </fill>
            </x14:dxf>
          </x14:cfRule>
          <xm:sqref>I25:I32</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A1:U24"/>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672</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169</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SUM(N14:N25)</f>
        <v>126</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673</v>
      </c>
      <c r="D14" s="80"/>
      <c r="E14" s="81"/>
      <c r="F14" s="146"/>
      <c r="G14" s="17"/>
      <c r="H14" s="18" t="s">
        <v>49</v>
      </c>
      <c r="I14" s="59"/>
      <c r="J14" s="19">
        <v>4</v>
      </c>
      <c r="K14" s="19"/>
      <c r="L14" s="50" t="s">
        <v>190</v>
      </c>
      <c r="M14" s="73" t="s">
        <v>21</v>
      </c>
      <c r="N14" s="54">
        <f t="shared" ref="N14:N23" si="0">IF(H14="NUMBER",IF(J14&gt;0,INT((J14+1)/2+0.9),0),IF(H14="DATE",7,IF(OR(H14="LONG",H14="LONG RAW"),100000,J14)))</f>
        <v>4</v>
      </c>
      <c r="O14" s="170"/>
      <c r="P14" s="191"/>
      <c r="Q14" s="192"/>
      <c r="R14" s="192"/>
      <c r="S14" s="192"/>
      <c r="T14" s="192"/>
      <c r="U14" s="193"/>
    </row>
    <row r="15" spans="1:21" ht="15.75" customHeight="1">
      <c r="A15" s="85"/>
      <c r="B15" s="37">
        <f>ROW()-13</f>
        <v>2</v>
      </c>
      <c r="C15" s="145" t="s">
        <v>674</v>
      </c>
      <c r="D15" s="80"/>
      <c r="E15" s="81"/>
      <c r="F15" s="146"/>
      <c r="G15" s="17"/>
      <c r="H15" s="18" t="s">
        <v>51</v>
      </c>
      <c r="I15" s="59"/>
      <c r="J15" s="19">
        <v>20</v>
      </c>
      <c r="K15" s="19"/>
      <c r="L15" s="50" t="s">
        <v>190</v>
      </c>
      <c r="M15" s="73" t="s">
        <v>21</v>
      </c>
      <c r="N15" s="54">
        <f t="shared" si="0"/>
        <v>20</v>
      </c>
      <c r="O15" s="170"/>
      <c r="P15" s="191"/>
      <c r="Q15" s="192"/>
      <c r="R15" s="192"/>
      <c r="S15" s="192"/>
      <c r="T15" s="192"/>
      <c r="U15" s="193"/>
    </row>
    <row r="16" spans="1:21" ht="15.75" customHeight="1">
      <c r="A16" s="85"/>
      <c r="B16" s="37">
        <f>ROW()-13</f>
        <v>3</v>
      </c>
      <c r="C16" s="145" t="s">
        <v>277</v>
      </c>
      <c r="D16" s="80"/>
      <c r="E16" s="81"/>
      <c r="F16" s="146" t="s">
        <v>557</v>
      </c>
      <c r="G16" s="17"/>
      <c r="H16" s="18" t="s">
        <v>51</v>
      </c>
      <c r="I16" s="59"/>
      <c r="J16" s="19">
        <v>50</v>
      </c>
      <c r="K16" s="19"/>
      <c r="L16" s="50"/>
      <c r="M16" s="73" t="s">
        <v>21</v>
      </c>
      <c r="N16" s="54">
        <f t="shared" si="0"/>
        <v>50</v>
      </c>
      <c r="O16" s="170"/>
      <c r="P16" s="191"/>
      <c r="Q16" s="192"/>
      <c r="R16" s="192"/>
      <c r="S16" s="192"/>
      <c r="T16" s="192"/>
      <c r="U16" s="193"/>
    </row>
    <row r="17" spans="1:21" ht="15.75">
      <c r="A17" s="85"/>
      <c r="B17" s="37">
        <f t="shared" ref="B17:B23" si="1">ROW()-13</f>
        <v>4</v>
      </c>
      <c r="C17" s="107" t="s">
        <v>36</v>
      </c>
      <c r="D17" s="107"/>
      <c r="E17" s="108"/>
      <c r="F17" s="109" t="s">
        <v>78</v>
      </c>
      <c r="G17" s="110"/>
      <c r="H17" s="18" t="s">
        <v>51</v>
      </c>
      <c r="I17" s="59"/>
      <c r="J17" s="113">
        <v>12</v>
      </c>
      <c r="K17" s="113"/>
      <c r="L17" s="114"/>
      <c r="M17" s="115" t="s">
        <v>35</v>
      </c>
      <c r="N17" s="116">
        <f t="shared" si="0"/>
        <v>12</v>
      </c>
      <c r="O17" s="171"/>
      <c r="P17" s="197"/>
      <c r="Q17" s="198"/>
      <c r="R17" s="198"/>
      <c r="S17" s="198"/>
      <c r="T17" s="198"/>
      <c r="U17" s="199"/>
    </row>
    <row r="18" spans="1:21" ht="15.75">
      <c r="A18" s="85"/>
      <c r="B18" s="37">
        <f t="shared" si="1"/>
        <v>5</v>
      </c>
      <c r="C18" s="107" t="s">
        <v>37</v>
      </c>
      <c r="D18" s="107"/>
      <c r="E18" s="108"/>
      <c r="F18" s="109" t="s">
        <v>43</v>
      </c>
      <c r="G18" s="110"/>
      <c r="H18" s="18" t="s">
        <v>51</v>
      </c>
      <c r="I18" s="59"/>
      <c r="J18" s="113">
        <v>10</v>
      </c>
      <c r="K18" s="113"/>
      <c r="L18" s="114"/>
      <c r="M18" s="115" t="s">
        <v>21</v>
      </c>
      <c r="N18" s="116">
        <f t="shared" si="0"/>
        <v>10</v>
      </c>
      <c r="O18" s="171"/>
      <c r="P18" s="197"/>
      <c r="Q18" s="198"/>
      <c r="R18" s="198"/>
      <c r="S18" s="198"/>
      <c r="T18" s="198"/>
      <c r="U18" s="199"/>
    </row>
    <row r="19" spans="1:21" ht="15.75">
      <c r="A19" s="85"/>
      <c r="B19" s="37">
        <f t="shared" si="1"/>
        <v>6</v>
      </c>
      <c r="C19" s="107" t="s">
        <v>38</v>
      </c>
      <c r="D19" s="107"/>
      <c r="E19" s="108"/>
      <c r="F19" s="109" t="s">
        <v>80</v>
      </c>
      <c r="G19" s="110"/>
      <c r="H19" s="18" t="s">
        <v>86</v>
      </c>
      <c r="I19" s="59"/>
      <c r="J19" s="113"/>
      <c r="K19" s="113"/>
      <c r="L19" s="114"/>
      <c r="M19" s="115" t="s">
        <v>21</v>
      </c>
      <c r="N19" s="116">
        <f t="shared" si="0"/>
        <v>0</v>
      </c>
      <c r="O19" s="171"/>
      <c r="P19" s="197"/>
      <c r="Q19" s="198"/>
      <c r="R19" s="198"/>
      <c r="S19" s="198"/>
      <c r="T19" s="198"/>
      <c r="U19" s="199"/>
    </row>
    <row r="20" spans="1:21" ht="15.75">
      <c r="A20" s="85"/>
      <c r="B20" s="37">
        <f t="shared" si="1"/>
        <v>7</v>
      </c>
      <c r="C20" s="107" t="s">
        <v>39</v>
      </c>
      <c r="D20" s="107"/>
      <c r="E20" s="108"/>
      <c r="F20" s="109" t="s">
        <v>79</v>
      </c>
      <c r="G20" s="110"/>
      <c r="H20" s="18" t="s">
        <v>51</v>
      </c>
      <c r="I20" s="59"/>
      <c r="J20" s="113">
        <v>12</v>
      </c>
      <c r="K20" s="113"/>
      <c r="L20" s="114"/>
      <c r="M20" s="115" t="s">
        <v>35</v>
      </c>
      <c r="N20" s="116">
        <f t="shared" si="0"/>
        <v>12</v>
      </c>
      <c r="O20" s="171"/>
      <c r="P20" s="197"/>
      <c r="Q20" s="198"/>
      <c r="R20" s="198"/>
      <c r="S20" s="198"/>
      <c r="T20" s="198"/>
      <c r="U20" s="199"/>
    </row>
    <row r="21" spans="1:21" ht="15.75">
      <c r="A21" s="85"/>
      <c r="B21" s="37">
        <f t="shared" si="1"/>
        <v>8</v>
      </c>
      <c r="C21" s="107" t="s">
        <v>40</v>
      </c>
      <c r="D21" s="107"/>
      <c r="E21" s="108"/>
      <c r="F21" s="109" t="s">
        <v>44</v>
      </c>
      <c r="G21" s="110"/>
      <c r="H21" s="18" t="s">
        <v>51</v>
      </c>
      <c r="I21" s="59"/>
      <c r="J21" s="113">
        <v>10</v>
      </c>
      <c r="K21" s="113"/>
      <c r="L21" s="114"/>
      <c r="M21" s="115" t="s">
        <v>21</v>
      </c>
      <c r="N21" s="116">
        <f t="shared" si="0"/>
        <v>10</v>
      </c>
      <c r="O21" s="171"/>
      <c r="P21" s="197"/>
      <c r="Q21" s="198"/>
      <c r="R21" s="198"/>
      <c r="S21" s="198"/>
      <c r="T21" s="198"/>
      <c r="U21" s="199"/>
    </row>
    <row r="22" spans="1:21" ht="15.75">
      <c r="A22" s="85"/>
      <c r="B22" s="37">
        <f t="shared" si="1"/>
        <v>9</v>
      </c>
      <c r="C22" s="107" t="s">
        <v>41</v>
      </c>
      <c r="D22" s="107"/>
      <c r="E22" s="108"/>
      <c r="F22" s="109" t="s">
        <v>81</v>
      </c>
      <c r="G22" s="110"/>
      <c r="H22" s="18" t="s">
        <v>86</v>
      </c>
      <c r="I22" s="59"/>
      <c r="J22" s="113"/>
      <c r="K22" s="113"/>
      <c r="L22" s="114"/>
      <c r="M22" s="115" t="s">
        <v>21</v>
      </c>
      <c r="N22" s="116">
        <f t="shared" si="0"/>
        <v>0</v>
      </c>
      <c r="O22" s="171"/>
      <c r="P22" s="197"/>
      <c r="Q22" s="198"/>
      <c r="R22" s="198"/>
      <c r="S22" s="198"/>
      <c r="T22" s="198"/>
      <c r="U22" s="199"/>
    </row>
    <row r="23" spans="1:21" ht="15.75">
      <c r="A23" s="85"/>
      <c r="B23" s="37">
        <f t="shared" si="1"/>
        <v>10</v>
      </c>
      <c r="C23" s="80" t="s">
        <v>46</v>
      </c>
      <c r="D23" s="80"/>
      <c r="E23" s="81"/>
      <c r="F23" s="84" t="s">
        <v>71</v>
      </c>
      <c r="G23" s="17"/>
      <c r="H23" s="18" t="s">
        <v>62</v>
      </c>
      <c r="I23" s="59"/>
      <c r="J23" s="19">
        <v>8</v>
      </c>
      <c r="K23" s="19"/>
      <c r="L23" s="50" t="s">
        <v>47</v>
      </c>
      <c r="M23" s="73" t="s">
        <v>35</v>
      </c>
      <c r="N23" s="54">
        <f t="shared" si="0"/>
        <v>8</v>
      </c>
      <c r="O23" s="170">
        <v>0</v>
      </c>
      <c r="P23" s="191" t="s">
        <v>48</v>
      </c>
      <c r="Q23" s="192"/>
      <c r="R23" s="192"/>
      <c r="S23" s="192"/>
      <c r="T23" s="192"/>
      <c r="U23" s="193"/>
    </row>
    <row r="24" spans="1:21" ht="16.5" thickBot="1">
      <c r="A24" s="118"/>
      <c r="B24" s="119"/>
      <c r="C24" s="120"/>
      <c r="D24" s="120"/>
      <c r="E24" s="121"/>
      <c r="F24" s="129"/>
      <c r="G24" s="122"/>
      <c r="H24" s="147"/>
      <c r="I24" s="148"/>
      <c r="J24" s="125"/>
      <c r="K24" s="125"/>
      <c r="L24" s="126"/>
      <c r="M24" s="126"/>
      <c r="N24" s="127"/>
      <c r="O24" s="172"/>
      <c r="P24" s="194"/>
      <c r="Q24" s="195"/>
      <c r="R24" s="195"/>
      <c r="S24" s="195"/>
      <c r="T24" s="195"/>
      <c r="U24" s="196"/>
    </row>
  </sheetData>
  <mergeCells count="41">
    <mergeCell ref="P22:U22"/>
    <mergeCell ref="P23:U23"/>
    <mergeCell ref="P24:U24"/>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222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222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222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222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223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44541661-4046-4380-81C6-B27D7A823CDF}">
            <xm:f>(AND(H14&lt;&gt;"",ISERROR(VLOOKUP(H14,system!$E:$E,1,FALSE))))</xm:f>
            <x14:dxf>
              <fill>
                <patternFill patternType="solid">
                  <bgColor rgb="FFFF0000"/>
                </patternFill>
              </fill>
            </x14:dxf>
          </x14:cfRule>
          <xm:sqref>H14:H16</xm:sqref>
        </x14:conditionalFormatting>
        <x14:conditionalFormatting xmlns:xm="http://schemas.microsoft.com/office/excel/2006/main">
          <x14:cfRule type="expression" priority="3" id="{959EE813-2A85-4450-9446-C360054999E5}">
            <xm:f>(AND(H14&lt;&gt;"",ISERROR(VLOOKUP(H14,system!$E:$E,1,FALSE))))</xm:f>
            <x14:dxf>
              <fill>
                <patternFill>
                  <bgColor rgb="FFFF0000"/>
                </patternFill>
              </fill>
            </x14:dxf>
          </x14:cfRule>
          <xm:sqref>I14:I16</xm:sqref>
        </x14:conditionalFormatting>
        <x14:conditionalFormatting xmlns:xm="http://schemas.microsoft.com/office/excel/2006/main">
          <x14:cfRule type="expression" priority="2" id="{92B3D94D-3F19-46B7-BA9A-01713D19FFAD}">
            <xm:f>(AND(H17&lt;&gt;"",ISERROR(VLOOKUP(H17,system!$E:$E,1,FALSE))))</xm:f>
            <x14:dxf>
              <fill>
                <patternFill patternType="solid">
                  <bgColor rgb="FFFF0000"/>
                </patternFill>
              </fill>
            </x14:dxf>
          </x14:cfRule>
          <xm:sqref>H17:H24</xm:sqref>
        </x14:conditionalFormatting>
        <x14:conditionalFormatting xmlns:xm="http://schemas.microsoft.com/office/excel/2006/main">
          <x14:cfRule type="expression" priority="1" id="{5A5D8FDA-8043-4F15-AC35-C9467D0B4AC3}">
            <xm:f>(AND(H17&lt;&gt;"",ISERROR(VLOOKUP(H17,system!$E:$E,1,FALSE))))</xm:f>
            <x14:dxf>
              <fill>
                <patternFill>
                  <bgColor rgb="FFFF0000"/>
                </patternFill>
              </fill>
            </x14:dxf>
          </x14:cfRule>
          <xm:sqref>I17:I24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2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676</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171</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SUM(N14:N26)</f>
        <v>111</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677</v>
      </c>
      <c r="D14" s="80"/>
      <c r="E14" s="81"/>
      <c r="F14" s="146"/>
      <c r="G14" s="17"/>
      <c r="H14" s="18" t="s">
        <v>24</v>
      </c>
      <c r="I14" s="59"/>
      <c r="J14" s="19"/>
      <c r="K14" s="19"/>
      <c r="L14" s="50" t="s">
        <v>190</v>
      </c>
      <c r="M14" s="73" t="s">
        <v>21</v>
      </c>
      <c r="N14" s="54">
        <f t="shared" ref="N14:N24" si="0">IF(H14="NUMBER",IF(J14&gt;0,INT((J14+1)/2+0.9),0),IF(H14="DATE",7,IF(OR(H14="LONG",H14="LONG RAW"),100000,J14)))</f>
        <v>7</v>
      </c>
      <c r="O14" s="170"/>
      <c r="P14" s="191"/>
      <c r="Q14" s="192"/>
      <c r="R14" s="192"/>
      <c r="S14" s="192"/>
      <c r="T14" s="192"/>
      <c r="U14" s="193"/>
    </row>
    <row r="15" spans="1:21" ht="15.75" customHeight="1">
      <c r="A15" s="85" t="s">
        <v>191</v>
      </c>
      <c r="B15" s="37">
        <f>ROW()-13</f>
        <v>2</v>
      </c>
      <c r="C15" s="145" t="s">
        <v>678</v>
      </c>
      <c r="D15" s="80"/>
      <c r="E15" s="81"/>
      <c r="F15" s="146"/>
      <c r="G15" s="17"/>
      <c r="H15" s="18" t="s">
        <v>49</v>
      </c>
      <c r="I15" s="59"/>
      <c r="J15" s="19">
        <v>1</v>
      </c>
      <c r="K15" s="19"/>
      <c r="L15" s="50" t="s">
        <v>190</v>
      </c>
      <c r="M15" s="73" t="s">
        <v>21</v>
      </c>
      <c r="N15" s="54">
        <f t="shared" si="0"/>
        <v>1</v>
      </c>
      <c r="O15" s="170"/>
      <c r="P15" s="191"/>
      <c r="Q15" s="192"/>
      <c r="R15" s="192"/>
      <c r="S15" s="192"/>
      <c r="T15" s="192"/>
      <c r="U15" s="193"/>
    </row>
    <row r="16" spans="1:21" ht="27.6" customHeight="1">
      <c r="A16" s="85"/>
      <c r="B16" s="37">
        <f>ROW()-13</f>
        <v>3</v>
      </c>
      <c r="C16" s="145" t="s">
        <v>679</v>
      </c>
      <c r="D16" s="80"/>
      <c r="E16" s="81"/>
      <c r="F16" s="146"/>
      <c r="G16" s="17"/>
      <c r="H16" s="18" t="s">
        <v>49</v>
      </c>
      <c r="I16" s="59"/>
      <c r="J16" s="19">
        <v>1</v>
      </c>
      <c r="K16" s="19"/>
      <c r="L16" s="50"/>
      <c r="M16" s="73" t="s">
        <v>21</v>
      </c>
      <c r="N16" s="54">
        <f t="shared" si="0"/>
        <v>1</v>
      </c>
      <c r="O16" s="170"/>
      <c r="P16" s="251" t="s">
        <v>680</v>
      </c>
      <c r="Q16" s="192"/>
      <c r="R16" s="192"/>
      <c r="S16" s="192"/>
      <c r="T16" s="192"/>
      <c r="U16" s="193"/>
    </row>
    <row r="17" spans="1:21" ht="15.75" customHeight="1">
      <c r="A17" s="85"/>
      <c r="B17" s="37">
        <f>ROW()-13</f>
        <v>4</v>
      </c>
      <c r="C17" s="145" t="s">
        <v>277</v>
      </c>
      <c r="D17" s="80"/>
      <c r="E17" s="81"/>
      <c r="F17" s="146" t="s">
        <v>557</v>
      </c>
      <c r="G17" s="17"/>
      <c r="H17" s="18" t="s">
        <v>51</v>
      </c>
      <c r="I17" s="59"/>
      <c r="J17" s="19">
        <v>50</v>
      </c>
      <c r="K17" s="19"/>
      <c r="L17" s="50"/>
      <c r="M17" s="73" t="s">
        <v>21</v>
      </c>
      <c r="N17" s="54">
        <f t="shared" si="0"/>
        <v>50</v>
      </c>
      <c r="O17" s="170"/>
      <c r="P17" s="191"/>
      <c r="Q17" s="192"/>
      <c r="R17" s="192"/>
      <c r="S17" s="192"/>
      <c r="T17" s="192"/>
      <c r="U17" s="193"/>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71"/>
      <c r="P18" s="197"/>
      <c r="Q18" s="198"/>
      <c r="R18" s="198"/>
      <c r="S18" s="198"/>
      <c r="T18" s="198"/>
      <c r="U18" s="199"/>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71"/>
      <c r="P19" s="197"/>
      <c r="Q19" s="198"/>
      <c r="R19" s="198"/>
      <c r="S19" s="198"/>
      <c r="T19" s="198"/>
      <c r="U19" s="199"/>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71"/>
      <c r="P20" s="197"/>
      <c r="Q20" s="198"/>
      <c r="R20" s="198"/>
      <c r="S20" s="198"/>
      <c r="T20" s="198"/>
      <c r="U20" s="199"/>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71"/>
      <c r="P21" s="197"/>
      <c r="Q21" s="198"/>
      <c r="R21" s="198"/>
      <c r="S21" s="198"/>
      <c r="T21" s="198"/>
      <c r="U21" s="199"/>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71"/>
      <c r="P22" s="197"/>
      <c r="Q22" s="198"/>
      <c r="R22" s="198"/>
      <c r="S22" s="198"/>
      <c r="T22" s="198"/>
      <c r="U22" s="199"/>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71"/>
      <c r="P23" s="197"/>
      <c r="Q23" s="198"/>
      <c r="R23" s="198"/>
      <c r="S23" s="198"/>
      <c r="T23" s="198"/>
      <c r="U23" s="199"/>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70">
        <v>0</v>
      </c>
      <c r="P24" s="191" t="s">
        <v>48</v>
      </c>
      <c r="Q24" s="192"/>
      <c r="R24" s="192"/>
      <c r="S24" s="192"/>
      <c r="T24" s="192"/>
      <c r="U24" s="193"/>
    </row>
    <row r="25" spans="1:21" ht="16.5" thickBot="1">
      <c r="A25" s="118"/>
      <c r="B25" s="119"/>
      <c r="C25" s="120"/>
      <c r="D25" s="120"/>
      <c r="E25" s="121"/>
      <c r="F25" s="129"/>
      <c r="G25" s="122"/>
      <c r="H25" s="147"/>
      <c r="I25" s="148"/>
      <c r="J25" s="125"/>
      <c r="K25" s="125"/>
      <c r="L25" s="126"/>
      <c r="M25" s="126"/>
      <c r="N25" s="127"/>
      <c r="O25" s="172"/>
      <c r="P25" s="194"/>
      <c r="Q25" s="195"/>
      <c r="R25" s="195"/>
      <c r="S25" s="195"/>
      <c r="T25" s="195"/>
      <c r="U25" s="196"/>
    </row>
  </sheetData>
  <mergeCells count="42">
    <mergeCell ref="P22:U22"/>
    <mergeCell ref="P23:U23"/>
    <mergeCell ref="P24:U24"/>
    <mergeCell ref="P25:U25"/>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325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325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325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325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325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14D07010-6874-45EE-AC6B-80C6144834A7}">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3300C5A8-E9C0-40F3-9CB7-19BADB9EF235}">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E722389E-2B6A-41A8-9A27-66356AC92404}">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06DCC789-0F74-4F6F-B92E-E489E4FE9722}">
            <xm:f>(AND(H18&lt;&gt;"",ISERROR(VLOOKUP(H18,system!$E:$E,1,FALSE))))</xm:f>
            <x14:dxf>
              <fill>
                <patternFill>
                  <bgColor rgb="FFFF0000"/>
                </patternFill>
              </fill>
            </x14:dxf>
          </x14:cfRule>
          <xm:sqref>I18:I25</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A1:U29"/>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682</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173</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SUM(N14:N30)</f>
        <v>118</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370</v>
      </c>
      <c r="D14" s="80"/>
      <c r="E14" s="81"/>
      <c r="F14" s="146"/>
      <c r="G14" s="17"/>
      <c r="H14" s="18" t="s">
        <v>49</v>
      </c>
      <c r="I14" s="59"/>
      <c r="J14" s="19">
        <v>3</v>
      </c>
      <c r="K14" s="19"/>
      <c r="L14" s="50" t="s">
        <v>190</v>
      </c>
      <c r="M14" s="73" t="s">
        <v>21</v>
      </c>
      <c r="N14" s="54">
        <f t="shared" ref="N14:N28" si="0">IF(H14="NUMBER",IF(J14&gt;0,INT((J14+1)/2+0.9),0),IF(H14="DATE",7,IF(OR(H14="LONG",H14="LONG RAW"),100000,J14)))</f>
        <v>3</v>
      </c>
      <c r="O14" s="170"/>
      <c r="P14" s="191"/>
      <c r="Q14" s="192"/>
      <c r="R14" s="192"/>
      <c r="S14" s="192"/>
      <c r="T14" s="192"/>
      <c r="U14" s="193"/>
    </row>
    <row r="15" spans="1:21" ht="15.75" customHeight="1">
      <c r="A15" s="85" t="s">
        <v>191</v>
      </c>
      <c r="B15" s="37">
        <f>ROW()-13</f>
        <v>2</v>
      </c>
      <c r="C15" s="145" t="s">
        <v>310</v>
      </c>
      <c r="D15" s="80"/>
      <c r="E15" s="81"/>
      <c r="F15" s="146"/>
      <c r="G15" s="17"/>
      <c r="H15" s="18" t="s">
        <v>49</v>
      </c>
      <c r="I15" s="59"/>
      <c r="J15" s="19">
        <v>1</v>
      </c>
      <c r="K15" s="19"/>
      <c r="L15" s="50" t="s">
        <v>190</v>
      </c>
      <c r="M15" s="73" t="s">
        <v>21</v>
      </c>
      <c r="N15" s="54">
        <f t="shared" si="0"/>
        <v>1</v>
      </c>
      <c r="O15" s="170"/>
      <c r="P15" s="191" t="s">
        <v>683</v>
      </c>
      <c r="Q15" s="192"/>
      <c r="R15" s="192"/>
      <c r="S15" s="192"/>
      <c r="T15" s="192"/>
      <c r="U15" s="193"/>
    </row>
    <row r="16" spans="1:21" ht="15.75" customHeight="1">
      <c r="A16" s="85" t="s">
        <v>191</v>
      </c>
      <c r="B16" s="37">
        <f>ROW()-13</f>
        <v>3</v>
      </c>
      <c r="C16" s="145" t="s">
        <v>598</v>
      </c>
      <c r="D16" s="80"/>
      <c r="E16" s="81"/>
      <c r="F16" s="146"/>
      <c r="G16" s="17"/>
      <c r="H16" s="18" t="s">
        <v>49</v>
      </c>
      <c r="I16" s="59"/>
      <c r="J16" s="19">
        <v>1</v>
      </c>
      <c r="K16" s="19"/>
      <c r="L16" s="50" t="s">
        <v>190</v>
      </c>
      <c r="M16" s="73" t="s">
        <v>21</v>
      </c>
      <c r="N16" s="54">
        <f t="shared" si="0"/>
        <v>1</v>
      </c>
      <c r="O16" s="170"/>
      <c r="P16" s="191" t="s">
        <v>202</v>
      </c>
      <c r="Q16" s="192"/>
      <c r="R16" s="192"/>
      <c r="S16" s="192"/>
      <c r="T16" s="192"/>
      <c r="U16" s="193"/>
    </row>
    <row r="17" spans="1:21" ht="15.75" customHeight="1">
      <c r="A17" s="85"/>
      <c r="B17" s="37">
        <f>ROW()-13</f>
        <v>4</v>
      </c>
      <c r="C17" s="145" t="s">
        <v>684</v>
      </c>
      <c r="D17" s="80"/>
      <c r="E17" s="81"/>
      <c r="F17" s="146"/>
      <c r="G17" s="17"/>
      <c r="H17" s="18" t="s">
        <v>49</v>
      </c>
      <c r="I17" s="59"/>
      <c r="J17" s="19">
        <v>5</v>
      </c>
      <c r="K17" s="19"/>
      <c r="L17" s="50"/>
      <c r="M17" s="73" t="s">
        <v>21</v>
      </c>
      <c r="N17" s="54">
        <f t="shared" si="0"/>
        <v>5</v>
      </c>
      <c r="O17" s="170"/>
      <c r="P17" s="191" t="s">
        <v>685</v>
      </c>
      <c r="Q17" s="192"/>
      <c r="R17" s="192"/>
      <c r="S17" s="192"/>
      <c r="T17" s="192"/>
      <c r="U17" s="193"/>
    </row>
    <row r="18" spans="1:21" ht="15.75" customHeight="1">
      <c r="A18" s="85"/>
      <c r="B18" s="37">
        <f>ROW()-13</f>
        <v>5</v>
      </c>
      <c r="C18" s="145" t="s">
        <v>686</v>
      </c>
      <c r="D18" s="80"/>
      <c r="E18" s="81"/>
      <c r="F18" s="146"/>
      <c r="G18" s="17"/>
      <c r="H18" s="18" t="s">
        <v>49</v>
      </c>
      <c r="I18" s="59"/>
      <c r="J18" s="19">
        <v>5</v>
      </c>
      <c r="K18" s="19"/>
      <c r="L18" s="50"/>
      <c r="M18" s="73" t="s">
        <v>21</v>
      </c>
      <c r="N18" s="54">
        <f t="shared" si="0"/>
        <v>5</v>
      </c>
      <c r="O18" s="170"/>
      <c r="P18" s="191" t="s">
        <v>685</v>
      </c>
      <c r="Q18" s="192"/>
      <c r="R18" s="192"/>
      <c r="S18" s="192"/>
      <c r="T18" s="192"/>
      <c r="U18" s="193"/>
    </row>
    <row r="19" spans="1:21" ht="15.75" customHeight="1">
      <c r="A19" s="85"/>
      <c r="B19" s="37">
        <f>ROW()-13</f>
        <v>6</v>
      </c>
      <c r="C19" s="145" t="s">
        <v>687</v>
      </c>
      <c r="D19" s="80"/>
      <c r="E19" s="81"/>
      <c r="F19" s="146"/>
      <c r="G19" s="17"/>
      <c r="H19" s="18" t="s">
        <v>208</v>
      </c>
      <c r="I19" s="59"/>
      <c r="J19" s="19"/>
      <c r="K19" s="19"/>
      <c r="L19" s="50"/>
      <c r="M19" s="73" t="s">
        <v>21</v>
      </c>
      <c r="N19" s="54">
        <f t="shared" si="0"/>
        <v>0</v>
      </c>
      <c r="O19" s="170"/>
      <c r="P19" s="191"/>
      <c r="Q19" s="192"/>
      <c r="R19" s="192"/>
      <c r="S19" s="192"/>
      <c r="T19" s="192"/>
      <c r="U19" s="193"/>
    </row>
    <row r="20" spans="1:21" ht="15.75" customHeight="1">
      <c r="A20" s="85"/>
      <c r="B20" s="37">
        <f>ROW()-13</f>
        <v>7</v>
      </c>
      <c r="C20" s="145" t="s">
        <v>688</v>
      </c>
      <c r="D20" s="80"/>
      <c r="E20" s="81"/>
      <c r="F20" s="146"/>
      <c r="G20" s="17"/>
      <c r="H20" s="18" t="s">
        <v>49</v>
      </c>
      <c r="I20" s="59"/>
      <c r="J20" s="19">
        <v>1</v>
      </c>
      <c r="K20" s="19"/>
      <c r="L20" s="50"/>
      <c r="M20" s="73" t="s">
        <v>21</v>
      </c>
      <c r="N20" s="54">
        <f t="shared" si="0"/>
        <v>1</v>
      </c>
      <c r="O20" s="170"/>
      <c r="P20" s="191"/>
      <c r="Q20" s="192"/>
      <c r="R20" s="192"/>
      <c r="S20" s="192"/>
      <c r="T20" s="192"/>
      <c r="U20" s="193"/>
    </row>
    <row r="21" spans="1:21" ht="15.75" customHeight="1">
      <c r="A21" s="85"/>
      <c r="B21" s="37">
        <f>ROW()-13</f>
        <v>8</v>
      </c>
      <c r="C21" s="145" t="s">
        <v>277</v>
      </c>
      <c r="D21" s="80"/>
      <c r="E21" s="81"/>
      <c r="F21" s="146" t="s">
        <v>643</v>
      </c>
      <c r="G21" s="17"/>
      <c r="H21" s="18" t="s">
        <v>51</v>
      </c>
      <c r="I21" s="59"/>
      <c r="J21" s="19">
        <v>50</v>
      </c>
      <c r="K21" s="19"/>
      <c r="L21" s="50"/>
      <c r="M21" s="73" t="s">
        <v>21</v>
      </c>
      <c r="N21" s="54">
        <f t="shared" si="0"/>
        <v>50</v>
      </c>
      <c r="O21" s="170"/>
      <c r="P21" s="191"/>
      <c r="Q21" s="192"/>
      <c r="R21" s="192"/>
      <c r="S21" s="192"/>
      <c r="T21" s="192"/>
      <c r="U21" s="193"/>
    </row>
    <row r="22" spans="1:21" ht="15.75">
      <c r="A22" s="85"/>
      <c r="B22" s="37">
        <f t="shared" ref="B22:B28" si="1">ROW()-13</f>
        <v>9</v>
      </c>
      <c r="C22" s="107" t="s">
        <v>36</v>
      </c>
      <c r="D22" s="107"/>
      <c r="E22" s="108"/>
      <c r="F22" s="109" t="s">
        <v>78</v>
      </c>
      <c r="G22" s="110"/>
      <c r="H22" s="18" t="s">
        <v>51</v>
      </c>
      <c r="I22" s="59"/>
      <c r="J22" s="113">
        <v>12</v>
      </c>
      <c r="K22" s="113"/>
      <c r="L22" s="114"/>
      <c r="M22" s="115" t="s">
        <v>35</v>
      </c>
      <c r="N22" s="116">
        <f t="shared" si="0"/>
        <v>12</v>
      </c>
      <c r="O22" s="171"/>
      <c r="P22" s="197"/>
      <c r="Q22" s="198"/>
      <c r="R22" s="198"/>
      <c r="S22" s="198"/>
      <c r="T22" s="198"/>
      <c r="U22" s="199"/>
    </row>
    <row r="23" spans="1:21" ht="15.75">
      <c r="A23" s="85"/>
      <c r="B23" s="37">
        <f t="shared" si="1"/>
        <v>10</v>
      </c>
      <c r="C23" s="107" t="s">
        <v>37</v>
      </c>
      <c r="D23" s="107"/>
      <c r="E23" s="108"/>
      <c r="F23" s="109" t="s">
        <v>43</v>
      </c>
      <c r="G23" s="110"/>
      <c r="H23" s="18" t="s">
        <v>51</v>
      </c>
      <c r="I23" s="59"/>
      <c r="J23" s="113">
        <v>10</v>
      </c>
      <c r="K23" s="113"/>
      <c r="L23" s="114"/>
      <c r="M23" s="115" t="s">
        <v>21</v>
      </c>
      <c r="N23" s="116">
        <f t="shared" si="0"/>
        <v>10</v>
      </c>
      <c r="O23" s="171"/>
      <c r="P23" s="197"/>
      <c r="Q23" s="198"/>
      <c r="R23" s="198"/>
      <c r="S23" s="198"/>
      <c r="T23" s="198"/>
      <c r="U23" s="199"/>
    </row>
    <row r="24" spans="1:21" ht="15.75">
      <c r="A24" s="85"/>
      <c r="B24" s="37">
        <f t="shared" si="1"/>
        <v>11</v>
      </c>
      <c r="C24" s="107" t="s">
        <v>38</v>
      </c>
      <c r="D24" s="107"/>
      <c r="E24" s="108"/>
      <c r="F24" s="109" t="s">
        <v>80</v>
      </c>
      <c r="G24" s="110"/>
      <c r="H24" s="18" t="s">
        <v>86</v>
      </c>
      <c r="I24" s="59"/>
      <c r="J24" s="113"/>
      <c r="K24" s="113"/>
      <c r="L24" s="114"/>
      <c r="M24" s="115" t="s">
        <v>21</v>
      </c>
      <c r="N24" s="116">
        <f t="shared" si="0"/>
        <v>0</v>
      </c>
      <c r="O24" s="171"/>
      <c r="P24" s="197"/>
      <c r="Q24" s="198"/>
      <c r="R24" s="198"/>
      <c r="S24" s="198"/>
      <c r="T24" s="198"/>
      <c r="U24" s="199"/>
    </row>
    <row r="25" spans="1:21" ht="15.75">
      <c r="A25" s="85"/>
      <c r="B25" s="37">
        <f t="shared" si="1"/>
        <v>12</v>
      </c>
      <c r="C25" s="107" t="s">
        <v>39</v>
      </c>
      <c r="D25" s="107"/>
      <c r="E25" s="108"/>
      <c r="F25" s="109" t="s">
        <v>79</v>
      </c>
      <c r="G25" s="110"/>
      <c r="H25" s="18" t="s">
        <v>51</v>
      </c>
      <c r="I25" s="59"/>
      <c r="J25" s="113">
        <v>12</v>
      </c>
      <c r="K25" s="113"/>
      <c r="L25" s="114"/>
      <c r="M25" s="115" t="s">
        <v>35</v>
      </c>
      <c r="N25" s="116">
        <f t="shared" si="0"/>
        <v>12</v>
      </c>
      <c r="O25" s="171"/>
      <c r="P25" s="197"/>
      <c r="Q25" s="198"/>
      <c r="R25" s="198"/>
      <c r="S25" s="198"/>
      <c r="T25" s="198"/>
      <c r="U25" s="199"/>
    </row>
    <row r="26" spans="1:21" ht="15.75">
      <c r="A26" s="85"/>
      <c r="B26" s="37">
        <f t="shared" si="1"/>
        <v>13</v>
      </c>
      <c r="C26" s="107" t="s">
        <v>40</v>
      </c>
      <c r="D26" s="107"/>
      <c r="E26" s="108"/>
      <c r="F26" s="109" t="s">
        <v>44</v>
      </c>
      <c r="G26" s="110"/>
      <c r="H26" s="18" t="s">
        <v>51</v>
      </c>
      <c r="I26" s="59"/>
      <c r="J26" s="113">
        <v>10</v>
      </c>
      <c r="K26" s="113"/>
      <c r="L26" s="114"/>
      <c r="M26" s="115" t="s">
        <v>21</v>
      </c>
      <c r="N26" s="116">
        <f t="shared" si="0"/>
        <v>10</v>
      </c>
      <c r="O26" s="171"/>
      <c r="P26" s="197"/>
      <c r="Q26" s="198"/>
      <c r="R26" s="198"/>
      <c r="S26" s="198"/>
      <c r="T26" s="198"/>
      <c r="U26" s="199"/>
    </row>
    <row r="27" spans="1:21" ht="15.75">
      <c r="A27" s="85"/>
      <c r="B27" s="37">
        <f t="shared" si="1"/>
        <v>14</v>
      </c>
      <c r="C27" s="107" t="s">
        <v>41</v>
      </c>
      <c r="D27" s="107"/>
      <c r="E27" s="108"/>
      <c r="F27" s="109" t="s">
        <v>81</v>
      </c>
      <c r="G27" s="110"/>
      <c r="H27" s="18" t="s">
        <v>86</v>
      </c>
      <c r="I27" s="59"/>
      <c r="J27" s="113"/>
      <c r="K27" s="113"/>
      <c r="L27" s="114"/>
      <c r="M27" s="115" t="s">
        <v>21</v>
      </c>
      <c r="N27" s="116">
        <f t="shared" si="0"/>
        <v>0</v>
      </c>
      <c r="O27" s="171"/>
      <c r="P27" s="197"/>
      <c r="Q27" s="198"/>
      <c r="R27" s="198"/>
      <c r="S27" s="198"/>
      <c r="T27" s="198"/>
      <c r="U27" s="199"/>
    </row>
    <row r="28" spans="1:21" ht="15.75">
      <c r="A28" s="85"/>
      <c r="B28" s="37">
        <f t="shared" si="1"/>
        <v>15</v>
      </c>
      <c r="C28" s="80" t="s">
        <v>46</v>
      </c>
      <c r="D28" s="80"/>
      <c r="E28" s="81"/>
      <c r="F28" s="84" t="s">
        <v>71</v>
      </c>
      <c r="G28" s="17"/>
      <c r="H28" s="18" t="s">
        <v>62</v>
      </c>
      <c r="I28" s="59"/>
      <c r="J28" s="19">
        <v>8</v>
      </c>
      <c r="K28" s="19"/>
      <c r="L28" s="50" t="s">
        <v>47</v>
      </c>
      <c r="M28" s="73" t="s">
        <v>35</v>
      </c>
      <c r="N28" s="54">
        <f t="shared" si="0"/>
        <v>8</v>
      </c>
      <c r="O28" s="170">
        <v>0</v>
      </c>
      <c r="P28" s="191" t="s">
        <v>48</v>
      </c>
      <c r="Q28" s="192"/>
      <c r="R28" s="192"/>
      <c r="S28" s="192"/>
      <c r="T28" s="192"/>
      <c r="U28" s="193"/>
    </row>
    <row r="29" spans="1:21" ht="16.5" thickBot="1">
      <c r="A29" s="118"/>
      <c r="B29" s="119"/>
      <c r="C29" s="120"/>
      <c r="D29" s="120"/>
      <c r="E29" s="121"/>
      <c r="F29" s="129"/>
      <c r="G29" s="122"/>
      <c r="H29" s="147"/>
      <c r="I29" s="148"/>
      <c r="J29" s="125"/>
      <c r="K29" s="125"/>
      <c r="L29" s="126"/>
      <c r="M29" s="126"/>
      <c r="N29" s="127"/>
      <c r="O29" s="172"/>
      <c r="P29" s="194"/>
      <c r="Q29" s="195"/>
      <c r="R29" s="195"/>
      <c r="S29" s="195"/>
      <c r="T29" s="195"/>
      <c r="U29" s="196"/>
    </row>
  </sheetData>
  <mergeCells count="46">
    <mergeCell ref="P28:U28"/>
    <mergeCell ref="P29:U29"/>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427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427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427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427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427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90DC9B6A-B11F-4760-B773-5550560A3B67}">
            <xm:f>(AND(H14&lt;&gt;"",ISERROR(VLOOKUP(H14,system!$E:$E,1,FALSE))))</xm:f>
            <x14:dxf>
              <fill>
                <patternFill patternType="solid">
                  <bgColor rgb="FFFF0000"/>
                </patternFill>
              </fill>
            </x14:dxf>
          </x14:cfRule>
          <xm:sqref>H14:H21</xm:sqref>
        </x14:conditionalFormatting>
        <x14:conditionalFormatting xmlns:xm="http://schemas.microsoft.com/office/excel/2006/main">
          <x14:cfRule type="expression" priority="3" id="{CD1E8F3B-E07C-44C3-B872-623FFAD064B9}">
            <xm:f>(AND(H14&lt;&gt;"",ISERROR(VLOOKUP(H14,system!$E:$E,1,FALSE))))</xm:f>
            <x14:dxf>
              <fill>
                <patternFill>
                  <bgColor rgb="FFFF0000"/>
                </patternFill>
              </fill>
            </x14:dxf>
          </x14:cfRule>
          <xm:sqref>I14:I21</xm:sqref>
        </x14:conditionalFormatting>
        <x14:conditionalFormatting xmlns:xm="http://schemas.microsoft.com/office/excel/2006/main">
          <x14:cfRule type="expression" priority="2" id="{743A37D6-F0A7-4BE0-972B-771D79CBA0A3}">
            <xm:f>(AND(H22&lt;&gt;"",ISERROR(VLOOKUP(H22,system!$E:$E,1,FALSE))))</xm:f>
            <x14:dxf>
              <fill>
                <patternFill patternType="solid">
                  <bgColor rgb="FFFF0000"/>
                </patternFill>
              </fill>
            </x14:dxf>
          </x14:cfRule>
          <xm:sqref>H22:H29</xm:sqref>
        </x14:conditionalFormatting>
        <x14:conditionalFormatting xmlns:xm="http://schemas.microsoft.com/office/excel/2006/main">
          <x14:cfRule type="expression" priority="1" id="{3C26790B-C713-4597-B29B-8CEB26CC5517}">
            <xm:f>(AND(H22&lt;&gt;"",ISERROR(VLOOKUP(H22,system!$E:$E,1,FALSE))))</xm:f>
            <x14:dxf>
              <fill>
                <patternFill>
                  <bgColor rgb="FFFF0000"/>
                </patternFill>
              </fill>
            </x14:dxf>
          </x14:cfRule>
          <xm:sqref>I22:I29</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pageSetUpPr fitToPage="1"/>
  </sheetPr>
  <dimension ref="A1:U2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690</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169</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SUM(N14:N26)</f>
        <v>253</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188</v>
      </c>
      <c r="D14" s="80"/>
      <c r="E14" s="81"/>
      <c r="F14" s="146"/>
      <c r="G14" s="17"/>
      <c r="H14" s="18" t="s">
        <v>49</v>
      </c>
      <c r="I14" s="59"/>
      <c r="J14" s="19">
        <v>1</v>
      </c>
      <c r="K14" s="19"/>
      <c r="L14" s="50" t="s">
        <v>190</v>
      </c>
      <c r="M14" s="73" t="s">
        <v>21</v>
      </c>
      <c r="N14" s="54">
        <f t="shared" ref="N14:N24" si="0">IF(H14="NUMBER",IF(J14&gt;0,INT((J14+1)/2+0.9),0),IF(H14="DATE",7,IF(OR(H14="LONG",H14="LONG RAW"),100000,J14)))</f>
        <v>1</v>
      </c>
      <c r="O14" s="170"/>
      <c r="P14" s="191" t="s">
        <v>691</v>
      </c>
      <c r="Q14" s="192"/>
      <c r="R14" s="192"/>
      <c r="S14" s="192"/>
      <c r="T14" s="192"/>
      <c r="U14" s="193"/>
    </row>
    <row r="15" spans="1:21" ht="15.75" customHeight="1">
      <c r="A15" s="85"/>
      <c r="B15" s="37">
        <f>ROW()-13</f>
        <v>2</v>
      </c>
      <c r="C15" s="145" t="s">
        <v>692</v>
      </c>
      <c r="D15" s="80"/>
      <c r="E15" s="81"/>
      <c r="F15" s="146"/>
      <c r="G15" s="17"/>
      <c r="H15" s="18" t="s">
        <v>51</v>
      </c>
      <c r="I15" s="59"/>
      <c r="J15" s="19">
        <v>50</v>
      </c>
      <c r="K15" s="19"/>
      <c r="L15" s="50"/>
      <c r="M15" s="73" t="s">
        <v>21</v>
      </c>
      <c r="N15" s="54">
        <f t="shared" si="0"/>
        <v>50</v>
      </c>
      <c r="O15" s="170"/>
      <c r="P15" s="191"/>
      <c r="Q15" s="192"/>
      <c r="R15" s="192"/>
      <c r="S15" s="192"/>
      <c r="T15" s="192"/>
      <c r="U15" s="193"/>
    </row>
    <row r="16" spans="1:21" ht="15.75" customHeight="1">
      <c r="A16" s="85"/>
      <c r="B16" s="37">
        <f>ROW()-13</f>
        <v>3</v>
      </c>
      <c r="C16" s="145" t="s">
        <v>693</v>
      </c>
      <c r="D16" s="80"/>
      <c r="E16" s="81"/>
      <c r="F16" s="146"/>
      <c r="G16" s="17"/>
      <c r="H16" s="18" t="s">
        <v>51</v>
      </c>
      <c r="I16" s="59"/>
      <c r="J16" s="19">
        <v>100</v>
      </c>
      <c r="K16" s="19"/>
      <c r="L16" s="50"/>
      <c r="M16" s="73" t="s">
        <v>21</v>
      </c>
      <c r="N16" s="54">
        <f t="shared" si="0"/>
        <v>100</v>
      </c>
      <c r="O16" s="170"/>
      <c r="P16" s="191"/>
      <c r="Q16" s="192"/>
      <c r="R16" s="192"/>
      <c r="S16" s="192"/>
      <c r="T16" s="192"/>
      <c r="U16" s="193"/>
    </row>
    <row r="17" spans="1:21" ht="15.75" customHeight="1">
      <c r="A17" s="85"/>
      <c r="B17" s="37">
        <f>ROW()-13</f>
        <v>4</v>
      </c>
      <c r="C17" s="145" t="s">
        <v>277</v>
      </c>
      <c r="D17" s="80"/>
      <c r="E17" s="81"/>
      <c r="F17" s="146" t="s">
        <v>557</v>
      </c>
      <c r="G17" s="17"/>
      <c r="H17" s="18" t="s">
        <v>51</v>
      </c>
      <c r="I17" s="59"/>
      <c r="J17" s="19">
        <v>50</v>
      </c>
      <c r="K17" s="19"/>
      <c r="L17" s="50"/>
      <c r="M17" s="73" t="s">
        <v>21</v>
      </c>
      <c r="N17" s="54">
        <f t="shared" si="0"/>
        <v>50</v>
      </c>
      <c r="O17" s="170"/>
      <c r="P17" s="191"/>
      <c r="Q17" s="192"/>
      <c r="R17" s="192"/>
      <c r="S17" s="192"/>
      <c r="T17" s="192"/>
      <c r="U17" s="193"/>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71"/>
      <c r="P18" s="197"/>
      <c r="Q18" s="198"/>
      <c r="R18" s="198"/>
      <c r="S18" s="198"/>
      <c r="T18" s="198"/>
      <c r="U18" s="199"/>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71"/>
      <c r="P19" s="197"/>
      <c r="Q19" s="198"/>
      <c r="R19" s="198"/>
      <c r="S19" s="198"/>
      <c r="T19" s="198"/>
      <c r="U19" s="199"/>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71"/>
      <c r="P20" s="197"/>
      <c r="Q20" s="198"/>
      <c r="R20" s="198"/>
      <c r="S20" s="198"/>
      <c r="T20" s="198"/>
      <c r="U20" s="199"/>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71"/>
      <c r="P21" s="197"/>
      <c r="Q21" s="198"/>
      <c r="R21" s="198"/>
      <c r="S21" s="198"/>
      <c r="T21" s="198"/>
      <c r="U21" s="199"/>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71"/>
      <c r="P22" s="197"/>
      <c r="Q22" s="198"/>
      <c r="R22" s="198"/>
      <c r="S22" s="198"/>
      <c r="T22" s="198"/>
      <c r="U22" s="199"/>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71"/>
      <c r="P23" s="197"/>
      <c r="Q23" s="198"/>
      <c r="R23" s="198"/>
      <c r="S23" s="198"/>
      <c r="T23" s="198"/>
      <c r="U23" s="199"/>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70">
        <v>0</v>
      </c>
      <c r="P24" s="191" t="s">
        <v>48</v>
      </c>
      <c r="Q24" s="192"/>
      <c r="R24" s="192"/>
      <c r="S24" s="192"/>
      <c r="T24" s="192"/>
      <c r="U24" s="193"/>
    </row>
    <row r="25" spans="1:21" ht="16.5" thickBot="1">
      <c r="A25" s="118"/>
      <c r="B25" s="119"/>
      <c r="C25" s="120"/>
      <c r="D25" s="120"/>
      <c r="E25" s="121"/>
      <c r="F25" s="129"/>
      <c r="G25" s="122"/>
      <c r="H25" s="147"/>
      <c r="I25" s="148"/>
      <c r="J25" s="125"/>
      <c r="K25" s="125"/>
      <c r="L25" s="126"/>
      <c r="M25" s="126"/>
      <c r="N25" s="127"/>
      <c r="O25" s="172"/>
      <c r="P25" s="194"/>
      <c r="Q25" s="195"/>
      <c r="R25" s="195"/>
      <c r="S25" s="195"/>
      <c r="T25" s="195"/>
      <c r="U25" s="196"/>
    </row>
  </sheetData>
  <mergeCells count="42">
    <mergeCell ref="P22:U22"/>
    <mergeCell ref="P23:U23"/>
    <mergeCell ref="P24:U24"/>
    <mergeCell ref="P25:U25"/>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529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529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530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530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530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DAAD036C-BA95-44DD-98AD-30C38D7BD02A}">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2C01313A-B001-44FF-8756-EFA6AEF1DB4B}">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AF60056E-9780-467C-B5A2-8EE69A28AE97}">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1272AE82-268B-4875-98A3-939C633269CD}">
            <xm:f>(AND(H18&lt;&gt;"",ISERROR(VLOOKUP(H18,system!$E:$E,1,FALSE))))</xm:f>
            <x14:dxf>
              <fill>
                <patternFill>
                  <bgColor rgb="FFFF0000"/>
                </patternFill>
              </fill>
            </x14:dxf>
          </x14:cfRule>
          <xm:sqref>I18:I25</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U24"/>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695</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176</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SUM(N14:N25)</f>
        <v>124</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696</v>
      </c>
      <c r="D14" s="80"/>
      <c r="E14" s="81"/>
      <c r="F14" s="146"/>
      <c r="G14" s="17"/>
      <c r="H14" s="18" t="s">
        <v>49</v>
      </c>
      <c r="I14" s="59"/>
      <c r="J14" s="19">
        <v>2</v>
      </c>
      <c r="K14" s="19"/>
      <c r="L14" s="50" t="s">
        <v>190</v>
      </c>
      <c r="M14" s="73" t="s">
        <v>21</v>
      </c>
      <c r="N14" s="54">
        <f t="shared" ref="N14:N23" si="0">IF(H14="NUMBER",IF(J14&gt;0,INT((J14+1)/2+0.9),0),IF(H14="DATE",7,IF(OR(H14="LONG",H14="LONG RAW"),100000,J14)))</f>
        <v>2</v>
      </c>
      <c r="O14" s="170"/>
      <c r="P14" s="191"/>
      <c r="Q14" s="192"/>
      <c r="R14" s="192"/>
      <c r="S14" s="192"/>
      <c r="T14" s="192"/>
      <c r="U14" s="193"/>
    </row>
    <row r="15" spans="1:21" ht="15.75" customHeight="1">
      <c r="A15" s="85"/>
      <c r="B15" s="37">
        <f>ROW()-13</f>
        <v>2</v>
      </c>
      <c r="C15" s="145" t="s">
        <v>697</v>
      </c>
      <c r="D15" s="80"/>
      <c r="E15" s="81"/>
      <c r="F15" s="146"/>
      <c r="G15" s="17"/>
      <c r="H15" s="18" t="s">
        <v>51</v>
      </c>
      <c r="I15" s="59"/>
      <c r="J15" s="19">
        <v>20</v>
      </c>
      <c r="K15" s="19"/>
      <c r="L15" s="50" t="s">
        <v>190</v>
      </c>
      <c r="M15" s="73" t="s">
        <v>21</v>
      </c>
      <c r="N15" s="54">
        <f t="shared" si="0"/>
        <v>20</v>
      </c>
      <c r="O15" s="170"/>
      <c r="P15" s="191"/>
      <c r="Q15" s="192"/>
      <c r="R15" s="192"/>
      <c r="S15" s="192"/>
      <c r="T15" s="192"/>
      <c r="U15" s="193"/>
    </row>
    <row r="16" spans="1:21" ht="15.75" customHeight="1">
      <c r="A16" s="85"/>
      <c r="B16" s="37">
        <f>ROW()-13</f>
        <v>3</v>
      </c>
      <c r="C16" s="145" t="s">
        <v>277</v>
      </c>
      <c r="D16" s="80"/>
      <c r="E16" s="81"/>
      <c r="F16" s="146" t="s">
        <v>557</v>
      </c>
      <c r="G16" s="17"/>
      <c r="H16" s="18" t="s">
        <v>51</v>
      </c>
      <c r="I16" s="59"/>
      <c r="J16" s="19">
        <v>50</v>
      </c>
      <c r="K16" s="19"/>
      <c r="L16" s="50"/>
      <c r="M16" s="73" t="s">
        <v>21</v>
      </c>
      <c r="N16" s="54">
        <f t="shared" si="0"/>
        <v>50</v>
      </c>
      <c r="O16" s="170"/>
      <c r="P16" s="191"/>
      <c r="Q16" s="192"/>
      <c r="R16" s="192"/>
      <c r="S16" s="192"/>
      <c r="T16" s="192"/>
      <c r="U16" s="193"/>
    </row>
    <row r="17" spans="1:21" ht="15.75">
      <c r="A17" s="85"/>
      <c r="B17" s="37">
        <f t="shared" ref="B17:B23" si="1">ROW()-13</f>
        <v>4</v>
      </c>
      <c r="C17" s="107" t="s">
        <v>36</v>
      </c>
      <c r="D17" s="107"/>
      <c r="E17" s="108"/>
      <c r="F17" s="109" t="s">
        <v>78</v>
      </c>
      <c r="G17" s="110"/>
      <c r="H17" s="18" t="s">
        <v>51</v>
      </c>
      <c r="I17" s="59"/>
      <c r="J17" s="113">
        <v>12</v>
      </c>
      <c r="K17" s="113"/>
      <c r="L17" s="114"/>
      <c r="M17" s="115" t="s">
        <v>35</v>
      </c>
      <c r="N17" s="116">
        <f t="shared" si="0"/>
        <v>12</v>
      </c>
      <c r="O17" s="171"/>
      <c r="P17" s="197"/>
      <c r="Q17" s="198"/>
      <c r="R17" s="198"/>
      <c r="S17" s="198"/>
      <c r="T17" s="198"/>
      <c r="U17" s="199"/>
    </row>
    <row r="18" spans="1:21" ht="15.75">
      <c r="A18" s="85"/>
      <c r="B18" s="37">
        <f t="shared" si="1"/>
        <v>5</v>
      </c>
      <c r="C18" s="107" t="s">
        <v>37</v>
      </c>
      <c r="D18" s="107"/>
      <c r="E18" s="108"/>
      <c r="F18" s="109" t="s">
        <v>43</v>
      </c>
      <c r="G18" s="110"/>
      <c r="H18" s="18" t="s">
        <v>51</v>
      </c>
      <c r="I18" s="59"/>
      <c r="J18" s="113">
        <v>10</v>
      </c>
      <c r="K18" s="113"/>
      <c r="L18" s="114"/>
      <c r="M18" s="115" t="s">
        <v>21</v>
      </c>
      <c r="N18" s="116">
        <f t="shared" si="0"/>
        <v>10</v>
      </c>
      <c r="O18" s="171"/>
      <c r="P18" s="197"/>
      <c r="Q18" s="198"/>
      <c r="R18" s="198"/>
      <c r="S18" s="198"/>
      <c r="T18" s="198"/>
      <c r="U18" s="199"/>
    </row>
    <row r="19" spans="1:21" ht="15.75">
      <c r="A19" s="85"/>
      <c r="B19" s="37">
        <f t="shared" si="1"/>
        <v>6</v>
      </c>
      <c r="C19" s="107" t="s">
        <v>38</v>
      </c>
      <c r="D19" s="107"/>
      <c r="E19" s="108"/>
      <c r="F19" s="109" t="s">
        <v>80</v>
      </c>
      <c r="G19" s="110"/>
      <c r="H19" s="18" t="s">
        <v>86</v>
      </c>
      <c r="I19" s="59"/>
      <c r="J19" s="113"/>
      <c r="K19" s="113"/>
      <c r="L19" s="114"/>
      <c r="M19" s="115" t="s">
        <v>21</v>
      </c>
      <c r="N19" s="116">
        <f t="shared" si="0"/>
        <v>0</v>
      </c>
      <c r="O19" s="171"/>
      <c r="P19" s="197"/>
      <c r="Q19" s="198"/>
      <c r="R19" s="198"/>
      <c r="S19" s="198"/>
      <c r="T19" s="198"/>
      <c r="U19" s="199"/>
    </row>
    <row r="20" spans="1:21" ht="15.75">
      <c r="A20" s="85"/>
      <c r="B20" s="37">
        <f t="shared" si="1"/>
        <v>7</v>
      </c>
      <c r="C20" s="107" t="s">
        <v>39</v>
      </c>
      <c r="D20" s="107"/>
      <c r="E20" s="108"/>
      <c r="F20" s="109" t="s">
        <v>79</v>
      </c>
      <c r="G20" s="110"/>
      <c r="H20" s="18" t="s">
        <v>51</v>
      </c>
      <c r="I20" s="59"/>
      <c r="J20" s="113">
        <v>12</v>
      </c>
      <c r="K20" s="113"/>
      <c r="L20" s="114"/>
      <c r="M20" s="115" t="s">
        <v>35</v>
      </c>
      <c r="N20" s="116">
        <f t="shared" si="0"/>
        <v>12</v>
      </c>
      <c r="O20" s="171"/>
      <c r="P20" s="197"/>
      <c r="Q20" s="198"/>
      <c r="R20" s="198"/>
      <c r="S20" s="198"/>
      <c r="T20" s="198"/>
      <c r="U20" s="199"/>
    </row>
    <row r="21" spans="1:21" ht="15.75">
      <c r="A21" s="85"/>
      <c r="B21" s="37">
        <f t="shared" si="1"/>
        <v>8</v>
      </c>
      <c r="C21" s="107" t="s">
        <v>40</v>
      </c>
      <c r="D21" s="107"/>
      <c r="E21" s="108"/>
      <c r="F21" s="109" t="s">
        <v>44</v>
      </c>
      <c r="G21" s="110"/>
      <c r="H21" s="18" t="s">
        <v>51</v>
      </c>
      <c r="I21" s="59"/>
      <c r="J21" s="113">
        <v>10</v>
      </c>
      <c r="K21" s="113"/>
      <c r="L21" s="114"/>
      <c r="M21" s="115" t="s">
        <v>21</v>
      </c>
      <c r="N21" s="116">
        <f t="shared" si="0"/>
        <v>10</v>
      </c>
      <c r="O21" s="171"/>
      <c r="P21" s="197"/>
      <c r="Q21" s="198"/>
      <c r="R21" s="198"/>
      <c r="S21" s="198"/>
      <c r="T21" s="198"/>
      <c r="U21" s="199"/>
    </row>
    <row r="22" spans="1:21" ht="15.75">
      <c r="A22" s="85"/>
      <c r="B22" s="37">
        <f t="shared" si="1"/>
        <v>9</v>
      </c>
      <c r="C22" s="107" t="s">
        <v>41</v>
      </c>
      <c r="D22" s="107"/>
      <c r="E22" s="108"/>
      <c r="F22" s="109" t="s">
        <v>81</v>
      </c>
      <c r="G22" s="110"/>
      <c r="H22" s="18" t="s">
        <v>86</v>
      </c>
      <c r="I22" s="59"/>
      <c r="J22" s="113"/>
      <c r="K22" s="113"/>
      <c r="L22" s="114"/>
      <c r="M22" s="115" t="s">
        <v>21</v>
      </c>
      <c r="N22" s="116">
        <f t="shared" si="0"/>
        <v>0</v>
      </c>
      <c r="O22" s="171"/>
      <c r="P22" s="197"/>
      <c r="Q22" s="198"/>
      <c r="R22" s="198"/>
      <c r="S22" s="198"/>
      <c r="T22" s="198"/>
      <c r="U22" s="199"/>
    </row>
    <row r="23" spans="1:21" ht="15.75">
      <c r="A23" s="85"/>
      <c r="B23" s="37">
        <f t="shared" si="1"/>
        <v>10</v>
      </c>
      <c r="C23" s="80" t="s">
        <v>46</v>
      </c>
      <c r="D23" s="80"/>
      <c r="E23" s="81"/>
      <c r="F23" s="84" t="s">
        <v>71</v>
      </c>
      <c r="G23" s="17"/>
      <c r="H23" s="18" t="s">
        <v>62</v>
      </c>
      <c r="I23" s="59"/>
      <c r="J23" s="19">
        <v>8</v>
      </c>
      <c r="K23" s="19"/>
      <c r="L23" s="50" t="s">
        <v>47</v>
      </c>
      <c r="M23" s="73" t="s">
        <v>35</v>
      </c>
      <c r="N23" s="54">
        <f t="shared" si="0"/>
        <v>8</v>
      </c>
      <c r="O23" s="170">
        <v>0</v>
      </c>
      <c r="P23" s="191" t="s">
        <v>48</v>
      </c>
      <c r="Q23" s="192"/>
      <c r="R23" s="192"/>
      <c r="S23" s="192"/>
      <c r="T23" s="192"/>
      <c r="U23" s="193"/>
    </row>
    <row r="24" spans="1:21" ht="16.5" thickBot="1">
      <c r="A24" s="118"/>
      <c r="B24" s="119"/>
      <c r="C24" s="120"/>
      <c r="D24" s="120"/>
      <c r="E24" s="121"/>
      <c r="F24" s="129"/>
      <c r="G24" s="122"/>
      <c r="H24" s="147"/>
      <c r="I24" s="148"/>
      <c r="J24" s="125"/>
      <c r="K24" s="125"/>
      <c r="L24" s="126"/>
      <c r="M24" s="126"/>
      <c r="N24" s="127"/>
      <c r="O24" s="172"/>
      <c r="P24" s="194"/>
      <c r="Q24" s="195"/>
      <c r="R24" s="195"/>
      <c r="S24" s="195"/>
      <c r="T24" s="195"/>
      <c r="U24" s="196"/>
    </row>
  </sheetData>
  <mergeCells count="41">
    <mergeCell ref="P22:U22"/>
    <mergeCell ref="P23:U23"/>
    <mergeCell ref="P24:U24"/>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632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632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632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632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632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770873EB-402E-4C6A-AD8A-C01BACD720F9}">
            <xm:f>(AND(H14&lt;&gt;"",ISERROR(VLOOKUP(H14,system!$E:$E,1,FALSE))))</xm:f>
            <x14:dxf>
              <fill>
                <patternFill patternType="solid">
                  <bgColor rgb="FFFF0000"/>
                </patternFill>
              </fill>
            </x14:dxf>
          </x14:cfRule>
          <xm:sqref>H14:H16</xm:sqref>
        </x14:conditionalFormatting>
        <x14:conditionalFormatting xmlns:xm="http://schemas.microsoft.com/office/excel/2006/main">
          <x14:cfRule type="expression" priority="3" id="{6E0E8676-121B-432F-9417-CA37E1F013CC}">
            <xm:f>(AND(H14&lt;&gt;"",ISERROR(VLOOKUP(H14,system!$E:$E,1,FALSE))))</xm:f>
            <x14:dxf>
              <fill>
                <patternFill>
                  <bgColor rgb="FFFF0000"/>
                </patternFill>
              </fill>
            </x14:dxf>
          </x14:cfRule>
          <xm:sqref>I14:I16</xm:sqref>
        </x14:conditionalFormatting>
        <x14:conditionalFormatting xmlns:xm="http://schemas.microsoft.com/office/excel/2006/main">
          <x14:cfRule type="expression" priority="2" id="{6783BCC3-F082-4014-A985-C4B05A4BD907}">
            <xm:f>(AND(H17&lt;&gt;"",ISERROR(VLOOKUP(H17,system!$E:$E,1,FALSE))))</xm:f>
            <x14:dxf>
              <fill>
                <patternFill patternType="solid">
                  <bgColor rgb="FFFF0000"/>
                </patternFill>
              </fill>
            </x14:dxf>
          </x14:cfRule>
          <xm:sqref>H17:H24</xm:sqref>
        </x14:conditionalFormatting>
        <x14:conditionalFormatting xmlns:xm="http://schemas.microsoft.com/office/excel/2006/main">
          <x14:cfRule type="expression" priority="1" id="{8950EAFE-1847-4FA8-A981-241261F10986}">
            <xm:f>(AND(H17&lt;&gt;"",ISERROR(VLOOKUP(H17,system!$E:$E,1,FALSE))))</xm:f>
            <x14:dxf>
              <fill>
                <patternFill>
                  <bgColor rgb="FFFF0000"/>
                </patternFill>
              </fill>
            </x14:dxf>
          </x14:cfRule>
          <xm:sqref>I17:I24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pageSetUpPr fitToPage="1"/>
  </sheetPr>
  <dimension ref="A1:U23"/>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699</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177</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SUM(N14:N24)</f>
        <v>106</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700</v>
      </c>
      <c r="D14" s="80"/>
      <c r="E14" s="81"/>
      <c r="F14" s="146"/>
      <c r="G14" s="17"/>
      <c r="H14" s="18" t="s">
        <v>49</v>
      </c>
      <c r="I14" s="59"/>
      <c r="J14" s="19">
        <v>4</v>
      </c>
      <c r="K14" s="19"/>
      <c r="L14" s="50" t="s">
        <v>190</v>
      </c>
      <c r="M14" s="73" t="s">
        <v>21</v>
      </c>
      <c r="N14" s="54">
        <f t="shared" ref="N14:N22" si="0">IF(H14="NUMBER",IF(J14&gt;0,INT((J14+1)/2+0.9),0),IF(H14="DATE",7,IF(OR(H14="LONG",H14="LONG RAW"),100000,J14)))</f>
        <v>4</v>
      </c>
      <c r="O14" s="170"/>
      <c r="P14" s="191"/>
      <c r="Q14" s="192"/>
      <c r="R14" s="192"/>
      <c r="S14" s="192"/>
      <c r="T14" s="192"/>
      <c r="U14" s="193"/>
    </row>
    <row r="15" spans="1:21" ht="15.75" customHeight="1">
      <c r="A15" s="85"/>
      <c r="B15" s="37">
        <f>ROW()-13</f>
        <v>2</v>
      </c>
      <c r="C15" s="145" t="s">
        <v>701</v>
      </c>
      <c r="D15" s="80"/>
      <c r="E15" s="81"/>
      <c r="F15" s="146"/>
      <c r="G15" s="17"/>
      <c r="H15" s="18" t="s">
        <v>49</v>
      </c>
      <c r="I15" s="59"/>
      <c r="J15" s="19">
        <v>50</v>
      </c>
      <c r="K15" s="19"/>
      <c r="L15" s="50"/>
      <c r="M15" s="73" t="s">
        <v>21</v>
      </c>
      <c r="N15" s="54">
        <f t="shared" si="0"/>
        <v>50</v>
      </c>
      <c r="O15" s="170"/>
      <c r="P15" s="191"/>
      <c r="Q15" s="192"/>
      <c r="R15" s="192"/>
      <c r="S15" s="192"/>
      <c r="T15" s="192"/>
      <c r="U15" s="193"/>
    </row>
    <row r="16" spans="1:21" ht="15.75">
      <c r="A16" s="85"/>
      <c r="B16" s="37">
        <f t="shared" ref="B16:B22" si="1">ROW()-13</f>
        <v>3</v>
      </c>
      <c r="C16" s="107" t="s">
        <v>36</v>
      </c>
      <c r="D16" s="107"/>
      <c r="E16" s="108"/>
      <c r="F16" s="109" t="s">
        <v>78</v>
      </c>
      <c r="G16" s="110"/>
      <c r="H16" s="18" t="s">
        <v>51</v>
      </c>
      <c r="I16" s="59"/>
      <c r="J16" s="113">
        <v>12</v>
      </c>
      <c r="K16" s="113"/>
      <c r="L16" s="114"/>
      <c r="M16" s="115" t="s">
        <v>35</v>
      </c>
      <c r="N16" s="116">
        <f t="shared" si="0"/>
        <v>12</v>
      </c>
      <c r="O16" s="171"/>
      <c r="P16" s="197"/>
      <c r="Q16" s="198"/>
      <c r="R16" s="198"/>
      <c r="S16" s="198"/>
      <c r="T16" s="198"/>
      <c r="U16" s="199"/>
    </row>
    <row r="17" spans="1:21" ht="15.75">
      <c r="A17" s="85"/>
      <c r="B17" s="37">
        <f t="shared" si="1"/>
        <v>4</v>
      </c>
      <c r="C17" s="107" t="s">
        <v>37</v>
      </c>
      <c r="D17" s="107"/>
      <c r="E17" s="108"/>
      <c r="F17" s="109" t="s">
        <v>43</v>
      </c>
      <c r="G17" s="110"/>
      <c r="H17" s="18" t="s">
        <v>51</v>
      </c>
      <c r="I17" s="59"/>
      <c r="J17" s="113">
        <v>10</v>
      </c>
      <c r="K17" s="113"/>
      <c r="L17" s="114"/>
      <c r="M17" s="115" t="s">
        <v>21</v>
      </c>
      <c r="N17" s="116">
        <f t="shared" si="0"/>
        <v>10</v>
      </c>
      <c r="O17" s="171"/>
      <c r="P17" s="197"/>
      <c r="Q17" s="198"/>
      <c r="R17" s="198"/>
      <c r="S17" s="198"/>
      <c r="T17" s="198"/>
      <c r="U17" s="199"/>
    </row>
    <row r="18" spans="1:21" ht="15.75">
      <c r="A18" s="85"/>
      <c r="B18" s="37">
        <f t="shared" si="1"/>
        <v>5</v>
      </c>
      <c r="C18" s="107" t="s">
        <v>38</v>
      </c>
      <c r="D18" s="107"/>
      <c r="E18" s="108"/>
      <c r="F18" s="109" t="s">
        <v>80</v>
      </c>
      <c r="G18" s="110"/>
      <c r="H18" s="18" t="s">
        <v>86</v>
      </c>
      <c r="I18" s="59"/>
      <c r="J18" s="113"/>
      <c r="K18" s="113"/>
      <c r="L18" s="114"/>
      <c r="M18" s="115" t="s">
        <v>21</v>
      </c>
      <c r="N18" s="116">
        <f t="shared" si="0"/>
        <v>0</v>
      </c>
      <c r="O18" s="171"/>
      <c r="P18" s="197"/>
      <c r="Q18" s="198"/>
      <c r="R18" s="198"/>
      <c r="S18" s="198"/>
      <c r="T18" s="198"/>
      <c r="U18" s="199"/>
    </row>
    <row r="19" spans="1:21" ht="15.75">
      <c r="A19" s="85"/>
      <c r="B19" s="37">
        <f t="shared" si="1"/>
        <v>6</v>
      </c>
      <c r="C19" s="107" t="s">
        <v>39</v>
      </c>
      <c r="D19" s="107"/>
      <c r="E19" s="108"/>
      <c r="F19" s="109" t="s">
        <v>79</v>
      </c>
      <c r="G19" s="110"/>
      <c r="H19" s="18" t="s">
        <v>51</v>
      </c>
      <c r="I19" s="59"/>
      <c r="J19" s="113">
        <v>12</v>
      </c>
      <c r="K19" s="113"/>
      <c r="L19" s="114"/>
      <c r="M19" s="115" t="s">
        <v>35</v>
      </c>
      <c r="N19" s="116">
        <f t="shared" si="0"/>
        <v>12</v>
      </c>
      <c r="O19" s="171"/>
      <c r="P19" s="197"/>
      <c r="Q19" s="198"/>
      <c r="R19" s="198"/>
      <c r="S19" s="198"/>
      <c r="T19" s="198"/>
      <c r="U19" s="199"/>
    </row>
    <row r="20" spans="1:21" ht="15.75">
      <c r="A20" s="85"/>
      <c r="B20" s="37">
        <f t="shared" si="1"/>
        <v>7</v>
      </c>
      <c r="C20" s="107" t="s">
        <v>40</v>
      </c>
      <c r="D20" s="107"/>
      <c r="E20" s="108"/>
      <c r="F20" s="109" t="s">
        <v>44</v>
      </c>
      <c r="G20" s="110"/>
      <c r="H20" s="18" t="s">
        <v>51</v>
      </c>
      <c r="I20" s="59"/>
      <c r="J20" s="113">
        <v>10</v>
      </c>
      <c r="K20" s="113"/>
      <c r="L20" s="114"/>
      <c r="M20" s="115" t="s">
        <v>21</v>
      </c>
      <c r="N20" s="116">
        <f t="shared" si="0"/>
        <v>10</v>
      </c>
      <c r="O20" s="171"/>
      <c r="P20" s="197"/>
      <c r="Q20" s="198"/>
      <c r="R20" s="198"/>
      <c r="S20" s="198"/>
      <c r="T20" s="198"/>
      <c r="U20" s="199"/>
    </row>
    <row r="21" spans="1:21" ht="15.75">
      <c r="A21" s="85"/>
      <c r="B21" s="37">
        <f t="shared" si="1"/>
        <v>8</v>
      </c>
      <c r="C21" s="107" t="s">
        <v>41</v>
      </c>
      <c r="D21" s="107"/>
      <c r="E21" s="108"/>
      <c r="F21" s="109" t="s">
        <v>81</v>
      </c>
      <c r="G21" s="110"/>
      <c r="H21" s="18" t="s">
        <v>86</v>
      </c>
      <c r="I21" s="59"/>
      <c r="J21" s="113"/>
      <c r="K21" s="113"/>
      <c r="L21" s="114"/>
      <c r="M21" s="115" t="s">
        <v>21</v>
      </c>
      <c r="N21" s="116">
        <f t="shared" si="0"/>
        <v>0</v>
      </c>
      <c r="O21" s="171"/>
      <c r="P21" s="197"/>
      <c r="Q21" s="198"/>
      <c r="R21" s="198"/>
      <c r="S21" s="198"/>
      <c r="T21" s="198"/>
      <c r="U21" s="199"/>
    </row>
    <row r="22" spans="1:21" ht="15.75">
      <c r="A22" s="85"/>
      <c r="B22" s="37">
        <f t="shared" si="1"/>
        <v>9</v>
      </c>
      <c r="C22" s="80" t="s">
        <v>46</v>
      </c>
      <c r="D22" s="80"/>
      <c r="E22" s="81"/>
      <c r="F22" s="84" t="s">
        <v>71</v>
      </c>
      <c r="G22" s="17"/>
      <c r="H22" s="18" t="s">
        <v>62</v>
      </c>
      <c r="I22" s="59"/>
      <c r="J22" s="19">
        <v>8</v>
      </c>
      <c r="K22" s="19"/>
      <c r="L22" s="50" t="s">
        <v>47</v>
      </c>
      <c r="M22" s="73" t="s">
        <v>35</v>
      </c>
      <c r="N22" s="54">
        <f t="shared" si="0"/>
        <v>8</v>
      </c>
      <c r="O22" s="170">
        <v>0</v>
      </c>
      <c r="P22" s="191" t="s">
        <v>48</v>
      </c>
      <c r="Q22" s="192"/>
      <c r="R22" s="192"/>
      <c r="S22" s="192"/>
      <c r="T22" s="192"/>
      <c r="U22" s="193"/>
    </row>
    <row r="23" spans="1:21" ht="16.5" thickBot="1">
      <c r="A23" s="118"/>
      <c r="B23" s="119"/>
      <c r="C23" s="120"/>
      <c r="D23" s="120"/>
      <c r="E23" s="121"/>
      <c r="F23" s="129"/>
      <c r="G23" s="122"/>
      <c r="H23" s="147"/>
      <c r="I23" s="148"/>
      <c r="J23" s="125"/>
      <c r="K23" s="125"/>
      <c r="L23" s="126"/>
      <c r="M23" s="126"/>
      <c r="N23" s="127"/>
      <c r="O23" s="172"/>
      <c r="P23" s="194"/>
      <c r="Q23" s="195"/>
      <c r="R23" s="195"/>
      <c r="S23" s="195"/>
      <c r="T23" s="195"/>
      <c r="U23" s="196"/>
    </row>
  </sheetData>
  <mergeCells count="40">
    <mergeCell ref="P22:U22"/>
    <mergeCell ref="P23:U23"/>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734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734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734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734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735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B4D0CAC7-4416-4210-A436-2ED17D9C0D1D}">
            <xm:f>(AND(H14&lt;&gt;"",ISERROR(VLOOKUP(H14,system!$E:$E,1,FALSE))))</xm:f>
            <x14:dxf>
              <fill>
                <patternFill patternType="solid">
                  <bgColor rgb="FFFF0000"/>
                </patternFill>
              </fill>
            </x14:dxf>
          </x14:cfRule>
          <xm:sqref>H14:H15</xm:sqref>
        </x14:conditionalFormatting>
        <x14:conditionalFormatting xmlns:xm="http://schemas.microsoft.com/office/excel/2006/main">
          <x14:cfRule type="expression" priority="3" id="{B6B1DF28-5E8C-4C28-8509-33F2E02866D8}">
            <xm:f>(AND(H14&lt;&gt;"",ISERROR(VLOOKUP(H14,system!$E:$E,1,FALSE))))</xm:f>
            <x14:dxf>
              <fill>
                <patternFill>
                  <bgColor rgb="FFFF0000"/>
                </patternFill>
              </fill>
            </x14:dxf>
          </x14:cfRule>
          <xm:sqref>I14:I15</xm:sqref>
        </x14:conditionalFormatting>
        <x14:conditionalFormatting xmlns:xm="http://schemas.microsoft.com/office/excel/2006/main">
          <x14:cfRule type="expression" priority="2" id="{E3CA832E-AA67-46B2-8439-54841F742CFE}">
            <xm:f>(AND(H16&lt;&gt;"",ISERROR(VLOOKUP(H16,system!$E:$E,1,FALSE))))</xm:f>
            <x14:dxf>
              <fill>
                <patternFill patternType="solid">
                  <bgColor rgb="FFFF0000"/>
                </patternFill>
              </fill>
            </x14:dxf>
          </x14:cfRule>
          <xm:sqref>H16:H23</xm:sqref>
        </x14:conditionalFormatting>
        <x14:conditionalFormatting xmlns:xm="http://schemas.microsoft.com/office/excel/2006/main">
          <x14:cfRule type="expression" priority="1" id="{C444DB89-3586-4CEE-93A0-BB93E37DFFB0}">
            <xm:f>(AND(H16&lt;&gt;"",ISERROR(VLOOKUP(H16,system!$E:$E,1,FALSE))))</xm:f>
            <x14:dxf>
              <fill>
                <patternFill>
                  <bgColor rgb="FFFF0000"/>
                </patternFill>
              </fill>
            </x14:dxf>
          </x14:cfRule>
          <xm:sqref>I16:I23</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pageSetUpPr fitToPage="1"/>
  </sheetPr>
  <dimension ref="A1:U27"/>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703</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178</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SUM(N14:N28)</f>
        <v>153</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704</v>
      </c>
      <c r="D14" s="80"/>
      <c r="E14" s="81"/>
      <c r="F14" s="146"/>
      <c r="G14" s="17"/>
      <c r="H14" s="18" t="s">
        <v>51</v>
      </c>
      <c r="I14" s="59"/>
      <c r="J14" s="19">
        <v>14</v>
      </c>
      <c r="K14" s="19"/>
      <c r="L14" s="50" t="s">
        <v>190</v>
      </c>
      <c r="M14" s="73" t="s">
        <v>21</v>
      </c>
      <c r="N14" s="54">
        <f t="shared" ref="N14:N26" si="0">IF(H14="NUMBER",IF(J14&gt;0,INT((J14+1)/2+0.9),0),IF(H14="DATE",7,IF(OR(H14="LONG",H14="LONG RAW"),100000,J14)))</f>
        <v>14</v>
      </c>
      <c r="O14" s="170"/>
      <c r="P14" s="191"/>
      <c r="Q14" s="192"/>
      <c r="R14" s="192"/>
      <c r="S14" s="192"/>
      <c r="T14" s="192"/>
      <c r="U14" s="193"/>
    </row>
    <row r="15" spans="1:21" ht="15.75" customHeight="1">
      <c r="A15" s="85"/>
      <c r="B15" s="37">
        <f>ROW()-13</f>
        <v>2</v>
      </c>
      <c r="C15" s="145" t="s">
        <v>705</v>
      </c>
      <c r="D15" s="80"/>
      <c r="E15" s="81"/>
      <c r="F15" s="146"/>
      <c r="G15" s="17"/>
      <c r="H15" s="18" t="s">
        <v>49</v>
      </c>
      <c r="I15" s="59"/>
      <c r="J15" s="19">
        <v>4</v>
      </c>
      <c r="K15" s="19"/>
      <c r="L15" s="50"/>
      <c r="M15" s="73" t="s">
        <v>21</v>
      </c>
      <c r="N15" s="54">
        <f t="shared" si="0"/>
        <v>4</v>
      </c>
      <c r="O15" s="170"/>
      <c r="P15" s="191"/>
      <c r="Q15" s="192"/>
      <c r="R15" s="192"/>
      <c r="S15" s="192"/>
      <c r="T15" s="192"/>
      <c r="U15" s="193"/>
    </row>
    <row r="16" spans="1:21" ht="15.75" customHeight="1">
      <c r="A16" s="85"/>
      <c r="B16" s="37">
        <f>ROW()-13</f>
        <v>3</v>
      </c>
      <c r="C16" s="145" t="s">
        <v>706</v>
      </c>
      <c r="D16" s="80"/>
      <c r="E16" s="81"/>
      <c r="F16" s="146"/>
      <c r="G16" s="17"/>
      <c r="H16" s="18" t="s">
        <v>49</v>
      </c>
      <c r="I16" s="59"/>
      <c r="J16" s="19">
        <v>1</v>
      </c>
      <c r="K16" s="19"/>
      <c r="L16" s="50"/>
      <c r="M16" s="73" t="s">
        <v>21</v>
      </c>
      <c r="N16" s="54">
        <f t="shared" si="0"/>
        <v>1</v>
      </c>
      <c r="O16" s="170"/>
      <c r="P16" s="191"/>
      <c r="Q16" s="192"/>
      <c r="R16" s="192"/>
      <c r="S16" s="192"/>
      <c r="T16" s="192"/>
      <c r="U16" s="193"/>
    </row>
    <row r="17" spans="1:21" ht="15.75" customHeight="1">
      <c r="A17" s="85"/>
      <c r="B17" s="37">
        <f>ROW()-13</f>
        <v>4</v>
      </c>
      <c r="C17" s="145" t="s">
        <v>707</v>
      </c>
      <c r="D17" s="80"/>
      <c r="E17" s="81"/>
      <c r="F17" s="146"/>
      <c r="G17" s="17"/>
      <c r="H17" s="18" t="s">
        <v>49</v>
      </c>
      <c r="I17" s="59"/>
      <c r="J17" s="19">
        <v>2</v>
      </c>
      <c r="K17" s="19"/>
      <c r="L17" s="50"/>
      <c r="M17" s="73" t="s">
        <v>21</v>
      </c>
      <c r="N17" s="54">
        <f t="shared" si="0"/>
        <v>2</v>
      </c>
      <c r="O17" s="170"/>
      <c r="P17" s="191"/>
      <c r="Q17" s="192"/>
      <c r="R17" s="192"/>
      <c r="S17" s="192"/>
      <c r="T17" s="192"/>
      <c r="U17" s="193"/>
    </row>
    <row r="18" spans="1:21" ht="15.75" customHeight="1">
      <c r="A18" s="85"/>
      <c r="B18" s="37">
        <f>ROW()-13</f>
        <v>5</v>
      </c>
      <c r="C18" s="145" t="s">
        <v>708</v>
      </c>
      <c r="D18" s="80"/>
      <c r="E18" s="81"/>
      <c r="F18" s="146"/>
      <c r="G18" s="17"/>
      <c r="H18" s="18" t="s">
        <v>51</v>
      </c>
      <c r="I18" s="59"/>
      <c r="J18" s="19">
        <v>30</v>
      </c>
      <c r="K18" s="19"/>
      <c r="L18" s="50"/>
      <c r="M18" s="73" t="s">
        <v>21</v>
      </c>
      <c r="N18" s="54">
        <f t="shared" si="0"/>
        <v>30</v>
      </c>
      <c r="O18" s="170"/>
      <c r="P18" s="191"/>
      <c r="Q18" s="192"/>
      <c r="R18" s="192"/>
      <c r="S18" s="192"/>
      <c r="T18" s="192"/>
      <c r="U18" s="193"/>
    </row>
    <row r="19" spans="1:21" ht="15.75" customHeight="1">
      <c r="A19" s="85"/>
      <c r="B19" s="37">
        <f>ROW()-13</f>
        <v>6</v>
      </c>
      <c r="C19" s="145" t="s">
        <v>277</v>
      </c>
      <c r="D19" s="80"/>
      <c r="E19" s="81"/>
      <c r="F19" s="146" t="s">
        <v>557</v>
      </c>
      <c r="G19" s="17"/>
      <c r="H19" s="18" t="s">
        <v>51</v>
      </c>
      <c r="I19" s="59"/>
      <c r="J19" s="19">
        <v>50</v>
      </c>
      <c r="K19" s="19"/>
      <c r="L19" s="50"/>
      <c r="M19" s="73" t="s">
        <v>21</v>
      </c>
      <c r="N19" s="54">
        <f t="shared" si="0"/>
        <v>50</v>
      </c>
      <c r="O19" s="170"/>
      <c r="P19" s="191"/>
      <c r="Q19" s="192"/>
      <c r="R19" s="192"/>
      <c r="S19" s="192"/>
      <c r="T19" s="192"/>
      <c r="U19" s="193"/>
    </row>
    <row r="20" spans="1:21" ht="15.75">
      <c r="A20" s="85"/>
      <c r="B20" s="37">
        <f t="shared" ref="B20:B26" si="1">ROW()-13</f>
        <v>7</v>
      </c>
      <c r="C20" s="107" t="s">
        <v>36</v>
      </c>
      <c r="D20" s="107"/>
      <c r="E20" s="108"/>
      <c r="F20" s="109" t="s">
        <v>78</v>
      </c>
      <c r="G20" s="110"/>
      <c r="H20" s="18" t="s">
        <v>51</v>
      </c>
      <c r="I20" s="59"/>
      <c r="J20" s="113">
        <v>12</v>
      </c>
      <c r="K20" s="113"/>
      <c r="L20" s="114"/>
      <c r="M20" s="115" t="s">
        <v>35</v>
      </c>
      <c r="N20" s="116">
        <f t="shared" si="0"/>
        <v>12</v>
      </c>
      <c r="O20" s="171"/>
      <c r="P20" s="197"/>
      <c r="Q20" s="198"/>
      <c r="R20" s="198"/>
      <c r="S20" s="198"/>
      <c r="T20" s="198"/>
      <c r="U20" s="199"/>
    </row>
    <row r="21" spans="1:21" ht="15.75">
      <c r="A21" s="85"/>
      <c r="B21" s="37">
        <f t="shared" si="1"/>
        <v>8</v>
      </c>
      <c r="C21" s="107" t="s">
        <v>37</v>
      </c>
      <c r="D21" s="107"/>
      <c r="E21" s="108"/>
      <c r="F21" s="109" t="s">
        <v>43</v>
      </c>
      <c r="G21" s="110"/>
      <c r="H21" s="18" t="s">
        <v>51</v>
      </c>
      <c r="I21" s="59"/>
      <c r="J21" s="113">
        <v>10</v>
      </c>
      <c r="K21" s="113"/>
      <c r="L21" s="114"/>
      <c r="M21" s="115" t="s">
        <v>21</v>
      </c>
      <c r="N21" s="116">
        <f t="shared" si="0"/>
        <v>10</v>
      </c>
      <c r="O21" s="171"/>
      <c r="P21" s="197"/>
      <c r="Q21" s="198"/>
      <c r="R21" s="198"/>
      <c r="S21" s="198"/>
      <c r="T21" s="198"/>
      <c r="U21" s="199"/>
    </row>
    <row r="22" spans="1:21" ht="15.75">
      <c r="A22" s="85"/>
      <c r="B22" s="37">
        <f t="shared" si="1"/>
        <v>9</v>
      </c>
      <c r="C22" s="107" t="s">
        <v>38</v>
      </c>
      <c r="D22" s="107"/>
      <c r="E22" s="108"/>
      <c r="F22" s="109" t="s">
        <v>80</v>
      </c>
      <c r="G22" s="110"/>
      <c r="H22" s="18" t="s">
        <v>86</v>
      </c>
      <c r="I22" s="59"/>
      <c r="J22" s="113"/>
      <c r="K22" s="113"/>
      <c r="L22" s="114"/>
      <c r="M22" s="115" t="s">
        <v>21</v>
      </c>
      <c r="N22" s="116">
        <f t="shared" si="0"/>
        <v>0</v>
      </c>
      <c r="O22" s="171"/>
      <c r="P22" s="197"/>
      <c r="Q22" s="198"/>
      <c r="R22" s="198"/>
      <c r="S22" s="198"/>
      <c r="T22" s="198"/>
      <c r="U22" s="199"/>
    </row>
    <row r="23" spans="1:21" ht="15.75">
      <c r="A23" s="85"/>
      <c r="B23" s="37">
        <f t="shared" si="1"/>
        <v>10</v>
      </c>
      <c r="C23" s="107" t="s">
        <v>39</v>
      </c>
      <c r="D23" s="107"/>
      <c r="E23" s="108"/>
      <c r="F23" s="109" t="s">
        <v>79</v>
      </c>
      <c r="G23" s="110"/>
      <c r="H23" s="18" t="s">
        <v>51</v>
      </c>
      <c r="I23" s="59"/>
      <c r="J23" s="113">
        <v>12</v>
      </c>
      <c r="K23" s="113"/>
      <c r="L23" s="114"/>
      <c r="M23" s="115" t="s">
        <v>35</v>
      </c>
      <c r="N23" s="116">
        <f t="shared" si="0"/>
        <v>12</v>
      </c>
      <c r="O23" s="171"/>
      <c r="P23" s="197"/>
      <c r="Q23" s="198"/>
      <c r="R23" s="198"/>
      <c r="S23" s="198"/>
      <c r="T23" s="198"/>
      <c r="U23" s="199"/>
    </row>
    <row r="24" spans="1:21" ht="15.75">
      <c r="A24" s="85"/>
      <c r="B24" s="37">
        <f t="shared" si="1"/>
        <v>11</v>
      </c>
      <c r="C24" s="107" t="s">
        <v>40</v>
      </c>
      <c r="D24" s="107"/>
      <c r="E24" s="108"/>
      <c r="F24" s="109" t="s">
        <v>44</v>
      </c>
      <c r="G24" s="110"/>
      <c r="H24" s="18" t="s">
        <v>51</v>
      </c>
      <c r="I24" s="59"/>
      <c r="J24" s="113">
        <v>10</v>
      </c>
      <c r="K24" s="113"/>
      <c r="L24" s="114"/>
      <c r="M24" s="115" t="s">
        <v>21</v>
      </c>
      <c r="N24" s="116">
        <f t="shared" si="0"/>
        <v>10</v>
      </c>
      <c r="O24" s="171"/>
      <c r="P24" s="197"/>
      <c r="Q24" s="198"/>
      <c r="R24" s="198"/>
      <c r="S24" s="198"/>
      <c r="T24" s="198"/>
      <c r="U24" s="199"/>
    </row>
    <row r="25" spans="1:21" ht="15.75">
      <c r="A25" s="85"/>
      <c r="B25" s="37">
        <f t="shared" si="1"/>
        <v>12</v>
      </c>
      <c r="C25" s="107" t="s">
        <v>41</v>
      </c>
      <c r="D25" s="107"/>
      <c r="E25" s="108"/>
      <c r="F25" s="109" t="s">
        <v>81</v>
      </c>
      <c r="G25" s="110"/>
      <c r="H25" s="18" t="s">
        <v>86</v>
      </c>
      <c r="I25" s="59"/>
      <c r="J25" s="113"/>
      <c r="K25" s="113"/>
      <c r="L25" s="114"/>
      <c r="M25" s="115" t="s">
        <v>21</v>
      </c>
      <c r="N25" s="116">
        <f t="shared" si="0"/>
        <v>0</v>
      </c>
      <c r="O25" s="171"/>
      <c r="P25" s="197"/>
      <c r="Q25" s="198"/>
      <c r="R25" s="198"/>
      <c r="S25" s="198"/>
      <c r="T25" s="198"/>
      <c r="U25" s="199"/>
    </row>
    <row r="26" spans="1:21" ht="15.75">
      <c r="A26" s="85"/>
      <c r="B26" s="37">
        <f t="shared" si="1"/>
        <v>13</v>
      </c>
      <c r="C26" s="80" t="s">
        <v>46</v>
      </c>
      <c r="D26" s="80"/>
      <c r="E26" s="81"/>
      <c r="F26" s="84" t="s">
        <v>71</v>
      </c>
      <c r="G26" s="17"/>
      <c r="H26" s="18" t="s">
        <v>62</v>
      </c>
      <c r="I26" s="59"/>
      <c r="J26" s="19">
        <v>8</v>
      </c>
      <c r="K26" s="19"/>
      <c r="L26" s="50" t="s">
        <v>47</v>
      </c>
      <c r="M26" s="73" t="s">
        <v>35</v>
      </c>
      <c r="N26" s="54">
        <f t="shared" si="0"/>
        <v>8</v>
      </c>
      <c r="O26" s="170">
        <v>0</v>
      </c>
      <c r="P26" s="191" t="s">
        <v>48</v>
      </c>
      <c r="Q26" s="192"/>
      <c r="R26" s="192"/>
      <c r="S26" s="192"/>
      <c r="T26" s="192"/>
      <c r="U26" s="193"/>
    </row>
    <row r="27" spans="1:21" ht="16.5" thickBot="1">
      <c r="A27" s="118"/>
      <c r="B27" s="119"/>
      <c r="C27" s="120"/>
      <c r="D27" s="120"/>
      <c r="E27" s="121"/>
      <c r="F27" s="129"/>
      <c r="G27" s="122"/>
      <c r="H27" s="147"/>
      <c r="I27" s="148"/>
      <c r="J27" s="125"/>
      <c r="K27" s="125"/>
      <c r="L27" s="126"/>
      <c r="M27" s="126"/>
      <c r="N27" s="127"/>
      <c r="O27" s="172"/>
      <c r="P27" s="194"/>
      <c r="Q27" s="195"/>
      <c r="R27" s="195"/>
      <c r="S27" s="195"/>
      <c r="T27" s="195"/>
      <c r="U27" s="196"/>
    </row>
  </sheetData>
  <mergeCells count="44">
    <mergeCell ref="P22:U22"/>
    <mergeCell ref="P23:U23"/>
    <mergeCell ref="P24:U24"/>
    <mergeCell ref="P25:U25"/>
    <mergeCell ref="P26:U26"/>
    <mergeCell ref="P27:U27"/>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6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837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837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837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837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837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9B70BE15-DB58-45AA-BA25-512CAC61FDEF}">
            <xm:f>(AND(H14&lt;&gt;"",ISERROR(VLOOKUP(H14,system!$E:$E,1,FALSE))))</xm:f>
            <x14:dxf>
              <fill>
                <patternFill patternType="solid">
                  <bgColor rgb="FFFF0000"/>
                </patternFill>
              </fill>
            </x14:dxf>
          </x14:cfRule>
          <xm:sqref>H14:H19</xm:sqref>
        </x14:conditionalFormatting>
        <x14:conditionalFormatting xmlns:xm="http://schemas.microsoft.com/office/excel/2006/main">
          <x14:cfRule type="expression" priority="3" id="{F7A55B89-1544-4316-98A5-28D876D15B62}">
            <xm:f>(AND(H14&lt;&gt;"",ISERROR(VLOOKUP(H14,system!$E:$E,1,FALSE))))</xm:f>
            <x14:dxf>
              <fill>
                <patternFill>
                  <bgColor rgb="FFFF0000"/>
                </patternFill>
              </fill>
            </x14:dxf>
          </x14:cfRule>
          <xm:sqref>I14:I19</xm:sqref>
        </x14:conditionalFormatting>
        <x14:conditionalFormatting xmlns:xm="http://schemas.microsoft.com/office/excel/2006/main">
          <x14:cfRule type="expression" priority="2" id="{1A64E049-92AD-49A7-A5BA-C87D174D39EA}">
            <xm:f>(AND(H20&lt;&gt;"",ISERROR(VLOOKUP(H20,system!$E:$E,1,FALSE))))</xm:f>
            <x14:dxf>
              <fill>
                <patternFill patternType="solid">
                  <bgColor rgb="FFFF0000"/>
                </patternFill>
              </fill>
            </x14:dxf>
          </x14:cfRule>
          <xm:sqref>H20:H27</xm:sqref>
        </x14:conditionalFormatting>
        <x14:conditionalFormatting xmlns:xm="http://schemas.microsoft.com/office/excel/2006/main">
          <x14:cfRule type="expression" priority="1" id="{4BA1C251-EF62-4850-9175-A6769ACBB6A4}">
            <xm:f>(AND(H20&lt;&gt;"",ISERROR(VLOOKUP(H20,system!$E:$E,1,FALSE))))</xm:f>
            <x14:dxf>
              <fill>
                <patternFill>
                  <bgColor rgb="FFFF0000"/>
                </patternFill>
              </fill>
            </x14:dxf>
          </x14:cfRule>
          <xm:sqref>I20:I27</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pageSetUpPr fitToPage="1"/>
  </sheetPr>
  <dimension ref="A1:U26"/>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710</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179</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SUM(N14:N27)</f>
        <v>132</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711</v>
      </c>
      <c r="D14" s="80"/>
      <c r="E14" s="81"/>
      <c r="F14" s="146"/>
      <c r="G14" s="17"/>
      <c r="H14" s="18" t="s">
        <v>49</v>
      </c>
      <c r="I14" s="59"/>
      <c r="J14" s="19">
        <v>2</v>
      </c>
      <c r="K14" s="19"/>
      <c r="L14" s="50" t="s">
        <v>190</v>
      </c>
      <c r="M14" s="73" t="s">
        <v>21</v>
      </c>
      <c r="N14" s="54">
        <f t="shared" ref="N14:N25" si="0">IF(H14="NUMBER",IF(J14&gt;0,INT((J14+1)/2+0.9),0),IF(H14="DATE",7,IF(OR(H14="LONG",H14="LONG RAW"),100000,J14)))</f>
        <v>2</v>
      </c>
      <c r="O14" s="170"/>
      <c r="P14" s="191"/>
      <c r="Q14" s="192"/>
      <c r="R14" s="192"/>
      <c r="S14" s="192"/>
      <c r="T14" s="192"/>
      <c r="U14" s="193"/>
    </row>
    <row r="15" spans="1:21" ht="15.75" customHeight="1">
      <c r="A15" s="85" t="s">
        <v>191</v>
      </c>
      <c r="B15" s="37">
        <f>ROW()-13</f>
        <v>2</v>
      </c>
      <c r="C15" s="145" t="s">
        <v>712</v>
      </c>
      <c r="D15" s="80"/>
      <c r="E15" s="81"/>
      <c r="F15" s="146"/>
      <c r="G15" s="17"/>
      <c r="H15" s="18" t="s">
        <v>51</v>
      </c>
      <c r="I15" s="59"/>
      <c r="J15" s="19">
        <v>8</v>
      </c>
      <c r="K15" s="19"/>
      <c r="L15" s="50" t="s">
        <v>190</v>
      </c>
      <c r="M15" s="73" t="s">
        <v>21</v>
      </c>
      <c r="N15" s="54">
        <f t="shared" si="0"/>
        <v>8</v>
      </c>
      <c r="O15" s="170"/>
      <c r="P15" s="191"/>
      <c r="Q15" s="192"/>
      <c r="R15" s="192"/>
      <c r="S15" s="192"/>
      <c r="T15" s="192"/>
      <c r="U15" s="193"/>
    </row>
    <row r="16" spans="1:21" ht="15.75" customHeight="1">
      <c r="A16" s="85"/>
      <c r="B16" s="37">
        <f>ROW()-13</f>
        <v>3</v>
      </c>
      <c r="C16" s="145" t="s">
        <v>713</v>
      </c>
      <c r="D16" s="80"/>
      <c r="E16" s="81"/>
      <c r="F16" s="146"/>
      <c r="G16" s="17"/>
      <c r="H16" s="18" t="s">
        <v>51</v>
      </c>
      <c r="I16" s="59"/>
      <c r="J16" s="19">
        <v>10</v>
      </c>
      <c r="K16" s="19"/>
      <c r="L16" s="50"/>
      <c r="M16" s="73" t="s">
        <v>21</v>
      </c>
      <c r="N16" s="54">
        <f t="shared" si="0"/>
        <v>10</v>
      </c>
      <c r="O16" s="170"/>
      <c r="P16" s="191"/>
      <c r="Q16" s="192"/>
      <c r="R16" s="192"/>
      <c r="S16" s="192"/>
      <c r="T16" s="192"/>
      <c r="U16" s="193"/>
    </row>
    <row r="17" spans="1:21" ht="15.75" customHeight="1">
      <c r="A17" s="85"/>
      <c r="B17" s="37">
        <f>ROW()-13</f>
        <v>4</v>
      </c>
      <c r="C17" s="145" t="s">
        <v>714</v>
      </c>
      <c r="D17" s="80"/>
      <c r="E17" s="81"/>
      <c r="F17" s="146"/>
      <c r="G17" s="17"/>
      <c r="H17" s="18" t="s">
        <v>56</v>
      </c>
      <c r="I17" s="59"/>
      <c r="J17" s="19">
        <v>10</v>
      </c>
      <c r="K17" s="19">
        <v>0</v>
      </c>
      <c r="L17" s="50" t="s">
        <v>190</v>
      </c>
      <c r="M17" s="73" t="s">
        <v>21</v>
      </c>
      <c r="N17" s="54">
        <f t="shared" si="0"/>
        <v>10</v>
      </c>
      <c r="O17" s="170"/>
      <c r="P17" s="191"/>
      <c r="Q17" s="192"/>
      <c r="R17" s="192"/>
      <c r="S17" s="192"/>
      <c r="T17" s="192"/>
      <c r="U17" s="193"/>
    </row>
    <row r="18" spans="1:21" ht="15.75" customHeight="1">
      <c r="A18" s="85"/>
      <c r="B18" s="37">
        <f>ROW()-13</f>
        <v>5</v>
      </c>
      <c r="C18" s="145" t="s">
        <v>277</v>
      </c>
      <c r="D18" s="80"/>
      <c r="E18" s="81"/>
      <c r="F18" s="146" t="s">
        <v>643</v>
      </c>
      <c r="G18" s="17"/>
      <c r="H18" s="18" t="s">
        <v>51</v>
      </c>
      <c r="I18" s="59"/>
      <c r="J18" s="19">
        <v>50</v>
      </c>
      <c r="K18" s="19"/>
      <c r="L18" s="50"/>
      <c r="M18" s="73" t="s">
        <v>21</v>
      </c>
      <c r="N18" s="54">
        <f t="shared" si="0"/>
        <v>50</v>
      </c>
      <c r="O18" s="170"/>
      <c r="P18" s="191"/>
      <c r="Q18" s="192"/>
      <c r="R18" s="192"/>
      <c r="S18" s="192"/>
      <c r="T18" s="192"/>
      <c r="U18" s="193"/>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71"/>
      <c r="P19" s="197"/>
      <c r="Q19" s="198"/>
      <c r="R19" s="198"/>
      <c r="S19" s="198"/>
      <c r="T19" s="198"/>
      <c r="U19" s="199"/>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71"/>
      <c r="P20" s="197"/>
      <c r="Q20" s="198"/>
      <c r="R20" s="198"/>
      <c r="S20" s="198"/>
      <c r="T20" s="198"/>
      <c r="U20" s="199"/>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71"/>
      <c r="P21" s="197"/>
      <c r="Q21" s="198"/>
      <c r="R21" s="198"/>
      <c r="S21" s="198"/>
      <c r="T21" s="198"/>
      <c r="U21" s="199"/>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71"/>
      <c r="P22" s="197"/>
      <c r="Q22" s="198"/>
      <c r="R22" s="198"/>
      <c r="S22" s="198"/>
      <c r="T22" s="198"/>
      <c r="U22" s="199"/>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71"/>
      <c r="P23" s="197"/>
      <c r="Q23" s="198"/>
      <c r="R23" s="198"/>
      <c r="S23" s="198"/>
      <c r="T23" s="198"/>
      <c r="U23" s="199"/>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71"/>
      <c r="P24" s="197"/>
      <c r="Q24" s="198"/>
      <c r="R24" s="198"/>
      <c r="S24" s="198"/>
      <c r="T24" s="198"/>
      <c r="U24" s="199"/>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70">
        <v>0</v>
      </c>
      <c r="P25" s="191" t="s">
        <v>48</v>
      </c>
      <c r="Q25" s="192"/>
      <c r="R25" s="192"/>
      <c r="S25" s="192"/>
      <c r="T25" s="192"/>
      <c r="U25" s="193"/>
    </row>
    <row r="26" spans="1:21" ht="16.5" thickBot="1">
      <c r="A26" s="118"/>
      <c r="B26" s="119"/>
      <c r="C26" s="120"/>
      <c r="D26" s="120"/>
      <c r="E26" s="121"/>
      <c r="F26" s="129"/>
      <c r="G26" s="122"/>
      <c r="H26" s="147"/>
      <c r="I26" s="148"/>
      <c r="J26" s="125"/>
      <c r="K26" s="125"/>
      <c r="L26" s="126"/>
      <c r="M26" s="126"/>
      <c r="N26" s="127"/>
      <c r="O26" s="172"/>
      <c r="P26" s="194"/>
      <c r="Q26" s="195"/>
      <c r="R26" s="195"/>
      <c r="S26" s="195"/>
      <c r="T26" s="195"/>
      <c r="U26" s="196"/>
    </row>
  </sheetData>
  <mergeCells count="43">
    <mergeCell ref="P22:U22"/>
    <mergeCell ref="P23:U23"/>
    <mergeCell ref="P24:U24"/>
    <mergeCell ref="P25:U25"/>
    <mergeCell ref="P26:U26"/>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939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939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939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939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939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95CB0EC3-DEEB-4A35-81B2-54CD81B71748}">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EF30548B-CBDF-4F22-9695-D0A1099F9B69}">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46A12F9C-DFE6-4669-AA66-872994ED59FE}">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C491A1A4-A896-461F-947B-E02BEDC98493}">
            <xm:f>(AND(H19&lt;&gt;"",ISERROR(VLOOKUP(H19,system!$E:$E,1,FALSE))))</xm:f>
            <x14:dxf>
              <fill>
                <patternFill>
                  <bgColor rgb="FFFF0000"/>
                </patternFill>
              </fill>
            </x14:dxf>
          </x14:cfRule>
          <xm:sqref>I19:I26</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pageSetUpPr fitToPage="1"/>
  </sheetPr>
  <dimension ref="A1:U26"/>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716</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180</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SUM(N14:N27)</f>
        <v>119</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27.6" customHeight="1">
      <c r="A14" s="85" t="s">
        <v>191</v>
      </c>
      <c r="B14" s="37">
        <f>ROW()-13</f>
        <v>1</v>
      </c>
      <c r="C14" s="145" t="s">
        <v>717</v>
      </c>
      <c r="D14" s="80"/>
      <c r="E14" s="81"/>
      <c r="F14" s="146"/>
      <c r="G14" s="17"/>
      <c r="H14" s="18" t="s">
        <v>208</v>
      </c>
      <c r="I14" s="59"/>
      <c r="J14" s="19"/>
      <c r="K14" s="19"/>
      <c r="L14" s="50" t="s">
        <v>190</v>
      </c>
      <c r="M14" s="73" t="s">
        <v>21</v>
      </c>
      <c r="N14" s="54">
        <f t="shared" ref="N14:N25" si="0">IF(H14="NUMBER",IF(J14&gt;0,INT((J14+1)/2+0.9),0),IF(H14="DATE",7,IF(OR(H14="LONG",H14="LONG RAW"),100000,J14)))</f>
        <v>0</v>
      </c>
      <c r="O14" s="170"/>
      <c r="P14" s="251" t="s">
        <v>632</v>
      </c>
      <c r="Q14" s="192"/>
      <c r="R14" s="192"/>
      <c r="S14" s="192"/>
      <c r="T14" s="192"/>
      <c r="U14" s="193"/>
    </row>
    <row r="15" spans="1:21" ht="15.75" customHeight="1">
      <c r="A15" s="85"/>
      <c r="B15" s="37">
        <f>ROW()-13</f>
        <v>2</v>
      </c>
      <c r="C15" s="145" t="s">
        <v>718</v>
      </c>
      <c r="D15" s="80"/>
      <c r="E15" s="81"/>
      <c r="F15" s="146"/>
      <c r="G15" s="17"/>
      <c r="H15" s="18" t="s">
        <v>51</v>
      </c>
      <c r="I15" s="59"/>
      <c r="J15" s="19">
        <v>4</v>
      </c>
      <c r="K15" s="19"/>
      <c r="L15" s="50" t="s">
        <v>190</v>
      </c>
      <c r="M15" s="73" t="s">
        <v>21</v>
      </c>
      <c r="N15" s="54">
        <f t="shared" si="0"/>
        <v>4</v>
      </c>
      <c r="O15" s="170"/>
      <c r="P15" s="191" t="s">
        <v>202</v>
      </c>
      <c r="Q15" s="192"/>
      <c r="R15" s="192"/>
      <c r="S15" s="192"/>
      <c r="T15" s="192"/>
      <c r="U15" s="193"/>
    </row>
    <row r="16" spans="1:21" ht="15.75" customHeight="1">
      <c r="A16" s="85"/>
      <c r="B16" s="37">
        <f>ROW()-13</f>
        <v>3</v>
      </c>
      <c r="C16" s="145" t="s">
        <v>719</v>
      </c>
      <c r="D16" s="80"/>
      <c r="E16" s="81"/>
      <c r="F16" s="146"/>
      <c r="G16" s="17"/>
      <c r="H16" s="18" t="s">
        <v>49</v>
      </c>
      <c r="I16" s="59"/>
      <c r="J16" s="19">
        <v>12</v>
      </c>
      <c r="K16" s="19"/>
      <c r="L16" s="50"/>
      <c r="M16" s="73" t="s">
        <v>21</v>
      </c>
      <c r="N16" s="54">
        <f t="shared" si="0"/>
        <v>12</v>
      </c>
      <c r="O16" s="170"/>
      <c r="P16" s="191" t="s">
        <v>720</v>
      </c>
      <c r="Q16" s="192"/>
      <c r="R16" s="192"/>
      <c r="S16" s="192"/>
      <c r="T16" s="192"/>
      <c r="U16" s="193"/>
    </row>
    <row r="17" spans="1:21" ht="27.6" customHeight="1">
      <c r="A17" s="85"/>
      <c r="B17" s="37">
        <f>ROW()-13</f>
        <v>4</v>
      </c>
      <c r="C17" s="145" t="s">
        <v>721</v>
      </c>
      <c r="D17" s="80"/>
      <c r="E17" s="81"/>
      <c r="F17" s="146"/>
      <c r="G17" s="17"/>
      <c r="H17" s="18" t="s">
        <v>49</v>
      </c>
      <c r="I17" s="59"/>
      <c r="J17" s="19">
        <v>1</v>
      </c>
      <c r="K17" s="19"/>
      <c r="L17" s="50" t="s">
        <v>190</v>
      </c>
      <c r="M17" s="73" t="s">
        <v>21</v>
      </c>
      <c r="N17" s="54">
        <f t="shared" si="0"/>
        <v>1</v>
      </c>
      <c r="O17" s="170">
        <v>0</v>
      </c>
      <c r="P17" s="251" t="s">
        <v>722</v>
      </c>
      <c r="Q17" s="192"/>
      <c r="R17" s="192"/>
      <c r="S17" s="192"/>
      <c r="T17" s="192"/>
      <c r="U17" s="193"/>
    </row>
    <row r="18" spans="1:21" ht="15.75" customHeight="1">
      <c r="A18" s="85"/>
      <c r="B18" s="37">
        <f>ROW()-13</f>
        <v>5</v>
      </c>
      <c r="C18" s="145" t="s">
        <v>277</v>
      </c>
      <c r="D18" s="80"/>
      <c r="E18" s="81"/>
      <c r="F18" s="146" t="s">
        <v>557</v>
      </c>
      <c r="G18" s="17"/>
      <c r="H18" s="18" t="s">
        <v>51</v>
      </c>
      <c r="I18" s="59"/>
      <c r="J18" s="19">
        <v>50</v>
      </c>
      <c r="K18" s="19"/>
      <c r="L18" s="50"/>
      <c r="M18" s="73" t="s">
        <v>21</v>
      </c>
      <c r="N18" s="54">
        <f t="shared" si="0"/>
        <v>50</v>
      </c>
      <c r="O18" s="170"/>
      <c r="P18" s="191"/>
      <c r="Q18" s="192"/>
      <c r="R18" s="192"/>
      <c r="S18" s="192"/>
      <c r="T18" s="192"/>
      <c r="U18" s="193"/>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71"/>
      <c r="P19" s="197"/>
      <c r="Q19" s="198"/>
      <c r="R19" s="198"/>
      <c r="S19" s="198"/>
      <c r="T19" s="198"/>
      <c r="U19" s="199"/>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71"/>
      <c r="P20" s="197"/>
      <c r="Q20" s="198"/>
      <c r="R20" s="198"/>
      <c r="S20" s="198"/>
      <c r="T20" s="198"/>
      <c r="U20" s="199"/>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71"/>
      <c r="P21" s="197"/>
      <c r="Q21" s="198"/>
      <c r="R21" s="198"/>
      <c r="S21" s="198"/>
      <c r="T21" s="198"/>
      <c r="U21" s="199"/>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71"/>
      <c r="P22" s="197"/>
      <c r="Q22" s="198"/>
      <c r="R22" s="198"/>
      <c r="S22" s="198"/>
      <c r="T22" s="198"/>
      <c r="U22" s="199"/>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71"/>
      <c r="P23" s="197"/>
      <c r="Q23" s="198"/>
      <c r="R23" s="198"/>
      <c r="S23" s="198"/>
      <c r="T23" s="198"/>
      <c r="U23" s="199"/>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71"/>
      <c r="P24" s="197"/>
      <c r="Q24" s="198"/>
      <c r="R24" s="198"/>
      <c r="S24" s="198"/>
      <c r="T24" s="198"/>
      <c r="U24" s="199"/>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70">
        <v>0</v>
      </c>
      <c r="P25" s="191" t="s">
        <v>48</v>
      </c>
      <c r="Q25" s="192"/>
      <c r="R25" s="192"/>
      <c r="S25" s="192"/>
      <c r="T25" s="192"/>
      <c r="U25" s="193"/>
    </row>
    <row r="26" spans="1:21" ht="16.5" thickBot="1">
      <c r="A26" s="118"/>
      <c r="B26" s="119"/>
      <c r="C26" s="120"/>
      <c r="D26" s="120"/>
      <c r="E26" s="121"/>
      <c r="F26" s="129"/>
      <c r="G26" s="122"/>
      <c r="H26" s="147"/>
      <c r="I26" s="148"/>
      <c r="J26" s="125"/>
      <c r="K26" s="125"/>
      <c r="L26" s="126"/>
      <c r="M26" s="126"/>
      <c r="N26" s="127"/>
      <c r="O26" s="172"/>
      <c r="P26" s="194"/>
      <c r="Q26" s="195"/>
      <c r="R26" s="195"/>
      <c r="S26" s="195"/>
      <c r="T26" s="195"/>
      <c r="U26" s="196"/>
    </row>
  </sheetData>
  <mergeCells count="43">
    <mergeCell ref="P22:U22"/>
    <mergeCell ref="P23:U23"/>
    <mergeCell ref="P24:U24"/>
    <mergeCell ref="P25:U25"/>
    <mergeCell ref="P26:U26"/>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6041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6041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6042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6042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6042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4D8FE515-DF08-4F19-8437-B8900D990844}">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68D5416C-C845-4752-B6FB-9EC01491E67F}">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AF9D65EB-B208-4142-AE56-CB4AA7FFE8F8}">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3FA877FE-FE30-49A8-AB96-610908EB1637}">
            <xm:f>(AND(H19&lt;&gt;"",ISERROR(VLOOKUP(H19,system!$E:$E,1,FALSE))))</xm:f>
            <x14:dxf>
              <fill>
                <patternFill>
                  <bgColor rgb="FFFF0000"/>
                </patternFill>
              </fill>
            </x14:dxf>
          </x14:cfRule>
          <xm:sqref>I19:I26</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pageSetUpPr fitToPage="1"/>
  </sheetPr>
  <dimension ref="A1:U2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724</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181</v>
      </c>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SUM(N14:N26)</f>
        <v>115</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1</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00" t="s">
        <v>32</v>
      </c>
      <c r="Q13" s="201"/>
      <c r="R13" s="201"/>
      <c r="S13" s="201"/>
      <c r="T13" s="201"/>
      <c r="U13" s="202"/>
    </row>
    <row r="14" spans="1:21" ht="15.75" customHeight="1">
      <c r="A14" s="85" t="s">
        <v>191</v>
      </c>
      <c r="B14" s="37">
        <f>ROW()-13</f>
        <v>1</v>
      </c>
      <c r="C14" s="145" t="s">
        <v>579</v>
      </c>
      <c r="D14" s="80"/>
      <c r="E14" s="81"/>
      <c r="F14" s="146"/>
      <c r="G14" s="17"/>
      <c r="H14" s="18" t="s">
        <v>49</v>
      </c>
      <c r="I14" s="59"/>
      <c r="J14" s="19">
        <v>12</v>
      </c>
      <c r="K14" s="19"/>
      <c r="L14" s="50" t="s">
        <v>190</v>
      </c>
      <c r="M14" s="73" t="s">
        <v>21</v>
      </c>
      <c r="N14" s="54">
        <f t="shared" ref="N14:N24" si="0">IF(H14="NUMBER",IF(J14&gt;0,INT((J14+1)/2+0.9),0),IF(H14="DATE",7,IF(OR(H14="LONG",H14="LONG RAW"),100000,J14)))</f>
        <v>12</v>
      </c>
      <c r="O14" s="170"/>
      <c r="P14" s="191" t="s">
        <v>725</v>
      </c>
      <c r="Q14" s="192"/>
      <c r="R14" s="192"/>
      <c r="S14" s="192"/>
      <c r="T14" s="192"/>
      <c r="U14" s="193"/>
    </row>
    <row r="15" spans="1:21" ht="15.75" customHeight="1">
      <c r="A15" s="85"/>
      <c r="B15" s="37">
        <f>ROW()-13</f>
        <v>2</v>
      </c>
      <c r="C15" s="145" t="s">
        <v>726</v>
      </c>
      <c r="D15" s="80"/>
      <c r="E15" s="81"/>
      <c r="F15" s="146"/>
      <c r="G15" s="17"/>
      <c r="H15" s="18" t="s">
        <v>208</v>
      </c>
      <c r="I15" s="59"/>
      <c r="J15" s="19"/>
      <c r="K15" s="19"/>
      <c r="L15" s="50" t="s">
        <v>190</v>
      </c>
      <c r="M15" s="73" t="s">
        <v>21</v>
      </c>
      <c r="N15" s="54">
        <f t="shared" si="0"/>
        <v>0</v>
      </c>
      <c r="O15" s="170"/>
      <c r="P15" s="191" t="s">
        <v>727</v>
      </c>
      <c r="Q15" s="192"/>
      <c r="R15" s="192"/>
      <c r="S15" s="192"/>
      <c r="T15" s="192"/>
      <c r="U15" s="193"/>
    </row>
    <row r="16" spans="1:21" ht="15.75" customHeight="1">
      <c r="A16" s="85"/>
      <c r="B16" s="37">
        <f>ROW()-13</f>
        <v>3</v>
      </c>
      <c r="C16" s="145" t="s">
        <v>728</v>
      </c>
      <c r="D16" s="80"/>
      <c r="E16" s="81"/>
      <c r="F16" s="146"/>
      <c r="G16" s="17"/>
      <c r="H16" s="18" t="s">
        <v>49</v>
      </c>
      <c r="I16" s="59"/>
      <c r="J16" s="19">
        <v>1</v>
      </c>
      <c r="K16" s="19"/>
      <c r="L16" s="50" t="s">
        <v>190</v>
      </c>
      <c r="M16" s="73" t="s">
        <v>21</v>
      </c>
      <c r="N16" s="54">
        <f t="shared" si="0"/>
        <v>1</v>
      </c>
      <c r="O16" s="170"/>
      <c r="P16" s="191" t="s">
        <v>729</v>
      </c>
      <c r="Q16" s="192"/>
      <c r="R16" s="192"/>
      <c r="S16" s="192"/>
      <c r="T16" s="192"/>
      <c r="U16" s="193"/>
    </row>
    <row r="17" spans="1:21" ht="15.75" customHeight="1">
      <c r="A17" s="85"/>
      <c r="B17" s="37">
        <f>ROW()-13</f>
        <v>4</v>
      </c>
      <c r="C17" s="145" t="s">
        <v>277</v>
      </c>
      <c r="D17" s="80"/>
      <c r="E17" s="81"/>
      <c r="F17" s="146" t="s">
        <v>557</v>
      </c>
      <c r="G17" s="17"/>
      <c r="H17" s="18" t="s">
        <v>51</v>
      </c>
      <c r="I17" s="59"/>
      <c r="J17" s="19">
        <v>50</v>
      </c>
      <c r="K17" s="19"/>
      <c r="L17" s="50"/>
      <c r="M17" s="73" t="s">
        <v>21</v>
      </c>
      <c r="N17" s="54">
        <f t="shared" si="0"/>
        <v>50</v>
      </c>
      <c r="O17" s="170"/>
      <c r="P17" s="191"/>
      <c r="Q17" s="192"/>
      <c r="R17" s="192"/>
      <c r="S17" s="192"/>
      <c r="T17" s="192"/>
      <c r="U17" s="193"/>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71"/>
      <c r="P18" s="197"/>
      <c r="Q18" s="198"/>
      <c r="R18" s="198"/>
      <c r="S18" s="198"/>
      <c r="T18" s="198"/>
      <c r="U18" s="199"/>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71"/>
      <c r="P19" s="197"/>
      <c r="Q19" s="198"/>
      <c r="R19" s="198"/>
      <c r="S19" s="198"/>
      <c r="T19" s="198"/>
      <c r="U19" s="199"/>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71"/>
      <c r="P20" s="197"/>
      <c r="Q20" s="198"/>
      <c r="R20" s="198"/>
      <c r="S20" s="198"/>
      <c r="T20" s="198"/>
      <c r="U20" s="199"/>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71"/>
      <c r="P21" s="197"/>
      <c r="Q21" s="198"/>
      <c r="R21" s="198"/>
      <c r="S21" s="198"/>
      <c r="T21" s="198"/>
      <c r="U21" s="199"/>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71"/>
      <c r="P22" s="197"/>
      <c r="Q22" s="198"/>
      <c r="R22" s="198"/>
      <c r="S22" s="198"/>
      <c r="T22" s="198"/>
      <c r="U22" s="199"/>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71"/>
      <c r="P23" s="197"/>
      <c r="Q23" s="198"/>
      <c r="R23" s="198"/>
      <c r="S23" s="198"/>
      <c r="T23" s="198"/>
      <c r="U23" s="199"/>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70">
        <v>0</v>
      </c>
      <c r="P24" s="191" t="s">
        <v>48</v>
      </c>
      <c r="Q24" s="192"/>
      <c r="R24" s="192"/>
      <c r="S24" s="192"/>
      <c r="T24" s="192"/>
      <c r="U24" s="193"/>
    </row>
    <row r="25" spans="1:21" ht="16.5" thickBot="1">
      <c r="A25" s="118"/>
      <c r="B25" s="119"/>
      <c r="C25" s="120"/>
      <c r="D25" s="120"/>
      <c r="E25" s="121"/>
      <c r="F25" s="129"/>
      <c r="G25" s="122"/>
      <c r="H25" s="147"/>
      <c r="I25" s="148"/>
      <c r="J25" s="125"/>
      <c r="K25" s="125"/>
      <c r="L25" s="126"/>
      <c r="M25" s="126"/>
      <c r="N25" s="127"/>
      <c r="O25" s="172"/>
      <c r="P25" s="194"/>
      <c r="Q25" s="195"/>
      <c r="R25" s="195"/>
      <c r="S25" s="195"/>
      <c r="T25" s="195"/>
      <c r="U25" s="196"/>
    </row>
  </sheetData>
  <mergeCells count="42">
    <mergeCell ref="P22:U22"/>
    <mergeCell ref="P23:U23"/>
    <mergeCell ref="P24:U24"/>
    <mergeCell ref="P25:U25"/>
    <mergeCell ref="P16:U16"/>
    <mergeCell ref="P17:U17"/>
    <mergeCell ref="P18:U18"/>
    <mergeCell ref="P19:U19"/>
    <mergeCell ref="P20:U20"/>
    <mergeCell ref="P21:U21"/>
    <mergeCell ref="E11:H11"/>
    <mergeCell ref="O11:U11"/>
    <mergeCell ref="O12:U12"/>
    <mergeCell ref="P13:U13"/>
    <mergeCell ref="P14:U14"/>
    <mergeCell ref="P15:U15"/>
    <mergeCell ref="E8:H8"/>
    <mergeCell ref="K8:M8"/>
    <mergeCell ref="O8:U8"/>
    <mergeCell ref="E9:H9"/>
    <mergeCell ref="O9:U9"/>
    <mergeCell ref="E10:H10"/>
    <mergeCell ref="O10:U10"/>
    <mergeCell ref="E6:H6"/>
    <mergeCell ref="K6:M6"/>
    <mergeCell ref="O6:U6"/>
    <mergeCell ref="E7:H7"/>
    <mergeCell ref="K7:M7"/>
    <mergeCell ref="O7:U7"/>
    <mergeCell ref="J4:K4"/>
    <mergeCell ref="L4:M4"/>
    <mergeCell ref="O4:U4"/>
    <mergeCell ref="J5:K5"/>
    <mergeCell ref="L5:M5"/>
    <mergeCell ref="O5:U5"/>
    <mergeCell ref="O1:U1"/>
    <mergeCell ref="J2:K2"/>
    <mergeCell ref="L2:M2"/>
    <mergeCell ref="O2:U2"/>
    <mergeCell ref="J3:K3"/>
    <mergeCell ref="L3:M3"/>
    <mergeCell ref="O3:U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6144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6144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6144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6144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6144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178353F5-23C6-4493-B06A-F834B2E4AFD8}">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40430EA9-9796-4FCE-AE01-0814EFF48024}">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CA32DDF0-EC3C-42B2-B40A-B213639A0B53}">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9835BF94-FA6A-427F-8540-5FCD97E4763A}">
            <xm:f>(AND(H18&lt;&gt;"",ISERROR(VLOOKUP(H18,system!$E:$E,1,FALSE))))</xm:f>
            <x14:dxf>
              <fill>
                <patternFill>
                  <bgColor rgb="FFFF0000"/>
                </patternFill>
              </fill>
            </x14:dxf>
          </x14:cfRule>
          <xm:sqref>I18:I25</xm:sqref>
        </x14:conditionalFormatting>
      </x14:conditionalFormatting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U25"/>
  <sheetViews>
    <sheetView showGridLines="0" zoomScale="120" zoomScaleNormal="120" workbookViewId="0">
      <pane ySplit="13" topLeftCell="A14" activePane="bottomLeft" state="frozen"/>
      <selection pane="bottomLeft" activeCell="J2" sqref="J2:M5"/>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t="s">
        <v>83</v>
      </c>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t="s">
        <v>66</v>
      </c>
      <c r="F7" s="217"/>
      <c r="G7" s="217"/>
      <c r="H7" s="218"/>
      <c r="I7" s="61" t="s">
        <v>28</v>
      </c>
      <c r="J7" s="27"/>
      <c r="K7" s="234" t="s">
        <v>34</v>
      </c>
      <c r="L7" s="235"/>
      <c r="M7" s="236"/>
      <c r="N7" s="92">
        <f>COUNTIF(H14:H23,"LONG")+COUNTIF(H14:H23,"LONG RAW")</f>
        <v>0</v>
      </c>
      <c r="O7" s="188"/>
      <c r="P7" s="189"/>
      <c r="Q7" s="189"/>
      <c r="R7" s="189"/>
      <c r="S7" s="189"/>
      <c r="T7" s="189"/>
      <c r="U7" s="190"/>
    </row>
    <row r="8" spans="1:21" ht="14.45" customHeight="1">
      <c r="A8" s="45"/>
      <c r="B8" s="22" t="s">
        <v>7</v>
      </c>
      <c r="C8" s="22"/>
      <c r="D8" s="23"/>
      <c r="E8" s="216" t="s">
        <v>67</v>
      </c>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SUM(N14:N23)</f>
        <v>106</v>
      </c>
      <c r="M9" s="82"/>
      <c r="N9" s="93">
        <f>SUMIF(M14:M23,"■",N14:N23)</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10.6</v>
      </c>
      <c r="M10" s="82"/>
      <c r="N10" s="55"/>
      <c r="O10" s="188"/>
      <c r="P10" s="189"/>
      <c r="Q10" s="189"/>
      <c r="R10" s="189"/>
      <c r="S10" s="189"/>
      <c r="T10" s="189"/>
      <c r="U10" s="190"/>
    </row>
    <row r="11" spans="1:21" ht="17.25" customHeight="1" thickBot="1">
      <c r="A11" s="46"/>
      <c r="B11" s="24" t="s">
        <v>29</v>
      </c>
      <c r="C11" s="24"/>
      <c r="D11" s="25"/>
      <c r="E11" s="185">
        <v>100</v>
      </c>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COUNTA(H14:H23)</f>
        <v>9</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63" t="s">
        <v>18</v>
      </c>
      <c r="K13" s="63" t="s">
        <v>19</v>
      </c>
      <c r="L13" s="98" t="s">
        <v>30</v>
      </c>
      <c r="M13" s="99" t="s">
        <v>20</v>
      </c>
      <c r="N13" s="106">
        <f>COUNTIF(M14:M23,"■")</f>
        <v>0</v>
      </c>
      <c r="O13" s="96" t="s">
        <v>31</v>
      </c>
      <c r="P13" s="200" t="s">
        <v>32</v>
      </c>
      <c r="Q13" s="201"/>
      <c r="R13" s="201"/>
      <c r="S13" s="201"/>
      <c r="T13" s="201"/>
      <c r="U13" s="202"/>
    </row>
    <row r="14" spans="1:21" ht="15.75" customHeight="1">
      <c r="A14" s="85" t="s">
        <v>42</v>
      </c>
      <c r="B14" s="37">
        <f>ROW()-13</f>
        <v>1</v>
      </c>
      <c r="C14" s="80" t="s">
        <v>69</v>
      </c>
      <c r="D14" s="80"/>
      <c r="E14" s="81"/>
      <c r="F14" s="84" t="s">
        <v>72</v>
      </c>
      <c r="G14" s="17"/>
      <c r="H14" s="18" t="s">
        <v>77</v>
      </c>
      <c r="I14" s="59"/>
      <c r="J14" s="19">
        <v>4</v>
      </c>
      <c r="K14" s="19"/>
      <c r="L14" s="50"/>
      <c r="M14" s="73" t="s">
        <v>96</v>
      </c>
      <c r="N14" s="54">
        <f t="shared" ref="N14:N22" si="0">IF(H14="NUMBER",IF(J14&gt;0,INT((J14+1)/2+0.9),0),IF(H14="DATE",7,IF(OR(H14="LONG",H14="LONG RAW"),100000,J14)))</f>
        <v>4</v>
      </c>
      <c r="O14" s="97"/>
      <c r="P14" s="191"/>
      <c r="Q14" s="192"/>
      <c r="R14" s="192"/>
      <c r="S14" s="192"/>
      <c r="T14" s="192"/>
      <c r="U14" s="193"/>
    </row>
    <row r="15" spans="1:21" ht="15.75" customHeight="1">
      <c r="A15" s="85"/>
      <c r="B15" s="37">
        <f>ROW()-13</f>
        <v>2</v>
      </c>
      <c r="C15" s="80" t="s">
        <v>70</v>
      </c>
      <c r="D15" s="80"/>
      <c r="E15" s="81"/>
      <c r="F15" s="84" t="s">
        <v>73</v>
      </c>
      <c r="G15" s="17"/>
      <c r="H15" s="18" t="s">
        <v>76</v>
      </c>
      <c r="I15" s="59"/>
      <c r="J15" s="19">
        <v>50</v>
      </c>
      <c r="K15" s="19"/>
      <c r="L15" s="50"/>
      <c r="M15" s="73" t="s">
        <v>35</v>
      </c>
      <c r="N15" s="54">
        <f t="shared" si="0"/>
        <v>50</v>
      </c>
      <c r="O15" s="97"/>
      <c r="P15" s="197"/>
      <c r="Q15" s="198"/>
      <c r="R15" s="198"/>
      <c r="S15" s="198"/>
      <c r="T15" s="198"/>
      <c r="U15" s="199"/>
    </row>
    <row r="16" spans="1:21" ht="15.75" customHeight="1">
      <c r="A16" s="85"/>
      <c r="B16" s="37">
        <f t="shared" ref="B16:B22" si="1">ROW()-13</f>
        <v>3</v>
      </c>
      <c r="C16" s="107" t="s">
        <v>36</v>
      </c>
      <c r="D16" s="107"/>
      <c r="E16" s="108"/>
      <c r="F16" s="109" t="s">
        <v>78</v>
      </c>
      <c r="G16" s="110"/>
      <c r="H16" s="18" t="s">
        <v>76</v>
      </c>
      <c r="I16" s="112"/>
      <c r="J16" s="113">
        <v>12</v>
      </c>
      <c r="K16" s="113"/>
      <c r="L16" s="114"/>
      <c r="M16" s="115" t="s">
        <v>35</v>
      </c>
      <c r="N16" s="116">
        <f t="shared" si="0"/>
        <v>12</v>
      </c>
      <c r="O16" s="117"/>
      <c r="P16" s="197"/>
      <c r="Q16" s="198"/>
      <c r="R16" s="198"/>
      <c r="S16" s="198"/>
      <c r="T16" s="198"/>
      <c r="U16" s="199"/>
    </row>
    <row r="17" spans="1:21" ht="15.75" customHeight="1">
      <c r="A17" s="85"/>
      <c r="B17" s="37">
        <f t="shared" si="1"/>
        <v>4</v>
      </c>
      <c r="C17" s="107" t="s">
        <v>37</v>
      </c>
      <c r="D17" s="107"/>
      <c r="E17" s="108"/>
      <c r="F17" s="109" t="s">
        <v>43</v>
      </c>
      <c r="G17" s="110"/>
      <c r="H17" s="18" t="s">
        <v>76</v>
      </c>
      <c r="I17" s="112"/>
      <c r="J17" s="113">
        <v>10</v>
      </c>
      <c r="K17" s="113"/>
      <c r="L17" s="114"/>
      <c r="M17" s="115" t="s">
        <v>21</v>
      </c>
      <c r="N17" s="116">
        <f t="shared" si="0"/>
        <v>10</v>
      </c>
      <c r="O17" s="117"/>
      <c r="P17" s="197"/>
      <c r="Q17" s="198"/>
      <c r="R17" s="198"/>
      <c r="S17" s="198"/>
      <c r="T17" s="198"/>
      <c r="U17" s="199"/>
    </row>
    <row r="18" spans="1:21" ht="15.75" customHeight="1">
      <c r="A18" s="85"/>
      <c r="B18" s="37">
        <f t="shared" si="1"/>
        <v>5</v>
      </c>
      <c r="C18" s="107" t="s">
        <v>38</v>
      </c>
      <c r="D18" s="107"/>
      <c r="E18" s="108"/>
      <c r="F18" s="109" t="s">
        <v>80</v>
      </c>
      <c r="G18" s="110"/>
      <c r="H18" s="111" t="s">
        <v>75</v>
      </c>
      <c r="I18" s="112"/>
      <c r="J18" s="113"/>
      <c r="K18" s="113"/>
      <c r="L18" s="114"/>
      <c r="M18" s="115" t="s">
        <v>21</v>
      </c>
      <c r="N18" s="116">
        <f t="shared" si="0"/>
        <v>0</v>
      </c>
      <c r="O18" s="117"/>
      <c r="P18" s="197"/>
      <c r="Q18" s="198"/>
      <c r="R18" s="198"/>
      <c r="S18" s="198"/>
      <c r="T18" s="198"/>
      <c r="U18" s="199"/>
    </row>
    <row r="19" spans="1:21" ht="15.75" customHeight="1">
      <c r="A19" s="85"/>
      <c r="B19" s="37">
        <f t="shared" si="1"/>
        <v>6</v>
      </c>
      <c r="C19" s="107" t="s">
        <v>39</v>
      </c>
      <c r="D19" s="107"/>
      <c r="E19" s="108"/>
      <c r="F19" s="109" t="s">
        <v>79</v>
      </c>
      <c r="G19" s="110"/>
      <c r="H19" s="18" t="s">
        <v>76</v>
      </c>
      <c r="I19" s="112"/>
      <c r="J19" s="113">
        <v>12</v>
      </c>
      <c r="K19" s="113"/>
      <c r="L19" s="114"/>
      <c r="M19" s="115" t="s">
        <v>35</v>
      </c>
      <c r="N19" s="116">
        <f t="shared" si="0"/>
        <v>12</v>
      </c>
      <c r="O19" s="117"/>
      <c r="P19" s="197"/>
      <c r="Q19" s="198"/>
      <c r="R19" s="198"/>
      <c r="S19" s="198"/>
      <c r="T19" s="198"/>
      <c r="U19" s="199"/>
    </row>
    <row r="20" spans="1:21" ht="15.75" customHeight="1">
      <c r="A20" s="85"/>
      <c r="B20" s="37">
        <f t="shared" si="1"/>
        <v>7</v>
      </c>
      <c r="C20" s="107" t="s">
        <v>40</v>
      </c>
      <c r="D20" s="107"/>
      <c r="E20" s="108"/>
      <c r="F20" s="109" t="s">
        <v>44</v>
      </c>
      <c r="G20" s="110"/>
      <c r="H20" s="18" t="s">
        <v>76</v>
      </c>
      <c r="I20" s="112"/>
      <c r="J20" s="113">
        <v>10</v>
      </c>
      <c r="K20" s="113"/>
      <c r="L20" s="114"/>
      <c r="M20" s="115" t="s">
        <v>21</v>
      </c>
      <c r="N20" s="116">
        <f t="shared" si="0"/>
        <v>10</v>
      </c>
      <c r="O20" s="117"/>
      <c r="P20" s="197"/>
      <c r="Q20" s="198"/>
      <c r="R20" s="198"/>
      <c r="S20" s="198"/>
      <c r="T20" s="198"/>
      <c r="U20" s="199"/>
    </row>
    <row r="21" spans="1:21" ht="15.75" customHeight="1">
      <c r="A21" s="85"/>
      <c r="B21" s="37">
        <f t="shared" si="1"/>
        <v>8</v>
      </c>
      <c r="C21" s="107" t="s">
        <v>41</v>
      </c>
      <c r="D21" s="107"/>
      <c r="E21" s="108"/>
      <c r="F21" s="109" t="s">
        <v>81</v>
      </c>
      <c r="G21" s="110"/>
      <c r="H21" s="18" t="s">
        <v>75</v>
      </c>
      <c r="I21" s="112"/>
      <c r="J21" s="113"/>
      <c r="K21" s="113"/>
      <c r="L21" s="114"/>
      <c r="M21" s="115" t="s">
        <v>21</v>
      </c>
      <c r="N21" s="116">
        <f t="shared" si="0"/>
        <v>0</v>
      </c>
      <c r="O21" s="117"/>
      <c r="P21" s="197"/>
      <c r="Q21" s="198"/>
      <c r="R21" s="198"/>
      <c r="S21" s="198"/>
      <c r="T21" s="198"/>
      <c r="U21" s="199"/>
    </row>
    <row r="22" spans="1:21" ht="15.75" customHeight="1">
      <c r="A22" s="85"/>
      <c r="B22" s="37">
        <f t="shared" si="1"/>
        <v>9</v>
      </c>
      <c r="C22" s="80" t="s">
        <v>46</v>
      </c>
      <c r="D22" s="80"/>
      <c r="E22" s="81"/>
      <c r="F22" s="84" t="s">
        <v>71</v>
      </c>
      <c r="G22" s="17"/>
      <c r="H22" s="18" t="s">
        <v>82</v>
      </c>
      <c r="I22" s="59"/>
      <c r="J22" s="19">
        <v>8</v>
      </c>
      <c r="K22" s="19"/>
      <c r="L22" s="50" t="s">
        <v>47</v>
      </c>
      <c r="M22" s="73" t="s">
        <v>45</v>
      </c>
      <c r="N22" s="54">
        <f t="shared" si="0"/>
        <v>8</v>
      </c>
      <c r="O22" s="97">
        <v>0</v>
      </c>
      <c r="P22" s="191" t="s">
        <v>48</v>
      </c>
      <c r="Q22" s="192"/>
      <c r="R22" s="192"/>
      <c r="S22" s="192"/>
      <c r="T22" s="192"/>
      <c r="U22" s="193"/>
    </row>
    <row r="23" spans="1:21" ht="16.5" thickBot="1">
      <c r="A23" s="118"/>
      <c r="B23" s="119"/>
      <c r="C23" s="120"/>
      <c r="D23" s="120"/>
      <c r="E23" s="121"/>
      <c r="F23" s="129"/>
      <c r="G23" s="122"/>
      <c r="H23" s="123"/>
      <c r="I23" s="124"/>
      <c r="J23" s="125"/>
      <c r="K23" s="125"/>
      <c r="L23" s="126"/>
      <c r="M23" s="126"/>
      <c r="N23" s="127"/>
      <c r="O23" s="128"/>
      <c r="P23" s="194"/>
      <c r="Q23" s="195"/>
      <c r="R23" s="195"/>
      <c r="S23" s="195"/>
      <c r="T23" s="195"/>
      <c r="U23" s="196"/>
    </row>
    <row r="24" spans="1:21" ht="15" customHeight="1">
      <c r="A24" s="69"/>
      <c r="B24" s="70"/>
      <c r="C24" s="74"/>
      <c r="D24" s="74"/>
      <c r="E24" s="74"/>
      <c r="F24" s="74"/>
      <c r="G24" s="75"/>
      <c r="H24" s="76"/>
      <c r="I24" s="76"/>
      <c r="J24" s="77"/>
      <c r="K24" s="77"/>
      <c r="L24" s="78"/>
      <c r="M24" s="79"/>
      <c r="N24" s="52"/>
    </row>
    <row r="25" spans="1:21">
      <c r="C25" s="67"/>
      <c r="D25" s="67"/>
      <c r="E25" s="67"/>
      <c r="F25" s="67"/>
      <c r="G25" s="67"/>
      <c r="H25" s="67"/>
      <c r="I25" s="67"/>
      <c r="J25" s="67"/>
      <c r="K25" s="67"/>
      <c r="L25" s="68"/>
      <c r="M25" s="67"/>
    </row>
  </sheetData>
  <mergeCells count="40">
    <mergeCell ref="E8:H8"/>
    <mergeCell ref="E9:H9"/>
    <mergeCell ref="E10:H10"/>
    <mergeCell ref="K8:M8"/>
    <mergeCell ref="E6:H6"/>
    <mergeCell ref="E7:H7"/>
    <mergeCell ref="K6:M6"/>
    <mergeCell ref="K7:M7"/>
    <mergeCell ref="O9:U9"/>
    <mergeCell ref="O6:U6"/>
    <mergeCell ref="O1:U1"/>
    <mergeCell ref="O2:U2"/>
    <mergeCell ref="O3:U3"/>
    <mergeCell ref="O4:U4"/>
    <mergeCell ref="O8:U8"/>
    <mergeCell ref="O5:U5"/>
    <mergeCell ref="O7:U7"/>
    <mergeCell ref="E11:H11"/>
    <mergeCell ref="O10:U10"/>
    <mergeCell ref="P14:U14"/>
    <mergeCell ref="P23:U23"/>
    <mergeCell ref="P22:U22"/>
    <mergeCell ref="P19:U19"/>
    <mergeCell ref="P21:U21"/>
    <mergeCell ref="P20:U20"/>
    <mergeCell ref="P15:U15"/>
    <mergeCell ref="P17:U17"/>
    <mergeCell ref="P16:U16"/>
    <mergeCell ref="P18:U18"/>
    <mergeCell ref="O11:U11"/>
    <mergeCell ref="P13:U13"/>
    <mergeCell ref="O12:U12"/>
    <mergeCell ref="L4:M4"/>
    <mergeCell ref="L3:M3"/>
    <mergeCell ref="L2:M2"/>
    <mergeCell ref="L5:M5"/>
    <mergeCell ref="J2:K2"/>
    <mergeCell ref="J3:K3"/>
    <mergeCell ref="J4:K4"/>
    <mergeCell ref="J5:K5"/>
  </mergeCells>
  <phoneticPr fontId="16"/>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1229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1229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1229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1229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1229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51"/>
  <sheetViews>
    <sheetView workbookViewId="0">
      <selection activeCell="I3" sqref="I3"/>
    </sheetView>
  </sheetViews>
  <sheetFormatPr defaultColWidth="8.75" defaultRowHeight="18.75"/>
  <cols>
    <col min="1" max="1" width="3.625" style="133" customWidth="1"/>
    <col min="2" max="2" width="20.375" style="133" customWidth="1"/>
    <col min="3" max="3" width="12.875" style="133" customWidth="1"/>
    <col min="4" max="8" width="8.75" style="133"/>
    <col min="9" max="9" width="111.75" style="133" bestFit="1" customWidth="1"/>
    <col min="10" max="16384" width="8.75" style="133"/>
  </cols>
  <sheetData>
    <row r="1" spans="1:10" ht="19.5" thickBot="1">
      <c r="A1" s="133" t="s">
        <v>22</v>
      </c>
      <c r="B1" s="133" t="s">
        <v>23</v>
      </c>
    </row>
    <row r="2" spans="1:10">
      <c r="A2" s="134">
        <f>ROW()-1</f>
        <v>1</v>
      </c>
      <c r="B2" s="135" t="s">
        <v>49</v>
      </c>
      <c r="E2" s="133" t="s">
        <v>50</v>
      </c>
      <c r="I2" s="133" t="s">
        <v>87</v>
      </c>
    </row>
    <row r="3" spans="1:10">
      <c r="A3" s="136">
        <f t="shared" ref="A3:A11" si="0">ROW()-1</f>
        <v>2</v>
      </c>
      <c r="B3" s="137" t="s">
        <v>51</v>
      </c>
      <c r="E3" s="133" t="s">
        <v>52</v>
      </c>
      <c r="I3" s="149" t="s">
        <v>104</v>
      </c>
    </row>
    <row r="4" spans="1:10">
      <c r="A4" s="136">
        <f t="shared" si="0"/>
        <v>3</v>
      </c>
      <c r="B4" s="137" t="s">
        <v>24</v>
      </c>
      <c r="E4" s="133" t="s">
        <v>53</v>
      </c>
    </row>
    <row r="5" spans="1:10">
      <c r="A5" s="136">
        <f t="shared" si="0"/>
        <v>4</v>
      </c>
      <c r="B5" s="137" t="s">
        <v>54</v>
      </c>
      <c r="E5" s="133" t="s">
        <v>55</v>
      </c>
    </row>
    <row r="6" spans="1:10">
      <c r="A6" s="136">
        <f t="shared" si="0"/>
        <v>5</v>
      </c>
      <c r="B6" s="137" t="s">
        <v>74</v>
      </c>
      <c r="E6" s="133" t="s">
        <v>74</v>
      </c>
    </row>
    <row r="7" spans="1:10">
      <c r="A7" s="136">
        <f t="shared" si="0"/>
        <v>6</v>
      </c>
      <c r="B7" s="137" t="s">
        <v>56</v>
      </c>
      <c r="E7" s="133" t="s">
        <v>57</v>
      </c>
      <c r="I7" s="133" t="s">
        <v>106</v>
      </c>
      <c r="J7" s="133" t="s">
        <v>89</v>
      </c>
    </row>
    <row r="8" spans="1:10">
      <c r="A8" s="136">
        <f t="shared" si="0"/>
        <v>7</v>
      </c>
      <c r="B8" s="137" t="s">
        <v>58</v>
      </c>
      <c r="E8" s="133" t="s">
        <v>59</v>
      </c>
      <c r="I8" s="133" t="s">
        <v>88</v>
      </c>
      <c r="J8" s="133" t="s">
        <v>95</v>
      </c>
    </row>
    <row r="9" spans="1:10">
      <c r="A9" s="136">
        <f t="shared" si="0"/>
        <v>8</v>
      </c>
      <c r="B9" s="137" t="s">
        <v>60</v>
      </c>
      <c r="E9" s="133" t="s">
        <v>61</v>
      </c>
      <c r="I9" s="133" t="s">
        <v>109</v>
      </c>
      <c r="J9" s="133" t="s">
        <v>95</v>
      </c>
    </row>
    <row r="10" spans="1:10">
      <c r="A10" s="136">
        <f t="shared" si="0"/>
        <v>9</v>
      </c>
      <c r="B10" s="137" t="s">
        <v>62</v>
      </c>
      <c r="E10" s="133" t="s">
        <v>63</v>
      </c>
      <c r="I10" s="133" t="s">
        <v>111</v>
      </c>
      <c r="J10" s="133" t="s">
        <v>279</v>
      </c>
    </row>
    <row r="11" spans="1:10" ht="19.5" thickBot="1">
      <c r="A11" s="138">
        <f t="shared" si="0"/>
        <v>10</v>
      </c>
      <c r="B11" s="139" t="s">
        <v>90</v>
      </c>
      <c r="E11" s="133" t="s">
        <v>91</v>
      </c>
      <c r="I11" s="133" t="s">
        <v>113</v>
      </c>
      <c r="J11" s="133" t="s">
        <v>279</v>
      </c>
    </row>
    <row r="12" spans="1:10" ht="19.5" thickBot="1">
      <c r="B12" s="140" t="s">
        <v>25</v>
      </c>
      <c r="C12" s="141">
        <v>10</v>
      </c>
      <c r="D12" s="142" t="str">
        <f>VLOOKUP(C12,A2:B11,2,FALSE)</f>
        <v>INT</v>
      </c>
      <c r="I12" s="133" t="s">
        <v>115</v>
      </c>
      <c r="J12" s="133" t="s">
        <v>279</v>
      </c>
    </row>
    <row r="13" spans="1:10">
      <c r="I13" s="133" t="s">
        <v>92</v>
      </c>
      <c r="J13" s="133" t="s">
        <v>279</v>
      </c>
    </row>
    <row r="14" spans="1:10">
      <c r="I14" s="133" t="s">
        <v>118</v>
      </c>
      <c r="J14" s="133" t="s">
        <v>279</v>
      </c>
    </row>
    <row r="15" spans="1:10">
      <c r="I15" s="133" t="s">
        <v>120</v>
      </c>
      <c r="J15" s="133" t="s">
        <v>279</v>
      </c>
    </row>
    <row r="16" spans="1:10">
      <c r="I16" s="133" t="s">
        <v>122</v>
      </c>
      <c r="J16" s="133" t="s">
        <v>279</v>
      </c>
    </row>
    <row r="17" spans="9:10">
      <c r="I17" s="133" t="s">
        <v>124</v>
      </c>
      <c r="J17" s="133" t="s">
        <v>279</v>
      </c>
    </row>
    <row r="18" spans="9:10">
      <c r="I18" s="133" t="s">
        <v>126</v>
      </c>
      <c r="J18" s="133" t="s">
        <v>279</v>
      </c>
    </row>
    <row r="19" spans="9:10">
      <c r="I19" s="133" t="s">
        <v>128</v>
      </c>
      <c r="J19" s="133" t="s">
        <v>279</v>
      </c>
    </row>
    <row r="20" spans="9:10">
      <c r="I20" s="133" t="s">
        <v>130</v>
      </c>
      <c r="J20" s="133" t="s">
        <v>95</v>
      </c>
    </row>
    <row r="21" spans="9:10">
      <c r="I21" s="133" t="s">
        <v>132</v>
      </c>
      <c r="J21" s="133" t="s">
        <v>95</v>
      </c>
    </row>
    <row r="22" spans="9:10">
      <c r="I22" s="133" t="s">
        <v>134</v>
      </c>
      <c r="J22" s="133" t="s">
        <v>279</v>
      </c>
    </row>
    <row r="23" spans="9:10">
      <c r="I23" s="133" t="s">
        <v>136</v>
      </c>
      <c r="J23" s="133" t="s">
        <v>279</v>
      </c>
    </row>
    <row r="24" spans="9:10">
      <c r="I24" s="133" t="s">
        <v>138</v>
      </c>
      <c r="J24" s="133" t="s">
        <v>279</v>
      </c>
    </row>
    <row r="25" spans="9:10">
      <c r="I25" s="133" t="s">
        <v>140</v>
      </c>
      <c r="J25" s="133" t="s">
        <v>95</v>
      </c>
    </row>
    <row r="26" spans="9:10">
      <c r="I26" s="133" t="s">
        <v>142</v>
      </c>
      <c r="J26" s="133" t="s">
        <v>95</v>
      </c>
    </row>
    <row r="27" spans="9:10">
      <c r="I27" s="133" t="s">
        <v>143</v>
      </c>
      <c r="J27" s="133" t="s">
        <v>95</v>
      </c>
    </row>
    <row r="28" spans="9:10">
      <c r="I28" s="133" t="s">
        <v>145</v>
      </c>
      <c r="J28" s="133" t="s">
        <v>95</v>
      </c>
    </row>
    <row r="29" spans="9:10">
      <c r="I29" s="133" t="s">
        <v>147</v>
      </c>
      <c r="J29" s="133" t="s">
        <v>95</v>
      </c>
    </row>
    <row r="30" spans="9:10">
      <c r="I30" s="133" t="s">
        <v>149</v>
      </c>
      <c r="J30" s="133" t="s">
        <v>95</v>
      </c>
    </row>
    <row r="31" spans="9:10">
      <c r="I31" s="133" t="s">
        <v>151</v>
      </c>
      <c r="J31" s="133" t="s">
        <v>95</v>
      </c>
    </row>
    <row r="32" spans="9:10">
      <c r="I32" s="133" t="s">
        <v>93</v>
      </c>
      <c r="J32" s="133" t="s">
        <v>95</v>
      </c>
    </row>
    <row r="33" spans="9:10">
      <c r="I33" s="133" t="s">
        <v>154</v>
      </c>
      <c r="J33" s="133" t="s">
        <v>95</v>
      </c>
    </row>
    <row r="34" spans="9:10">
      <c r="I34" s="133" t="s">
        <v>94</v>
      </c>
      <c r="J34" s="133" t="s">
        <v>95</v>
      </c>
    </row>
    <row r="35" spans="9:10">
      <c r="I35" s="133" t="s">
        <v>156</v>
      </c>
      <c r="J35" s="133" t="s">
        <v>95</v>
      </c>
    </row>
    <row r="36" spans="9:10">
      <c r="I36" s="133" t="s">
        <v>158</v>
      </c>
      <c r="J36" s="133" t="s">
        <v>95</v>
      </c>
    </row>
    <row r="37" spans="9:10">
      <c r="I37" s="133" t="s">
        <v>160</v>
      </c>
      <c r="J37" s="133" t="s">
        <v>95</v>
      </c>
    </row>
    <row r="38" spans="9:10">
      <c r="I38" s="133" t="s">
        <v>162</v>
      </c>
      <c r="J38" s="133" t="s">
        <v>279</v>
      </c>
    </row>
    <row r="39" spans="9:10">
      <c r="I39" s="133" t="s">
        <v>164</v>
      </c>
      <c r="J39" s="133" t="s">
        <v>279</v>
      </c>
    </row>
    <row r="40" spans="9:10">
      <c r="I40" s="133" t="s">
        <v>166</v>
      </c>
      <c r="J40" s="133" t="s">
        <v>279</v>
      </c>
    </row>
    <row r="41" spans="9:10">
      <c r="I41" s="133" t="s">
        <v>168</v>
      </c>
      <c r="J41" s="133" t="s">
        <v>95</v>
      </c>
    </row>
    <row r="42" spans="9:10">
      <c r="I42" s="133" t="s">
        <v>170</v>
      </c>
      <c r="J42" s="133" t="s">
        <v>95</v>
      </c>
    </row>
    <row r="43" spans="9:10">
      <c r="I43" s="133" t="s">
        <v>172</v>
      </c>
      <c r="J43" s="133" t="s">
        <v>95</v>
      </c>
    </row>
    <row r="44" spans="9:10">
      <c r="I44" s="133" t="s">
        <v>174</v>
      </c>
      <c r="J44" s="133" t="s">
        <v>95</v>
      </c>
    </row>
    <row r="45" spans="9:10">
      <c r="I45" s="133" t="s">
        <v>175</v>
      </c>
      <c r="J45" s="133" t="s">
        <v>182</v>
      </c>
    </row>
    <row r="46" spans="9:10">
      <c r="I46" s="133" t="s">
        <v>176</v>
      </c>
      <c r="J46" s="133" t="s">
        <v>182</v>
      </c>
    </row>
    <row r="47" spans="9:10">
      <c r="I47" s="133" t="s">
        <v>177</v>
      </c>
      <c r="J47" s="133" t="s">
        <v>182</v>
      </c>
    </row>
    <row r="48" spans="9:10">
      <c r="I48" s="133" t="s">
        <v>178</v>
      </c>
      <c r="J48" s="133" t="s">
        <v>182</v>
      </c>
    </row>
    <row r="49" spans="9:10">
      <c r="I49" s="133" t="s">
        <v>179</v>
      </c>
      <c r="J49" s="133" t="s">
        <v>182</v>
      </c>
    </row>
    <row r="50" spans="9:10">
      <c r="I50" s="133" t="s">
        <v>180</v>
      </c>
      <c r="J50" s="133" t="s">
        <v>182</v>
      </c>
    </row>
    <row r="51" spans="9:10">
      <c r="I51" s="133" t="s">
        <v>181</v>
      </c>
    </row>
  </sheetData>
  <phoneticPr fontId="17"/>
  <printOptions gridLinesSet="0"/>
  <pageMargins left="0.75" right="0.75" top="1" bottom="1" header="0.5" footer="0.5"/>
  <headerFooter alignWithMargins="0">
    <oddHeader>&amp;A</oddHeader>
    <oddFooter>- &amp;P -</oddFooter>
  </headerFooter>
  <drawing r:id="rId1"/>
  <legacyDrawing r:id="rId2"/>
  <controls>
    <mc:AlternateContent xmlns:mc="http://schemas.openxmlformats.org/markup-compatibility/2006">
      <mc:Choice Requires="x14">
        <control shapeId="14337" r:id="rId3" name="btnPath">
          <controlPr autoLine="0" autoPict="0" r:id="rId4">
            <anchor moveWithCells="1">
              <from>
                <xdr:col>9</xdr:col>
                <xdr:colOff>28575</xdr:colOff>
                <xdr:row>1</xdr:row>
                <xdr:rowOff>228600</xdr:rowOff>
              </from>
              <to>
                <xdr:col>10</xdr:col>
                <xdr:colOff>0</xdr:colOff>
                <xdr:row>3</xdr:row>
                <xdr:rowOff>0</xdr:rowOff>
              </to>
            </anchor>
          </controlPr>
        </control>
      </mc:Choice>
      <mc:Fallback>
        <control shapeId="14337" r:id="rId3" name="btnPath"/>
      </mc:Fallback>
    </mc:AlternateContent>
    <mc:AlternateContent xmlns:mc="http://schemas.openxmlformats.org/markup-compatibility/2006">
      <mc:Choice Requires="x14">
        <control shapeId="14338" r:id="rId5" name="btnCreate">
          <controlPr autoLine="0" r:id="rId6">
            <anchor moveWithCells="1">
              <from>
                <xdr:col>8</xdr:col>
                <xdr:colOff>38100</xdr:colOff>
                <xdr:row>3</xdr:row>
                <xdr:rowOff>28575</xdr:rowOff>
              </from>
              <to>
                <xdr:col>8</xdr:col>
                <xdr:colOff>952500</xdr:colOff>
                <xdr:row>4</xdr:row>
                <xdr:rowOff>95250</xdr:rowOff>
              </to>
            </anchor>
          </controlPr>
        </control>
      </mc:Choice>
      <mc:Fallback>
        <control shapeId="14338" r:id="rId5" name="btnCreate"/>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U1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06" t="s">
        <v>27</v>
      </c>
      <c r="P1" s="207"/>
      <c r="Q1" s="207"/>
      <c r="R1" s="207"/>
      <c r="S1" s="207"/>
      <c r="T1" s="207"/>
      <c r="U1" s="208"/>
    </row>
    <row r="2" spans="1:21" ht="14.45" customHeight="1">
      <c r="A2" s="39"/>
      <c r="B2" s="100" t="s">
        <v>64</v>
      </c>
      <c r="C2" s="5"/>
      <c r="D2" s="5"/>
      <c r="E2" s="5"/>
      <c r="F2" s="5"/>
      <c r="G2" s="6"/>
      <c r="H2" s="7"/>
      <c r="I2" s="8"/>
      <c r="J2" s="177"/>
      <c r="K2" s="178"/>
      <c r="L2" s="177"/>
      <c r="M2" s="178"/>
      <c r="N2" s="52"/>
      <c r="O2" s="209"/>
      <c r="P2" s="210"/>
      <c r="Q2" s="210"/>
      <c r="R2" s="210"/>
      <c r="S2" s="210"/>
      <c r="T2" s="210"/>
      <c r="U2" s="211"/>
    </row>
    <row r="3" spans="1:21" ht="14.25" customHeight="1">
      <c r="A3" s="40"/>
      <c r="B3" s="35"/>
      <c r="C3" s="5"/>
      <c r="D3" s="5"/>
      <c r="E3" s="5"/>
      <c r="F3" s="5"/>
      <c r="G3" s="9"/>
      <c r="H3" s="10"/>
      <c r="I3" s="143"/>
      <c r="J3" s="181"/>
      <c r="K3" s="182"/>
      <c r="L3" s="175"/>
      <c r="M3" s="176"/>
      <c r="N3" s="52"/>
      <c r="O3" s="212"/>
      <c r="P3" s="213"/>
      <c r="Q3" s="213"/>
      <c r="R3" s="213"/>
      <c r="S3" s="213"/>
      <c r="T3" s="213"/>
      <c r="U3" s="214"/>
    </row>
    <row r="4" spans="1:21" ht="14.45" customHeight="1">
      <c r="A4" s="41"/>
      <c r="B4" s="36" t="s">
        <v>3</v>
      </c>
      <c r="C4" s="5"/>
      <c r="D4" s="5"/>
      <c r="E4" s="5"/>
      <c r="F4" s="5"/>
      <c r="G4" s="6"/>
      <c r="H4" s="10"/>
      <c r="I4" s="144"/>
      <c r="J4" s="181"/>
      <c r="K4" s="182"/>
      <c r="L4" s="173"/>
      <c r="M4" s="174"/>
      <c r="N4" s="52"/>
      <c r="O4" s="188"/>
      <c r="P4" s="189"/>
      <c r="Q4" s="189"/>
      <c r="R4" s="189"/>
      <c r="S4" s="189"/>
      <c r="T4" s="189"/>
      <c r="U4" s="190"/>
    </row>
    <row r="5" spans="1:21" ht="14.45" customHeight="1" thickBot="1">
      <c r="A5" s="42"/>
      <c r="B5" s="11"/>
      <c r="C5" s="11"/>
      <c r="D5" s="11"/>
      <c r="E5" s="11"/>
      <c r="F5" s="11"/>
      <c r="G5" s="12"/>
      <c r="H5" s="13"/>
      <c r="I5" s="14"/>
      <c r="J5" s="183"/>
      <c r="K5" s="184"/>
      <c r="L5" s="179"/>
      <c r="M5" s="180"/>
      <c r="N5" s="53"/>
      <c r="O5" s="215"/>
      <c r="P5" s="189"/>
      <c r="Q5" s="189"/>
      <c r="R5" s="189"/>
      <c r="S5" s="189"/>
      <c r="T5" s="189"/>
      <c r="U5" s="190"/>
    </row>
    <row r="6" spans="1:21" ht="14.45" customHeight="1">
      <c r="A6" s="43"/>
      <c r="B6" s="101" t="s">
        <v>4</v>
      </c>
      <c r="C6" s="20"/>
      <c r="D6" s="21"/>
      <c r="E6" s="228" t="s">
        <v>65</v>
      </c>
      <c r="F6" s="229"/>
      <c r="G6" s="229"/>
      <c r="H6" s="230"/>
      <c r="I6" s="60" t="s">
        <v>26</v>
      </c>
      <c r="J6" s="26"/>
      <c r="K6" s="231" t="s">
        <v>33</v>
      </c>
      <c r="L6" s="232"/>
      <c r="M6" s="233"/>
      <c r="N6" s="91" t="s">
        <v>5</v>
      </c>
      <c r="O6" s="188"/>
      <c r="P6" s="189"/>
      <c r="Q6" s="189"/>
      <c r="R6" s="189"/>
      <c r="S6" s="189"/>
      <c r="T6" s="189"/>
      <c r="U6" s="190"/>
    </row>
    <row r="7" spans="1:21" ht="15.75" customHeight="1">
      <c r="A7" s="44"/>
      <c r="B7" s="102" t="s">
        <v>6</v>
      </c>
      <c r="C7" s="22"/>
      <c r="D7" s="23"/>
      <c r="E7" s="216"/>
      <c r="F7" s="217"/>
      <c r="G7" s="217"/>
      <c r="H7" s="218"/>
      <c r="I7" s="61" t="s">
        <v>28</v>
      </c>
      <c r="J7" s="27"/>
      <c r="K7" s="234" t="s">
        <v>34</v>
      </c>
      <c r="L7" s="235"/>
      <c r="M7" s="236"/>
      <c r="N7" s="92">
        <f>COUNTIF(H14:H14,"LONG")+COUNTIF(H14:H14,"LONG RAW")</f>
        <v>0</v>
      </c>
      <c r="O7" s="188"/>
      <c r="P7" s="189"/>
      <c r="Q7" s="189"/>
      <c r="R7" s="189"/>
      <c r="S7" s="189"/>
      <c r="T7" s="189"/>
      <c r="U7" s="190"/>
    </row>
    <row r="8" spans="1:21" ht="14.45" customHeight="1">
      <c r="A8" s="45"/>
      <c r="B8" s="22" t="s">
        <v>7</v>
      </c>
      <c r="C8" s="22"/>
      <c r="D8" s="23"/>
      <c r="E8" s="216"/>
      <c r="F8" s="217"/>
      <c r="G8" s="217"/>
      <c r="H8" s="218"/>
      <c r="I8" s="62"/>
      <c r="J8" s="27"/>
      <c r="K8" s="225"/>
      <c r="L8" s="226"/>
      <c r="M8" s="227"/>
      <c r="N8" s="92"/>
      <c r="O8" s="188"/>
      <c r="P8" s="189"/>
      <c r="Q8" s="189"/>
      <c r="R8" s="189"/>
      <c r="S8" s="189"/>
      <c r="T8" s="189"/>
      <c r="U8" s="190"/>
    </row>
    <row r="9" spans="1:21" ht="14.45" customHeight="1">
      <c r="A9" s="45"/>
      <c r="B9" s="22" t="s">
        <v>8</v>
      </c>
      <c r="C9" s="22"/>
      <c r="D9" s="23"/>
      <c r="E9" s="219" t="s">
        <v>68</v>
      </c>
      <c r="F9" s="220"/>
      <c r="G9" s="220"/>
      <c r="H9" s="221"/>
      <c r="I9" s="61" t="s">
        <v>9</v>
      </c>
      <c r="J9" s="27"/>
      <c r="K9" s="86"/>
      <c r="L9" s="88">
        <f>SUM(N14:N14)</f>
        <v>0</v>
      </c>
      <c r="M9" s="82"/>
      <c r="N9" s="93">
        <f>SUMIF(M14:M14,"■",N14:N14)</f>
        <v>0</v>
      </c>
      <c r="O9" s="188"/>
      <c r="P9" s="189"/>
      <c r="Q9" s="189"/>
      <c r="R9" s="189"/>
      <c r="S9" s="189"/>
      <c r="T9" s="189"/>
      <c r="U9" s="190"/>
    </row>
    <row r="10" spans="1:21" ht="14.45" customHeight="1">
      <c r="A10" s="45"/>
      <c r="B10" s="22" t="s">
        <v>10</v>
      </c>
      <c r="C10" s="22"/>
      <c r="D10" s="23"/>
      <c r="E10" s="222" t="s">
        <v>68</v>
      </c>
      <c r="F10" s="223"/>
      <c r="G10" s="223"/>
      <c r="H10" s="224"/>
      <c r="I10" s="61" t="s">
        <v>11</v>
      </c>
      <c r="J10" s="27"/>
      <c r="K10" s="86"/>
      <c r="L10" s="89">
        <f>E11*L9/1000</f>
        <v>0</v>
      </c>
      <c r="M10" s="82"/>
      <c r="N10" s="55"/>
      <c r="O10" s="188"/>
      <c r="P10" s="189"/>
      <c r="Q10" s="189"/>
      <c r="R10" s="189"/>
      <c r="S10" s="189"/>
      <c r="T10" s="189"/>
      <c r="U10" s="190"/>
    </row>
    <row r="11" spans="1:21" ht="17.25" customHeight="1" thickBot="1">
      <c r="A11" s="46"/>
      <c r="B11" s="24" t="s">
        <v>29</v>
      </c>
      <c r="C11" s="24"/>
      <c r="D11" s="25"/>
      <c r="E11" s="185"/>
      <c r="F11" s="186"/>
      <c r="G11" s="186"/>
      <c r="H11" s="187"/>
      <c r="I11" s="103" t="s">
        <v>12</v>
      </c>
      <c r="J11" s="104"/>
      <c r="K11" s="87"/>
      <c r="L11" s="90"/>
      <c r="M11" s="83"/>
      <c r="N11" s="56"/>
      <c r="O11" s="188"/>
      <c r="P11" s="189"/>
      <c r="Q11" s="189"/>
      <c r="R11" s="189"/>
      <c r="S11" s="189"/>
      <c r="T11" s="189"/>
      <c r="U11" s="190"/>
    </row>
    <row r="12" spans="1:21" ht="15.75" customHeight="1" thickBot="1">
      <c r="A12" s="64"/>
      <c r="B12" s="65"/>
      <c r="C12" s="30"/>
      <c r="D12" s="30"/>
      <c r="E12" s="31"/>
      <c r="F12" s="32"/>
      <c r="G12" s="29"/>
      <c r="H12" s="28"/>
      <c r="I12" s="29"/>
      <c r="J12" s="30" t="s">
        <v>13</v>
      </c>
      <c r="K12" s="31"/>
      <c r="L12" s="66"/>
      <c r="M12" s="48"/>
      <c r="N12" s="57">
        <f>COUNTA(H14:H14)</f>
        <v>0</v>
      </c>
      <c r="O12" s="203"/>
      <c r="P12" s="204"/>
      <c r="Q12" s="204"/>
      <c r="R12" s="204"/>
      <c r="S12" s="204"/>
      <c r="T12" s="204"/>
      <c r="U12" s="205"/>
    </row>
    <row r="13" spans="1:21" ht="32.25" customHeight="1" thickBot="1">
      <c r="A13" s="105" t="s">
        <v>14</v>
      </c>
      <c r="B13" s="94"/>
      <c r="C13" s="95" t="s">
        <v>15</v>
      </c>
      <c r="D13" s="72"/>
      <c r="E13" s="71"/>
      <c r="F13" s="72" t="s">
        <v>16</v>
      </c>
      <c r="G13" s="71"/>
      <c r="H13" s="72" t="s">
        <v>17</v>
      </c>
      <c r="I13" s="71"/>
      <c r="J13" s="132" t="s">
        <v>18</v>
      </c>
      <c r="K13" s="132" t="s">
        <v>19</v>
      </c>
      <c r="L13" s="98" t="s">
        <v>30</v>
      </c>
      <c r="M13" s="99" t="s">
        <v>20</v>
      </c>
      <c r="N13" s="106">
        <f>COUNTIF(M14:M14,"■")</f>
        <v>0</v>
      </c>
      <c r="O13" s="131" t="s">
        <v>31</v>
      </c>
      <c r="P13" s="200" t="s">
        <v>32</v>
      </c>
      <c r="Q13" s="201"/>
      <c r="R13" s="201"/>
      <c r="S13" s="201"/>
      <c r="T13" s="201"/>
      <c r="U13" s="202"/>
    </row>
    <row r="14" spans="1:21" ht="15.75" customHeight="1">
      <c r="A14" s="85"/>
      <c r="B14" s="37">
        <f>ROW()-13</f>
        <v>1</v>
      </c>
      <c r="C14" s="145" t="s">
        <v>84</v>
      </c>
      <c r="D14" s="80"/>
      <c r="E14" s="81"/>
      <c r="F14" s="146" t="s">
        <v>85</v>
      </c>
      <c r="G14" s="17"/>
      <c r="H14" s="18"/>
      <c r="I14" s="59"/>
      <c r="J14" s="19"/>
      <c r="K14" s="19"/>
      <c r="L14" s="50"/>
      <c r="M14" s="73" t="s">
        <v>21</v>
      </c>
      <c r="N14" s="54">
        <f t="shared" ref="N14" si="0">IF(H14="NUMBER",IF(J14&gt;0,INT((J14+1)/2+0.9),0),IF(H14="DATE",7,IF(OR(H14="LONG",H14="LONG RAW"),100000,J14)))</f>
        <v>0</v>
      </c>
      <c r="O14" s="170"/>
      <c r="P14" s="191"/>
      <c r="Q14" s="192"/>
      <c r="R14" s="192"/>
      <c r="S14" s="192"/>
      <c r="T14" s="192"/>
      <c r="U14" s="193"/>
    </row>
    <row r="15" spans="1:21">
      <c r="C15" s="67"/>
      <c r="D15" s="67"/>
      <c r="E15" s="67"/>
      <c r="F15" s="67"/>
      <c r="G15" s="67"/>
      <c r="H15" s="67"/>
      <c r="I15" s="67"/>
      <c r="J15" s="67"/>
      <c r="K15" s="67"/>
      <c r="L15" s="68"/>
      <c r="M15" s="67"/>
    </row>
  </sheetData>
  <mergeCells count="31">
    <mergeCell ref="O5:U5"/>
    <mergeCell ref="O1:U1"/>
    <mergeCell ref="O2:U2"/>
    <mergeCell ref="O3:U3"/>
    <mergeCell ref="L4:M4"/>
    <mergeCell ref="O4:U4"/>
    <mergeCell ref="E10:H10"/>
    <mergeCell ref="O10:U10"/>
    <mergeCell ref="E6:H6"/>
    <mergeCell ref="K6:M6"/>
    <mergeCell ref="O6:U6"/>
    <mergeCell ref="E7:H7"/>
    <mergeCell ref="K7:M7"/>
    <mergeCell ref="O7:U7"/>
    <mergeCell ref="E8:H8"/>
    <mergeCell ref="K8:M8"/>
    <mergeCell ref="O8:U8"/>
    <mergeCell ref="E9:H9"/>
    <mergeCell ref="O9:U9"/>
    <mergeCell ref="E11:H11"/>
    <mergeCell ref="O11:U11"/>
    <mergeCell ref="O12:U12"/>
    <mergeCell ref="P13:U13"/>
    <mergeCell ref="P14:U14"/>
    <mergeCell ref="J5:K5"/>
    <mergeCell ref="L5:M5"/>
    <mergeCell ref="J2:K2"/>
    <mergeCell ref="L2:M2"/>
    <mergeCell ref="J3:K3"/>
    <mergeCell ref="L3:M3"/>
    <mergeCell ref="J4:K4"/>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1536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1536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1536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1536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1536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BA33584D-B9D6-497F-A01F-A328EAE452A7}">
            <xm:f>(AND(H14&lt;&gt;"",ISERROR(VLOOKUP(H14,system!$E:$E,1,FALSE))))</xm:f>
            <x14:dxf>
              <fill>
                <patternFill patternType="solid">
                  <bgColor rgb="FFFF0000"/>
                </patternFill>
              </fill>
            </x14:dxf>
          </x14:cfRule>
          <xm:sqref>H14</xm:sqref>
        </x14:conditionalFormatting>
        <x14:conditionalFormatting xmlns:xm="http://schemas.microsoft.com/office/excel/2006/main">
          <x14:cfRule type="expression" priority="1" id="{45A009D8-867F-4910-B1BF-BF2631EA4088}">
            <xm:f>(AND(H14&lt;&gt;"",ISERROR(VLOOKUP(H14,system!$E:$E,1,FALSE))))</xm:f>
            <x14:dxf>
              <fill>
                <patternFill>
                  <bgColor rgb="FFFF0000"/>
                </patternFill>
              </fill>
            </x14:dxf>
          </x14:cfRule>
          <xm:sqref>I14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M11"/>
  <sheetViews>
    <sheetView showGridLines="0" zoomScaleNormal="100" workbookViewId="0">
      <pane ySplit="9" topLeftCell="A10" activePane="bottomLeft" state="frozen"/>
      <selection activeCell="A14" sqref="A14"/>
      <selection pane="bottomLeft" activeCell="A10" sqref="A10"/>
    </sheetView>
  </sheetViews>
  <sheetFormatPr defaultColWidth="9" defaultRowHeight="12"/>
  <cols>
    <col min="1" max="1" width="5" style="4" customWidth="1"/>
    <col min="2" max="3" width="28.75" style="4" customWidth="1"/>
    <col min="4" max="4" width="13.75" style="4" customWidth="1"/>
    <col min="5" max="6" width="10" style="4" customWidth="1"/>
    <col min="7" max="7" width="10" style="16" customWidth="1"/>
    <col min="8" max="8" width="0.125" style="58" customWidth="1"/>
    <col min="9" max="9" width="35" style="4" customWidth="1"/>
    <col min="10" max="10" width="8.625" style="4" customWidth="1"/>
    <col min="11" max="11" width="10.125" style="4" customWidth="1"/>
    <col min="12" max="12" width="8.625" style="4" customWidth="1"/>
    <col min="13" max="13" width="43.375" style="4" customWidth="1"/>
    <col min="14" max="16384" width="9" style="4"/>
  </cols>
  <sheetData>
    <row r="1" spans="1:13" ht="17.25" customHeight="1" thickBot="1">
      <c r="A1" s="1"/>
      <c r="B1" s="1"/>
      <c r="C1" s="1"/>
      <c r="D1" s="2"/>
      <c r="E1" s="33" t="s">
        <v>0</v>
      </c>
      <c r="F1" s="34" t="s">
        <v>1</v>
      </c>
      <c r="G1" s="155" t="s">
        <v>2</v>
      </c>
      <c r="H1" s="154"/>
    </row>
    <row r="2" spans="1:13" ht="14.45" customHeight="1">
      <c r="A2" s="244" t="s">
        <v>101</v>
      </c>
      <c r="B2" s="244"/>
      <c r="C2" s="244"/>
      <c r="D2" s="245"/>
      <c r="E2" s="8"/>
      <c r="F2" s="152"/>
      <c r="G2" s="156"/>
      <c r="H2" s="52"/>
    </row>
    <row r="3" spans="1:13" ht="14.25" customHeight="1">
      <c r="A3" s="35"/>
      <c r="B3" s="5"/>
      <c r="C3" s="5"/>
      <c r="D3" s="9"/>
      <c r="E3" s="143"/>
      <c r="F3" s="130"/>
      <c r="G3" s="157"/>
      <c r="H3" s="52"/>
    </row>
    <row r="4" spans="1:13" ht="14.45" customHeight="1">
      <c r="A4" s="246" t="s">
        <v>3</v>
      </c>
      <c r="B4" s="246"/>
      <c r="C4" s="246"/>
      <c r="D4" s="247"/>
      <c r="E4" s="144"/>
      <c r="F4" s="130"/>
      <c r="G4" s="158"/>
      <c r="H4" s="52"/>
    </row>
    <row r="5" spans="1:13" ht="14.45" customHeight="1" thickBot="1">
      <c r="A5" s="11"/>
      <c r="B5" s="153"/>
      <c r="C5" s="153"/>
      <c r="D5" s="9"/>
      <c r="E5" s="14"/>
      <c r="F5" s="15"/>
      <c r="G5" s="159"/>
      <c r="H5" s="53"/>
    </row>
    <row r="6" spans="1:13" ht="14.45" customHeight="1">
      <c r="A6" s="160" t="s">
        <v>4</v>
      </c>
      <c r="B6" s="60"/>
      <c r="C6" s="240" t="s">
        <v>65</v>
      </c>
      <c r="D6" s="240"/>
      <c r="E6" s="240"/>
      <c r="F6" s="240"/>
      <c r="G6" s="241"/>
      <c r="H6" s="151"/>
      <c r="I6" s="151"/>
    </row>
    <row r="7" spans="1:13" ht="15.75" customHeight="1" thickBot="1">
      <c r="A7" s="161" t="s">
        <v>100</v>
      </c>
      <c r="B7" s="103"/>
      <c r="C7" s="242"/>
      <c r="D7" s="242"/>
      <c r="E7" s="242"/>
      <c r="F7" s="242"/>
      <c r="G7" s="243"/>
      <c r="H7" s="151"/>
      <c r="I7" s="151"/>
    </row>
    <row r="8" spans="1:13" ht="7.5" customHeight="1" thickBot="1">
      <c r="A8" s="151"/>
      <c r="B8" s="151"/>
      <c r="C8" s="151"/>
      <c r="D8" s="151"/>
      <c r="E8" s="151"/>
      <c r="F8" s="151"/>
      <c r="G8" s="151"/>
      <c r="H8" s="151"/>
      <c r="I8" s="151"/>
      <c r="J8" s="151"/>
      <c r="K8" s="151"/>
      <c r="L8" s="151"/>
      <c r="M8" s="151"/>
    </row>
    <row r="9" spans="1:13" ht="32.25" customHeight="1">
      <c r="A9" s="163" t="s">
        <v>102</v>
      </c>
      <c r="B9" s="101" t="s">
        <v>97</v>
      </c>
      <c r="C9" s="60" t="s">
        <v>98</v>
      </c>
      <c r="D9" s="60" t="s">
        <v>99</v>
      </c>
      <c r="E9" s="248" t="s">
        <v>103</v>
      </c>
      <c r="F9" s="249"/>
      <c r="G9" s="249"/>
      <c r="H9" s="249"/>
      <c r="I9" s="250"/>
    </row>
    <row r="10" spans="1:13" ht="15.75" customHeight="1">
      <c r="A10" s="162">
        <f>ROW()-9</f>
        <v>1</v>
      </c>
      <c r="B10" s="145" t="s">
        <v>84</v>
      </c>
      <c r="C10" s="150" t="s">
        <v>85</v>
      </c>
      <c r="D10" s="169"/>
      <c r="E10" s="237"/>
      <c r="F10" s="238"/>
      <c r="G10" s="238"/>
      <c r="H10" s="238"/>
      <c r="I10" s="239"/>
    </row>
    <row r="11" spans="1:13" ht="12.75">
      <c r="B11" s="67"/>
      <c r="C11" s="67"/>
      <c r="D11" s="67"/>
      <c r="E11" s="67"/>
      <c r="F11" s="67"/>
      <c r="G11" s="68"/>
    </row>
  </sheetData>
  <mergeCells count="6">
    <mergeCell ref="E10:I10"/>
    <mergeCell ref="C6:G6"/>
    <mergeCell ref="C7:G7"/>
    <mergeCell ref="A2:D2"/>
    <mergeCell ref="A4:D4"/>
    <mergeCell ref="E9:I9"/>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legacy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U12"/>
  <sheetViews>
    <sheetView showGridLines="0" zoomScale="120" zoomScaleNormal="120" workbookViewId="0">
      <pane ySplit="1" topLeftCell="A2" activePane="bottomLeft" state="frozen"/>
      <selection activeCell="A14" sqref="A14"/>
      <selection pane="bottomLeft" activeCell="B2" sqref="B2"/>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32.25" customHeight="1" thickBot="1">
      <c r="A1" s="105" t="s">
        <v>14</v>
      </c>
      <c r="B1" s="94"/>
      <c r="C1" s="95" t="s">
        <v>15</v>
      </c>
      <c r="D1" s="72"/>
      <c r="E1" s="71"/>
      <c r="F1" s="72" t="s">
        <v>16</v>
      </c>
      <c r="G1" s="71"/>
      <c r="H1" s="72" t="s">
        <v>17</v>
      </c>
      <c r="I1" s="71"/>
      <c r="J1" s="132" t="s">
        <v>18</v>
      </c>
      <c r="K1" s="132" t="s">
        <v>19</v>
      </c>
      <c r="L1" s="98" t="s">
        <v>30</v>
      </c>
      <c r="M1" s="99" t="s">
        <v>20</v>
      </c>
      <c r="N1" s="106">
        <f>COUNTIF(M2:M10,"■")</f>
        <v>0</v>
      </c>
      <c r="O1" s="131" t="s">
        <v>31</v>
      </c>
      <c r="P1" s="200" t="s">
        <v>32</v>
      </c>
      <c r="Q1" s="201"/>
      <c r="R1" s="201"/>
      <c r="S1" s="201"/>
      <c r="T1" s="201"/>
      <c r="U1" s="202"/>
    </row>
    <row r="2" spans="1:21" ht="15.75" customHeight="1">
      <c r="A2" s="85"/>
      <c r="B2" s="37">
        <f>ROW()-13</f>
        <v>-11</v>
      </c>
      <c r="C2" s="145" t="s">
        <v>84</v>
      </c>
      <c r="D2" s="80"/>
      <c r="E2" s="81"/>
      <c r="F2" s="146" t="s">
        <v>85</v>
      </c>
      <c r="G2" s="17"/>
      <c r="H2" s="18"/>
      <c r="I2" s="59"/>
      <c r="J2" s="19"/>
      <c r="K2" s="19"/>
      <c r="L2" s="50"/>
      <c r="M2" s="73" t="s">
        <v>21</v>
      </c>
      <c r="N2" s="54">
        <f t="shared" ref="N2" si="0">IF(H2="NUMBER",IF(J2&gt;0,INT((J2+1)/2+0.9),0),IF(H2="DATE",7,IF(OR(H2="LONG",H2="LONG RAW"),100000,J2)))</f>
        <v>0</v>
      </c>
      <c r="O2" s="170"/>
      <c r="P2" s="191"/>
      <c r="Q2" s="192"/>
      <c r="R2" s="192"/>
      <c r="S2" s="192"/>
      <c r="T2" s="192"/>
      <c r="U2" s="193"/>
    </row>
    <row r="3" spans="1:21" ht="15.75" customHeight="1">
      <c r="A3" s="85"/>
      <c r="B3" s="37">
        <f t="shared" ref="B3:B9" si="1">ROW()-13</f>
        <v>-10</v>
      </c>
      <c r="C3" s="107" t="s">
        <v>36</v>
      </c>
      <c r="D3" s="107"/>
      <c r="E3" s="108"/>
      <c r="F3" s="109" t="s">
        <v>78</v>
      </c>
      <c r="G3" s="110"/>
      <c r="H3" s="18" t="s">
        <v>51</v>
      </c>
      <c r="I3" s="59"/>
      <c r="J3" s="113">
        <v>12</v>
      </c>
      <c r="K3" s="113"/>
      <c r="L3" s="114"/>
      <c r="M3" s="115" t="s">
        <v>35</v>
      </c>
      <c r="N3" s="116">
        <f t="shared" ref="N3:N9" si="2">IF(H3="NUMBER",IF(J3&gt;0,INT((J3+1)/2+0.9),0),IF(H3="DATE",7,IF(OR(H3="LONG",H3="LONG RAW"),100000,J3)))</f>
        <v>12</v>
      </c>
      <c r="O3" s="171"/>
      <c r="P3" s="197"/>
      <c r="Q3" s="198"/>
      <c r="R3" s="198"/>
      <c r="S3" s="198"/>
      <c r="T3" s="198"/>
      <c r="U3" s="199"/>
    </row>
    <row r="4" spans="1:21" ht="15.75" customHeight="1">
      <c r="A4" s="85"/>
      <c r="B4" s="37">
        <f t="shared" si="1"/>
        <v>-9</v>
      </c>
      <c r="C4" s="107" t="s">
        <v>37</v>
      </c>
      <c r="D4" s="107"/>
      <c r="E4" s="108"/>
      <c r="F4" s="109" t="s">
        <v>43</v>
      </c>
      <c r="G4" s="110"/>
      <c r="H4" s="18" t="s">
        <v>51</v>
      </c>
      <c r="I4" s="59"/>
      <c r="J4" s="113">
        <v>10</v>
      </c>
      <c r="K4" s="113"/>
      <c r="L4" s="114"/>
      <c r="M4" s="115" t="s">
        <v>21</v>
      </c>
      <c r="N4" s="116">
        <f t="shared" si="2"/>
        <v>10</v>
      </c>
      <c r="O4" s="171"/>
      <c r="P4" s="197"/>
      <c r="Q4" s="198"/>
      <c r="R4" s="198"/>
      <c r="S4" s="198"/>
      <c r="T4" s="198"/>
      <c r="U4" s="199"/>
    </row>
    <row r="5" spans="1:21" ht="15.75" customHeight="1">
      <c r="A5" s="85"/>
      <c r="B5" s="37">
        <f t="shared" si="1"/>
        <v>-8</v>
      </c>
      <c r="C5" s="107" t="s">
        <v>38</v>
      </c>
      <c r="D5" s="107"/>
      <c r="E5" s="108"/>
      <c r="F5" s="109" t="s">
        <v>80</v>
      </c>
      <c r="G5" s="110"/>
      <c r="H5" s="18" t="s">
        <v>86</v>
      </c>
      <c r="I5" s="59"/>
      <c r="J5" s="113"/>
      <c r="K5" s="113"/>
      <c r="L5" s="114"/>
      <c r="M5" s="115" t="s">
        <v>21</v>
      </c>
      <c r="N5" s="116">
        <f t="shared" si="2"/>
        <v>0</v>
      </c>
      <c r="O5" s="171"/>
      <c r="P5" s="197"/>
      <c r="Q5" s="198"/>
      <c r="R5" s="198"/>
      <c r="S5" s="198"/>
      <c r="T5" s="198"/>
      <c r="U5" s="199"/>
    </row>
    <row r="6" spans="1:21" ht="15.75" customHeight="1">
      <c r="A6" s="85"/>
      <c r="B6" s="37">
        <f t="shared" si="1"/>
        <v>-7</v>
      </c>
      <c r="C6" s="107" t="s">
        <v>39</v>
      </c>
      <c r="D6" s="107"/>
      <c r="E6" s="108"/>
      <c r="F6" s="109" t="s">
        <v>79</v>
      </c>
      <c r="G6" s="110"/>
      <c r="H6" s="18" t="s">
        <v>51</v>
      </c>
      <c r="I6" s="59"/>
      <c r="J6" s="113">
        <v>12</v>
      </c>
      <c r="K6" s="113"/>
      <c r="L6" s="114"/>
      <c r="M6" s="115" t="s">
        <v>35</v>
      </c>
      <c r="N6" s="116">
        <f t="shared" si="2"/>
        <v>12</v>
      </c>
      <c r="O6" s="171"/>
      <c r="P6" s="197"/>
      <c r="Q6" s="198"/>
      <c r="R6" s="198"/>
      <c r="S6" s="198"/>
      <c r="T6" s="198"/>
      <c r="U6" s="199"/>
    </row>
    <row r="7" spans="1:21" ht="15.75" customHeight="1">
      <c r="A7" s="85"/>
      <c r="B7" s="37">
        <f t="shared" si="1"/>
        <v>-6</v>
      </c>
      <c r="C7" s="107" t="s">
        <v>40</v>
      </c>
      <c r="D7" s="107"/>
      <c r="E7" s="108"/>
      <c r="F7" s="109" t="s">
        <v>44</v>
      </c>
      <c r="G7" s="110"/>
      <c r="H7" s="18" t="s">
        <v>51</v>
      </c>
      <c r="I7" s="59"/>
      <c r="J7" s="113">
        <v>10</v>
      </c>
      <c r="K7" s="113"/>
      <c r="L7" s="114"/>
      <c r="M7" s="115" t="s">
        <v>21</v>
      </c>
      <c r="N7" s="116">
        <f t="shared" si="2"/>
        <v>10</v>
      </c>
      <c r="O7" s="171"/>
      <c r="P7" s="197"/>
      <c r="Q7" s="198"/>
      <c r="R7" s="198"/>
      <c r="S7" s="198"/>
      <c r="T7" s="198"/>
      <c r="U7" s="199"/>
    </row>
    <row r="8" spans="1:21" ht="15.75" customHeight="1">
      <c r="A8" s="85"/>
      <c r="B8" s="37">
        <f t="shared" si="1"/>
        <v>-5</v>
      </c>
      <c r="C8" s="107" t="s">
        <v>41</v>
      </c>
      <c r="D8" s="107"/>
      <c r="E8" s="108"/>
      <c r="F8" s="109" t="s">
        <v>81</v>
      </c>
      <c r="G8" s="110"/>
      <c r="H8" s="18" t="s">
        <v>86</v>
      </c>
      <c r="I8" s="59"/>
      <c r="J8" s="113"/>
      <c r="K8" s="113"/>
      <c r="L8" s="114"/>
      <c r="M8" s="115" t="s">
        <v>21</v>
      </c>
      <c r="N8" s="116">
        <f t="shared" si="2"/>
        <v>0</v>
      </c>
      <c r="O8" s="171"/>
      <c r="P8" s="197"/>
      <c r="Q8" s="198"/>
      <c r="R8" s="198"/>
      <c r="S8" s="198"/>
      <c r="T8" s="198"/>
      <c r="U8" s="199"/>
    </row>
    <row r="9" spans="1:21" ht="15.75" customHeight="1">
      <c r="A9" s="85"/>
      <c r="B9" s="37">
        <f t="shared" si="1"/>
        <v>-4</v>
      </c>
      <c r="C9" s="80" t="s">
        <v>46</v>
      </c>
      <c r="D9" s="80"/>
      <c r="E9" s="81"/>
      <c r="F9" s="84" t="s">
        <v>71</v>
      </c>
      <c r="G9" s="17"/>
      <c r="H9" s="18" t="s">
        <v>62</v>
      </c>
      <c r="I9" s="59"/>
      <c r="J9" s="19">
        <v>8</v>
      </c>
      <c r="K9" s="19"/>
      <c r="L9" s="50" t="s">
        <v>47</v>
      </c>
      <c r="M9" s="73" t="s">
        <v>35</v>
      </c>
      <c r="N9" s="54">
        <f t="shared" si="2"/>
        <v>8</v>
      </c>
      <c r="O9" s="170">
        <v>0</v>
      </c>
      <c r="P9" s="191" t="s">
        <v>48</v>
      </c>
      <c r="Q9" s="192"/>
      <c r="R9" s="192"/>
      <c r="S9" s="192"/>
      <c r="T9" s="192"/>
      <c r="U9" s="193"/>
    </row>
    <row r="10" spans="1:21" ht="16.5" thickBot="1">
      <c r="A10" s="118"/>
      <c r="B10" s="119"/>
      <c r="C10" s="120"/>
      <c r="D10" s="120"/>
      <c r="E10" s="121"/>
      <c r="F10" s="129"/>
      <c r="G10" s="122"/>
      <c r="H10" s="147"/>
      <c r="I10" s="148"/>
      <c r="J10" s="125"/>
      <c r="K10" s="125"/>
      <c r="L10" s="126"/>
      <c r="M10" s="126"/>
      <c r="N10" s="127"/>
      <c r="O10" s="172"/>
      <c r="P10" s="194"/>
      <c r="Q10" s="195"/>
      <c r="R10" s="195"/>
      <c r="S10" s="195"/>
      <c r="T10" s="195"/>
      <c r="U10" s="196"/>
    </row>
    <row r="11" spans="1:21" ht="15" customHeight="1">
      <c r="A11" s="69"/>
      <c r="B11" s="70"/>
      <c r="C11" s="74"/>
      <c r="D11" s="74"/>
      <c r="E11" s="74"/>
      <c r="F11" s="74"/>
      <c r="G11" s="75"/>
      <c r="H11" s="76"/>
      <c r="I11" s="76"/>
      <c r="J11" s="77"/>
      <c r="K11" s="77"/>
      <c r="L11" s="78"/>
      <c r="M11" s="79"/>
      <c r="N11" s="52"/>
    </row>
    <row r="12" spans="1:21">
      <c r="C12" s="67"/>
      <c r="D12" s="67"/>
      <c r="E12" s="67"/>
      <c r="F12" s="67"/>
      <c r="G12" s="67"/>
      <c r="H12" s="67"/>
      <c r="I12" s="67"/>
      <c r="J12" s="67"/>
      <c r="K12" s="67"/>
      <c r="L12" s="68"/>
      <c r="M12" s="67"/>
    </row>
  </sheetData>
  <mergeCells count="10">
    <mergeCell ref="P10:U10"/>
    <mergeCell ref="P1:U1"/>
    <mergeCell ref="P2:U2"/>
    <mergeCell ref="P3:U3"/>
    <mergeCell ref="P4:U4"/>
    <mergeCell ref="P5:U5"/>
    <mergeCell ref="P6:U6"/>
    <mergeCell ref="P7:U7"/>
    <mergeCell ref="P8:U8"/>
    <mergeCell ref="P9:U9"/>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extLst>
    <ext xmlns:x14="http://schemas.microsoft.com/office/spreadsheetml/2009/9/main" uri="{78C0D931-6437-407d-A8EE-F0AAD7539E65}">
      <x14:conditionalFormattings>
        <x14:conditionalFormatting xmlns:xm="http://schemas.microsoft.com/office/excel/2006/main">
          <x14:cfRule type="expression" priority="4" id="{F035184A-C1E8-4AB7-AD0E-535608644B21}">
            <xm:f>(AND(H2&lt;&gt;"",ISERROR(VLOOKUP(H2,system!$E:$E,1,FALSE))))</xm:f>
            <x14:dxf>
              <fill>
                <patternFill patternType="solid">
                  <bgColor rgb="FFFF0000"/>
                </patternFill>
              </fill>
            </x14:dxf>
          </x14:cfRule>
          <xm:sqref>H2:H10</xm:sqref>
        </x14:conditionalFormatting>
        <x14:conditionalFormatting xmlns:xm="http://schemas.microsoft.com/office/excel/2006/main">
          <x14:cfRule type="expression" priority="3" id="{C1BED7A7-081D-43E1-BBA2-52A1BA2CDE09}">
            <xm:f>(AND(H2&lt;&gt;"",ISERROR(VLOOKUP(H2,system!$E:$E,1,FALSE))))</xm:f>
            <x14:dxf>
              <fill>
                <patternFill>
                  <bgColor rgb="FFFF0000"/>
                </patternFill>
              </fill>
            </x14:dxf>
          </x14:cfRule>
          <xm:sqref>I2:I10</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5B3AFDF1A27EF4448B30400A700269C9" ma:contentTypeVersion="7" ma:contentTypeDescription="新しいドキュメントを作成します。" ma:contentTypeScope="" ma:versionID="af1e50296a73b747a155d4c5a148cd8b">
  <xsd:schema xmlns:xsd="http://www.w3.org/2001/XMLSchema" xmlns:xs="http://www.w3.org/2001/XMLSchema" xmlns:p="http://schemas.microsoft.com/office/2006/metadata/properties" xmlns:ns2="72c70d25-b9e8-475b-ae7b-39931ca24b85" targetNamespace="http://schemas.microsoft.com/office/2006/metadata/properties" ma:root="true" ma:fieldsID="d7c374c4e1cfeff0cf58497e8c642c22" ns2:_="">
    <xsd:import namespace="72c70d25-b9e8-475b-ae7b-39931ca24b85"/>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c70d25-b9e8-475b-ae7b-39931ca24b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B5486A1-2A80-4356-8FCF-BF16A9468B18}"/>
</file>

<file path=customXml/itemProps2.xml><?xml version="1.0" encoding="utf-8"?>
<ds:datastoreItem xmlns:ds="http://schemas.openxmlformats.org/officeDocument/2006/customXml" ds:itemID="{E465C99D-9DFE-458C-8AD5-19658D23E6C4}"/>
</file>

<file path=customXml/itemProps3.xml><?xml version="1.0" encoding="utf-8"?>
<ds:datastoreItem xmlns:ds="http://schemas.openxmlformats.org/officeDocument/2006/customXml" ds:itemID="{6CFE3875-B659-4224-9FD6-5906EAA80ED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49</vt:i4>
      </vt:variant>
      <vt:variant>
        <vt:lpstr>名前付き一覧</vt:lpstr>
      </vt:variant>
      <vt:variant>
        <vt:i4>96</vt:i4>
      </vt:variant>
    </vt:vector>
  </HeadingPairs>
  <TitlesOfParts>
    <vt:vector size="145" baseType="lpstr">
      <vt:lpstr>テーブル一覧</vt:lpstr>
      <vt:lpstr>作業計画データ</vt:lpstr>
      <vt:lpstr>作業計画準備データ</vt:lpstr>
      <vt:lpstr>実績数量</vt:lpstr>
      <vt:lpstr>作業指示明細データ</vt:lpstr>
      <vt:lpstr>投入指示データ</vt:lpstr>
      <vt:lpstr>実績管理データ</vt:lpstr>
      <vt:lpstr>実績登録データ</vt:lpstr>
      <vt:lpstr>個体ＮＯ管理データ</vt:lpstr>
      <vt:lpstr>付帯作業データ</vt:lpstr>
      <vt:lpstr>投入順序実績</vt:lpstr>
      <vt:lpstr>梱包指示データ</vt:lpstr>
      <vt:lpstr>梱包実績データ</vt:lpstr>
      <vt:lpstr>在庫データ</vt:lpstr>
      <vt:lpstr>受払データ</vt:lpstr>
      <vt:lpstr>順列納入指示データ</vt:lpstr>
      <vt:lpstr>非順列納入指示データ</vt:lpstr>
      <vt:lpstr>シミュレーションヘッダ</vt:lpstr>
      <vt:lpstr>シミュレーションデータ</vt:lpstr>
      <vt:lpstr>シミュレーション組立順序</vt:lpstr>
      <vt:lpstr>生産品名マスタ</vt:lpstr>
      <vt:lpstr>組立品構成マスタ</vt:lpstr>
      <vt:lpstr>資材マスタ</vt:lpstr>
      <vt:lpstr>使用資材</vt:lpstr>
      <vt:lpstr>製品マスタ</vt:lpstr>
      <vt:lpstr>車種マスタ</vt:lpstr>
      <vt:lpstr>設備マスタ</vt:lpstr>
      <vt:lpstr>工程マスタ</vt:lpstr>
      <vt:lpstr>標準通過工程マスタ</vt:lpstr>
      <vt:lpstr>区分標準通過工程</vt:lpstr>
      <vt:lpstr>通過工程間チェック</vt:lpstr>
      <vt:lpstr>投入指示作成</vt:lpstr>
      <vt:lpstr>判定理由マスタ</vt:lpstr>
      <vt:lpstr>コードマスタ</vt:lpstr>
      <vt:lpstr>社員マスタ</vt:lpstr>
      <vt:lpstr>稼働日マスタ</vt:lpstr>
      <vt:lpstr>休憩時間マスタ</vt:lpstr>
      <vt:lpstr>事業所マスタ</vt:lpstr>
      <vt:lpstr>品種マスタ</vt:lpstr>
      <vt:lpstr>パスワードマスタ</vt:lpstr>
      <vt:lpstr>ＩＰアドレス管理マスタ</vt:lpstr>
      <vt:lpstr>採番マスタ</vt:lpstr>
      <vt:lpstr>読込ラベルグループマスタ</vt:lpstr>
      <vt:lpstr>ラベル定義マスタ</vt:lpstr>
      <vt:lpstr>サンプル</vt:lpstr>
      <vt:lpstr>system</vt:lpstr>
      <vt:lpstr>原紙</vt:lpstr>
      <vt:lpstr>一覧原紙</vt:lpstr>
      <vt:lpstr>原紙_行</vt:lpstr>
      <vt:lpstr>ＩＰアドレス管理マスタ!Print_Area</vt:lpstr>
      <vt:lpstr>コードマスタ!Print_Area</vt:lpstr>
      <vt:lpstr>サンプル!Print_Area</vt:lpstr>
      <vt:lpstr>シミュレーションデータ!Print_Area</vt:lpstr>
      <vt:lpstr>シミュレーションヘッダ!Print_Area</vt:lpstr>
      <vt:lpstr>シミュレーション組立順序!Print_Area</vt:lpstr>
      <vt:lpstr>テーブル一覧!Print_Area</vt:lpstr>
      <vt:lpstr>パスワードマスタ!Print_Area</vt:lpstr>
      <vt:lpstr>ラベル定義マスタ!Print_Area</vt:lpstr>
      <vt:lpstr>一覧原紙!Print_Area</vt:lpstr>
      <vt:lpstr>稼働日マスタ!Print_Area</vt:lpstr>
      <vt:lpstr>休憩時間マスタ!Print_Area</vt:lpstr>
      <vt:lpstr>区分標準通過工程!Print_Area</vt:lpstr>
      <vt:lpstr>原紙!Print_Area</vt:lpstr>
      <vt:lpstr>原紙_行!Print_Area</vt:lpstr>
      <vt:lpstr>個体ＮＯ管理データ!Print_Area</vt:lpstr>
      <vt:lpstr>工程マスタ!Print_Area</vt:lpstr>
      <vt:lpstr>梱包指示データ!Print_Area</vt:lpstr>
      <vt:lpstr>梱包実績データ!Print_Area</vt:lpstr>
      <vt:lpstr>採番マスタ!Print_Area</vt:lpstr>
      <vt:lpstr>在庫データ!Print_Area</vt:lpstr>
      <vt:lpstr>作業計画データ!Print_Area</vt:lpstr>
      <vt:lpstr>作業計画準備データ!Print_Area</vt:lpstr>
      <vt:lpstr>作業指示明細データ!Print_Area</vt:lpstr>
      <vt:lpstr>使用資材!Print_Area</vt:lpstr>
      <vt:lpstr>資材マスタ!Print_Area</vt:lpstr>
      <vt:lpstr>事業所マスタ!Print_Area</vt:lpstr>
      <vt:lpstr>実績管理データ!Print_Area</vt:lpstr>
      <vt:lpstr>実績数量!Print_Area</vt:lpstr>
      <vt:lpstr>実績登録データ!Print_Area</vt:lpstr>
      <vt:lpstr>社員マスタ!Print_Area</vt:lpstr>
      <vt:lpstr>車種マスタ!Print_Area</vt:lpstr>
      <vt:lpstr>受払データ!Print_Area</vt:lpstr>
      <vt:lpstr>順列納入指示データ!Print_Area</vt:lpstr>
      <vt:lpstr>生産品名マスタ!Print_Area</vt:lpstr>
      <vt:lpstr>製品マスタ!Print_Area</vt:lpstr>
      <vt:lpstr>設備マスタ!Print_Area</vt:lpstr>
      <vt:lpstr>組立品構成マスタ!Print_Area</vt:lpstr>
      <vt:lpstr>通過工程間チェック!Print_Area</vt:lpstr>
      <vt:lpstr>投入指示データ!Print_Area</vt:lpstr>
      <vt:lpstr>投入指示作成!Print_Area</vt:lpstr>
      <vt:lpstr>投入順序実績!Print_Area</vt:lpstr>
      <vt:lpstr>読込ラベルグループマスタ!Print_Area</vt:lpstr>
      <vt:lpstr>判定理由マスタ!Print_Area</vt:lpstr>
      <vt:lpstr>非順列納入指示データ!Print_Area</vt:lpstr>
      <vt:lpstr>標準通過工程マスタ!Print_Area</vt:lpstr>
      <vt:lpstr>品種マスタ!Print_Area</vt:lpstr>
      <vt:lpstr>付帯作業データ!Print_Area</vt:lpstr>
      <vt:lpstr>ＩＰアドレス管理マスタ!Print_Titles</vt:lpstr>
      <vt:lpstr>コードマスタ!Print_Titles</vt:lpstr>
      <vt:lpstr>サンプル!Print_Titles</vt:lpstr>
      <vt:lpstr>シミュレーションデータ!Print_Titles</vt:lpstr>
      <vt:lpstr>シミュレーションヘッダ!Print_Titles</vt:lpstr>
      <vt:lpstr>シミュレーション組立順序!Print_Titles</vt:lpstr>
      <vt:lpstr>テーブル一覧!Print_Titles</vt:lpstr>
      <vt:lpstr>パスワードマスタ!Print_Titles</vt:lpstr>
      <vt:lpstr>ラベル定義マスタ!Print_Titles</vt:lpstr>
      <vt:lpstr>一覧原紙!Print_Titles</vt:lpstr>
      <vt:lpstr>稼働日マスタ!Print_Titles</vt:lpstr>
      <vt:lpstr>休憩時間マスタ!Print_Titles</vt:lpstr>
      <vt:lpstr>区分標準通過工程!Print_Titles</vt:lpstr>
      <vt:lpstr>原紙!Print_Titles</vt:lpstr>
      <vt:lpstr>原紙_行!Print_Titles</vt:lpstr>
      <vt:lpstr>個体ＮＯ管理データ!Print_Titles</vt:lpstr>
      <vt:lpstr>工程マスタ!Print_Titles</vt:lpstr>
      <vt:lpstr>梱包指示データ!Print_Titles</vt:lpstr>
      <vt:lpstr>梱包実績データ!Print_Titles</vt:lpstr>
      <vt:lpstr>採番マスタ!Print_Titles</vt:lpstr>
      <vt:lpstr>在庫データ!Print_Titles</vt:lpstr>
      <vt:lpstr>作業計画データ!Print_Titles</vt:lpstr>
      <vt:lpstr>作業計画準備データ!Print_Titles</vt:lpstr>
      <vt:lpstr>作業指示明細データ!Print_Titles</vt:lpstr>
      <vt:lpstr>使用資材!Print_Titles</vt:lpstr>
      <vt:lpstr>資材マスタ!Print_Titles</vt:lpstr>
      <vt:lpstr>事業所マスタ!Print_Titles</vt:lpstr>
      <vt:lpstr>実績管理データ!Print_Titles</vt:lpstr>
      <vt:lpstr>実績数量!Print_Titles</vt:lpstr>
      <vt:lpstr>実績登録データ!Print_Titles</vt:lpstr>
      <vt:lpstr>社員マスタ!Print_Titles</vt:lpstr>
      <vt:lpstr>車種マスタ!Print_Titles</vt:lpstr>
      <vt:lpstr>受払データ!Print_Titles</vt:lpstr>
      <vt:lpstr>順列納入指示データ!Print_Titles</vt:lpstr>
      <vt:lpstr>生産品名マスタ!Print_Titles</vt:lpstr>
      <vt:lpstr>製品マスタ!Print_Titles</vt:lpstr>
      <vt:lpstr>設備マスタ!Print_Titles</vt:lpstr>
      <vt:lpstr>組立品構成マスタ!Print_Titles</vt:lpstr>
      <vt:lpstr>通過工程間チェック!Print_Titles</vt:lpstr>
      <vt:lpstr>投入指示データ!Print_Titles</vt:lpstr>
      <vt:lpstr>投入指示作成!Print_Titles</vt:lpstr>
      <vt:lpstr>投入順序実績!Print_Titles</vt:lpstr>
      <vt:lpstr>読込ラベルグループマスタ!Print_Titles</vt:lpstr>
      <vt:lpstr>判定理由マスタ!Print_Titles</vt:lpstr>
      <vt:lpstr>非順列納入指示データ!Print_Titles</vt:lpstr>
      <vt:lpstr>標準通過工程マスタ!Print_Titles</vt:lpstr>
      <vt:lpstr>品種マスタ!Print_Titles</vt:lpstr>
      <vt:lpstr>付帯作業データ!Print_Titles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日立化成工業（株）結城工場</dc:creator>
  <cp:lastModifiedBy>np-tabataniwa</cp:lastModifiedBy>
  <cp:lastPrinted>2012-06-08T06:13:52Z</cp:lastPrinted>
  <dcterms:created xsi:type="dcterms:W3CDTF">1999-06-21T07:28:53Z</dcterms:created>
  <dcterms:modified xsi:type="dcterms:W3CDTF">2019-10-09T09:28:58Z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0x0101005B3AFDF1A27EF4448B30400A700269C9</vt:lpwstr>
  </property>
</Properties>
</file>